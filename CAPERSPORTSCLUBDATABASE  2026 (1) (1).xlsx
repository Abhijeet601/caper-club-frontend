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Users\vikra\Downloads\"/>
    </mc:Choice>
  </mc:AlternateContent>
  <xr:revisionPtr revIDLastSave="0" documentId="13_ncr:1_{6DFF30C5-C469-4250-BAE7-E9EBF3A36D32}" xr6:coauthVersionLast="47" xr6:coauthVersionMax="47" xr10:uidLastSave="{00000000-0000-0000-0000-000000000000}"/>
  <bookViews>
    <workbookView xWindow="-110" yWindow="-110" windowWidth="19420" windowHeight="10300" tabRatio="882" activeTab="1" xr2:uid="{00000000-000D-0000-FFFF-FFFF00000000}"/>
  </bookViews>
  <sheets>
    <sheet name="Membership Level" sheetId="2" r:id="rId1"/>
    <sheet name="SWIMMING 2026" sheetId="55" r:id="rId2"/>
    <sheet name="Sheet4" sheetId="61" r:id="rId3"/>
    <sheet name="Sheet3" sheetId="60" r:id="rId4"/>
    <sheet name="Sheet1" sheetId="58" r:id="rId5"/>
    <sheet name="Sheet2" sheetId="59" r:id="rId6"/>
    <sheet name="CRICKET NIRANJAN" sheetId="57" state="hidden" r:id="rId7"/>
    <sheet name="ZUMBA" sheetId="41" state="hidden" r:id="rId8"/>
  </sheets>
  <definedNames>
    <definedName name="_xlnm._FilterDatabase" localSheetId="6" hidden="1">'CRICKET NIRANJAN'!$A$8:$V$263</definedName>
    <definedName name="_xlnm._FilterDatabase" localSheetId="1" hidden="1">'SWIMMING 2026'!$C$8:$M$2045</definedName>
    <definedName name="_xlnm._FilterDatabase" localSheetId="7" hidden="1">ZUMBA!$A$8:$U$47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46" i="55" l="1"/>
  <c r="F945" i="55"/>
  <c r="F944" i="55"/>
  <c r="F943" i="55"/>
  <c r="F942" i="55"/>
  <c r="F941" i="55"/>
  <c r="F940" i="55"/>
  <c r="F939" i="55"/>
  <c r="F938" i="55"/>
  <c r="F937" i="55"/>
  <c r="F936" i="55"/>
  <c r="F935" i="55"/>
  <c r="F934" i="55"/>
  <c r="F933" i="55"/>
  <c r="F932" i="55"/>
  <c r="F931" i="55"/>
  <c r="F930" i="55"/>
  <c r="F929" i="55"/>
  <c r="F928" i="55"/>
  <c r="F927" i="55"/>
  <c r="F926" i="55"/>
  <c r="F925" i="55"/>
  <c r="F924" i="55"/>
  <c r="F923" i="55"/>
  <c r="F922" i="55"/>
  <c r="F921" i="55"/>
  <c r="F920" i="55"/>
  <c r="F919" i="55"/>
  <c r="F918" i="55"/>
  <c r="F917" i="55"/>
  <c r="F916" i="55"/>
  <c r="F915" i="55"/>
  <c r="F914" i="55"/>
  <c r="F913" i="55"/>
  <c r="F912" i="55"/>
  <c r="F911" i="55"/>
  <c r="F910" i="55"/>
  <c r="F909" i="55"/>
  <c r="F908" i="55"/>
  <c r="F907" i="55"/>
  <c r="F906" i="55"/>
  <c r="F905" i="55"/>
  <c r="F904" i="55"/>
  <c r="F903" i="55"/>
  <c r="F902" i="55"/>
  <c r="F901" i="55"/>
  <c r="F900" i="55"/>
  <c r="F899" i="55"/>
  <c r="F898" i="55"/>
  <c r="F897" i="55"/>
  <c r="F896" i="55"/>
  <c r="F895" i="55"/>
  <c r="F734" i="55"/>
  <c r="F894" i="55"/>
  <c r="F893" i="55"/>
  <c r="F892" i="55"/>
  <c r="F891" i="55"/>
  <c r="F890" i="55"/>
  <c r="F889" i="55"/>
  <c r="F888" i="55"/>
  <c r="F887" i="55"/>
  <c r="F886" i="55"/>
  <c r="F885" i="55"/>
  <c r="F884" i="55"/>
  <c r="F883" i="55"/>
  <c r="F882" i="55"/>
  <c r="F881" i="55"/>
  <c r="F880" i="55"/>
  <c r="F879" i="55"/>
  <c r="F878" i="55"/>
  <c r="F877" i="55"/>
  <c r="F876" i="55"/>
  <c r="F875" i="55"/>
  <c r="F874" i="55"/>
  <c r="F873" i="55"/>
  <c r="F872" i="55"/>
  <c r="F871" i="55"/>
  <c r="F870" i="55"/>
  <c r="F869" i="55"/>
  <c r="F868" i="55"/>
  <c r="F867" i="55"/>
  <c r="F866" i="55"/>
  <c r="F865" i="55"/>
  <c r="F864" i="55"/>
  <c r="F863" i="55"/>
  <c r="F862" i="55"/>
  <c r="F861" i="55"/>
  <c r="F860" i="55"/>
  <c r="F859" i="55"/>
  <c r="F858" i="55"/>
  <c r="F857" i="55"/>
  <c r="F856" i="55"/>
  <c r="F855" i="55"/>
  <c r="F854" i="55"/>
  <c r="F853" i="55" l="1"/>
  <c r="F852" i="55"/>
  <c r="F851" i="55"/>
  <c r="F850" i="55"/>
  <c r="F849" i="55"/>
  <c r="F848" i="55"/>
  <c r="F847" i="55"/>
  <c r="F846" i="55"/>
  <c r="F845" i="55"/>
  <c r="F844" i="55"/>
  <c r="F843" i="55"/>
  <c r="F801" i="55"/>
  <c r="F842" i="55"/>
  <c r="F841" i="55"/>
  <c r="F840" i="55"/>
  <c r="F839" i="55"/>
  <c r="F838" i="55"/>
  <c r="F837" i="55"/>
  <c r="F836" i="55"/>
  <c r="F835" i="55"/>
  <c r="F834" i="55"/>
  <c r="F833" i="55"/>
  <c r="F832" i="55"/>
  <c r="F831" i="55"/>
  <c r="F830" i="55"/>
  <c r="F829" i="55"/>
  <c r="F828" i="55"/>
  <c r="F827" i="55"/>
  <c r="F826" i="55"/>
  <c r="F825" i="55"/>
  <c r="F824" i="55"/>
  <c r="F823" i="55"/>
  <c r="F822" i="55"/>
  <c r="F821" i="55"/>
  <c r="F820" i="55"/>
  <c r="F819" i="55"/>
  <c r="F814" i="55"/>
  <c r="F813" i="55"/>
  <c r="F812" i="55"/>
  <c r="F811" i="55"/>
  <c r="F810" i="55"/>
  <c r="F809" i="55"/>
  <c r="F808" i="55"/>
  <c r="F807" i="55"/>
  <c r="F806" i="55"/>
  <c r="F805" i="55"/>
  <c r="F804" i="55"/>
  <c r="F803" i="55"/>
  <c r="F802" i="55"/>
  <c r="F800" i="55"/>
  <c r="F799" i="55"/>
  <c r="F798" i="55"/>
  <c r="F797" i="55"/>
  <c r="F796" i="55"/>
  <c r="E57" i="61" l="1"/>
  <c r="B63" i="61"/>
  <c r="J52" i="61"/>
  <c r="B56" i="61"/>
  <c r="B64" i="61" s="1"/>
  <c r="F795" i="55" l="1"/>
  <c r="F794" i="55"/>
  <c r="F793" i="55"/>
  <c r="F792" i="55"/>
  <c r="F791" i="55"/>
  <c r="F790" i="55"/>
  <c r="F788" i="55" l="1"/>
  <c r="F789" i="55"/>
  <c r="F787" i="55"/>
  <c r="F786" i="55"/>
  <c r="F785" i="55"/>
  <c r="F784" i="55"/>
  <c r="F783" i="55"/>
  <c r="F782" i="55"/>
  <c r="F781" i="55"/>
  <c r="F780" i="55"/>
  <c r="F779" i="55"/>
  <c r="F778" i="55"/>
  <c r="F777" i="55"/>
  <c r="F776" i="55"/>
  <c r="F775" i="55"/>
  <c r="F774" i="55"/>
  <c r="F773" i="55"/>
  <c r="F772" i="55"/>
  <c r="F771" i="55"/>
  <c r="F770" i="55"/>
  <c r="F769" i="55"/>
  <c r="F768" i="55"/>
  <c r="F767" i="55" l="1"/>
  <c r="F766" i="55"/>
  <c r="F765" i="55" l="1"/>
  <c r="F764" i="55"/>
  <c r="F763" i="55"/>
  <c r="F762" i="55"/>
  <c r="F761" i="55"/>
  <c r="F760" i="55" l="1"/>
  <c r="F759" i="55"/>
  <c r="F758" i="55"/>
  <c r="F757" i="55"/>
  <c r="F756" i="55"/>
  <c r="F755" i="55"/>
  <c r="F754" i="55"/>
  <c r="F753" i="55"/>
  <c r="F752" i="55"/>
  <c r="F751" i="55"/>
  <c r="F750" i="55"/>
  <c r="F749" i="55"/>
  <c r="F748" i="55"/>
  <c r="F747" i="55"/>
  <c r="F746" i="55"/>
  <c r="F745" i="55"/>
  <c r="F744" i="55"/>
  <c r="F743" i="55"/>
  <c r="F742" i="55"/>
  <c r="F741" i="55"/>
  <c r="F637" i="55" l="1"/>
  <c r="F636" i="55"/>
  <c r="F635" i="55"/>
  <c r="F740" i="55"/>
  <c r="F739" i="55"/>
  <c r="F738" i="55"/>
  <c r="F737" i="55"/>
  <c r="F717" i="55"/>
  <c r="F736" i="55"/>
  <c r="F735" i="55"/>
  <c r="F733" i="55" l="1"/>
  <c r="F732" i="55" l="1"/>
  <c r="F731" i="55"/>
  <c r="F730" i="55"/>
  <c r="F729" i="55"/>
  <c r="F728" i="55"/>
  <c r="F727" i="55"/>
  <c r="F726" i="55"/>
  <c r="F725" i="55"/>
  <c r="F724" i="55"/>
  <c r="F723" i="55"/>
  <c r="F722" i="55"/>
  <c r="F721" i="55"/>
  <c r="F720" i="55"/>
  <c r="F719" i="55"/>
  <c r="F718" i="55"/>
  <c r="F716" i="55"/>
  <c r="F715" i="55"/>
  <c r="F714" i="55"/>
  <c r="F713" i="55"/>
  <c r="F712" i="55"/>
  <c r="F711" i="55"/>
  <c r="F710" i="55"/>
  <c r="F709" i="55" l="1"/>
  <c r="F708" i="55"/>
  <c r="F707" i="55" l="1"/>
  <c r="F706" i="55"/>
  <c r="F705" i="55"/>
  <c r="F704" i="55"/>
  <c r="F703" i="55"/>
  <c r="F702" i="55"/>
  <c r="F701" i="55"/>
  <c r="F700" i="55"/>
  <c r="F699" i="55"/>
  <c r="F698" i="55"/>
  <c r="F697" i="55"/>
  <c r="F696" i="55"/>
  <c r="F695" i="55"/>
  <c r="F694" i="55"/>
  <c r="F693" i="55"/>
  <c r="F692" i="55"/>
  <c r="F691" i="55"/>
  <c r="F690" i="55"/>
  <c r="F689" i="55"/>
  <c r="F688" i="55"/>
  <c r="F687" i="55"/>
  <c r="F686" i="55"/>
  <c r="F685" i="55" l="1"/>
  <c r="F684" i="55"/>
  <c r="F683" i="55"/>
  <c r="F682" i="55"/>
  <c r="F681" i="55"/>
  <c r="F680" i="55"/>
  <c r="F679" i="55"/>
  <c r="F678" i="55"/>
  <c r="F677" i="55"/>
  <c r="F676" i="55"/>
  <c r="F389" i="55" l="1"/>
  <c r="F675" i="55" l="1"/>
  <c r="F674" i="55"/>
  <c r="F673" i="55"/>
  <c r="F672" i="55"/>
  <c r="F671" i="55"/>
  <c r="F670" i="55"/>
  <c r="F669" i="55"/>
  <c r="F668" i="55"/>
  <c r="F667" i="55"/>
  <c r="F666" i="55"/>
  <c r="F665" i="55"/>
  <c r="F664" i="55"/>
  <c r="F661" i="55"/>
  <c r="F660" i="55"/>
  <c r="F659" i="55"/>
  <c r="F658" i="55"/>
  <c r="F657" i="55"/>
  <c r="F656" i="55"/>
  <c r="F655" i="55"/>
  <c r="F654" i="55"/>
  <c r="F653" i="55"/>
  <c r="F652" i="55"/>
  <c r="F651" i="55"/>
  <c r="F650" i="55"/>
  <c r="F649" i="55"/>
  <c r="F648" i="55"/>
  <c r="F647" i="55"/>
  <c r="F646" i="55"/>
  <c r="F645" i="55"/>
  <c r="F644" i="55"/>
  <c r="F643" i="55"/>
  <c r="F642" i="55"/>
  <c r="F641" i="55"/>
  <c r="F638" i="55"/>
  <c r="L28" i="60" l="1"/>
  <c r="L22" i="60"/>
  <c r="D33" i="60"/>
  <c r="C33" i="60"/>
  <c r="E33" i="60"/>
  <c r="G33" i="60" s="1"/>
  <c r="B33" i="60"/>
  <c r="H33" i="60" l="1"/>
  <c r="F634" i="55" l="1"/>
  <c r="F633" i="55"/>
  <c r="F632" i="55"/>
  <c r="F631" i="55"/>
  <c r="F630" i="55" l="1"/>
  <c r="F629" i="55" l="1"/>
  <c r="F628" i="55"/>
  <c r="F627" i="55"/>
  <c r="F626" i="55"/>
  <c r="F625" i="55"/>
  <c r="F624" i="55" l="1"/>
  <c r="F623" i="55"/>
  <c r="F622" i="55" l="1"/>
  <c r="F621" i="55"/>
  <c r="F620" i="55" l="1"/>
  <c r="F619" i="55"/>
  <c r="F618" i="55" l="1"/>
  <c r="F617" i="55"/>
  <c r="F616" i="55"/>
  <c r="F615" i="55"/>
  <c r="F563" i="55" l="1"/>
  <c r="F614" i="55" l="1"/>
  <c r="F613" i="55"/>
  <c r="F603" i="55"/>
  <c r="F601" i="55"/>
  <c r="F602" i="55"/>
  <c r="F600" i="55"/>
  <c r="F599" i="55"/>
  <c r="F598" i="55"/>
  <c r="J77" i="55" l="1"/>
  <c r="F597" i="55"/>
  <c r="F596" i="55" l="1"/>
  <c r="F595" i="55"/>
  <c r="F594" i="55"/>
  <c r="F593" i="55"/>
  <c r="F592" i="55"/>
  <c r="F591" i="55"/>
  <c r="F566" i="55"/>
  <c r="F590" i="55" l="1"/>
  <c r="F589" i="55" l="1"/>
  <c r="F588" i="55"/>
  <c r="F587" i="55"/>
  <c r="F586" i="55"/>
  <c r="F585" i="55" l="1"/>
  <c r="F584" i="55"/>
  <c r="F582" i="55"/>
  <c r="F581" i="55"/>
  <c r="F580" i="55"/>
  <c r="F579" i="55"/>
  <c r="F578" i="55"/>
  <c r="F577" i="55"/>
  <c r="F576" i="55" l="1"/>
  <c r="F575" i="55"/>
  <c r="F574" i="55"/>
  <c r="F573" i="55"/>
  <c r="F572" i="55"/>
  <c r="F571" i="55"/>
  <c r="F570" i="55"/>
  <c r="F569" i="55"/>
  <c r="F568" i="55"/>
  <c r="F552" i="55"/>
  <c r="F518" i="55" l="1"/>
  <c r="F560" i="55" l="1"/>
  <c r="F559" i="55"/>
  <c r="F567" i="55" l="1"/>
  <c r="F564" i="55"/>
  <c r="F565" i="55"/>
  <c r="F562" i="55"/>
  <c r="F561" i="55" l="1"/>
  <c r="F558" i="55" l="1"/>
  <c r="F557" i="55" l="1"/>
  <c r="F556" i="55"/>
  <c r="F555" i="55" l="1"/>
  <c r="F554" i="55"/>
  <c r="F553" i="55"/>
  <c r="F551" i="55"/>
  <c r="F550" i="55"/>
  <c r="F549" i="55"/>
  <c r="F548" i="55"/>
  <c r="F547" i="55"/>
  <c r="F546" i="55"/>
  <c r="F545" i="55"/>
  <c r="F544" i="55"/>
  <c r="F543" i="55"/>
  <c r="F542" i="55"/>
  <c r="F538" i="55"/>
  <c r="F541" i="55"/>
  <c r="F540" i="55"/>
  <c r="F539" i="55"/>
  <c r="F537" i="55"/>
  <c r="F536" i="55"/>
  <c r="F535" i="55"/>
  <c r="F534" i="55"/>
  <c r="F533" i="55" l="1"/>
  <c r="F532" i="55" l="1"/>
  <c r="F531" i="55"/>
  <c r="F530" i="55"/>
  <c r="F529" i="55" l="1"/>
  <c r="F528" i="55"/>
  <c r="F527" i="55"/>
  <c r="F526" i="55"/>
  <c r="F525" i="55"/>
  <c r="F524" i="55"/>
  <c r="F523" i="55"/>
  <c r="F520" i="55" l="1"/>
  <c r="F519" i="55"/>
  <c r="F517" i="55"/>
  <c r="F516" i="55"/>
  <c r="F515" i="55"/>
  <c r="F514" i="55"/>
  <c r="F513" i="55"/>
  <c r="F512" i="55"/>
  <c r="F511" i="55"/>
  <c r="F510" i="55"/>
  <c r="F509" i="55"/>
  <c r="F508" i="55"/>
  <c r="F507" i="55"/>
  <c r="F506" i="55"/>
  <c r="F505" i="55" l="1"/>
  <c r="F504" i="55"/>
  <c r="F503" i="55"/>
  <c r="F502" i="55"/>
  <c r="F501" i="55"/>
  <c r="F500" i="55"/>
  <c r="F499" i="55" l="1"/>
  <c r="F498" i="55"/>
  <c r="F497" i="55"/>
  <c r="F327" i="55"/>
  <c r="F496" i="55"/>
  <c r="F494" i="55" l="1"/>
  <c r="F495" i="55"/>
  <c r="F493" i="55" l="1"/>
  <c r="F492" i="55"/>
  <c r="F491" i="55"/>
  <c r="F490" i="55"/>
  <c r="F489" i="55"/>
  <c r="F488" i="55"/>
  <c r="F487" i="55" l="1"/>
  <c r="F486" i="55" l="1"/>
  <c r="F485" i="55"/>
  <c r="F484" i="55" l="1"/>
  <c r="F483" i="55"/>
  <c r="F482" i="55" l="1"/>
  <c r="F481" i="55"/>
  <c r="F480" i="55"/>
  <c r="F479" i="55"/>
  <c r="F477" i="55"/>
  <c r="F478" i="55"/>
  <c r="F476" i="55"/>
  <c r="F475" i="55"/>
  <c r="F474" i="55" l="1"/>
  <c r="F473" i="55" l="1"/>
  <c r="F472" i="55"/>
  <c r="F471" i="55"/>
  <c r="F470" i="55"/>
  <c r="F469" i="55"/>
  <c r="F468" i="55" l="1"/>
  <c r="F467" i="55"/>
  <c r="F466" i="55"/>
  <c r="F465" i="55"/>
  <c r="F464" i="55"/>
  <c r="F463" i="55"/>
  <c r="F462" i="55"/>
  <c r="F461" i="55"/>
  <c r="F460" i="55"/>
  <c r="F459" i="55"/>
  <c r="F458" i="55"/>
  <c r="F457" i="55"/>
  <c r="F456" i="55"/>
  <c r="F455" i="55"/>
  <c r="F454" i="55"/>
  <c r="F453" i="55"/>
  <c r="F452" i="55"/>
  <c r="F450" i="55" l="1"/>
  <c r="F451" i="55"/>
  <c r="F449" i="55"/>
  <c r="F448" i="55" l="1"/>
  <c r="F447" i="55"/>
  <c r="F446" i="55"/>
  <c r="F445" i="55"/>
  <c r="F444" i="55"/>
  <c r="F443" i="55"/>
  <c r="F442" i="55"/>
  <c r="F441" i="55"/>
  <c r="F440" i="55"/>
  <c r="F439" i="55"/>
  <c r="F438" i="55"/>
  <c r="F437" i="55"/>
  <c r="F436" i="55"/>
  <c r="F435" i="55"/>
  <c r="F434" i="55"/>
  <c r="F433" i="55"/>
  <c r="F432" i="55"/>
  <c r="F431" i="55" l="1"/>
  <c r="F430" i="55"/>
  <c r="F429" i="55"/>
  <c r="F396" i="55"/>
  <c r="F395" i="55"/>
  <c r="F428" i="55" l="1"/>
  <c r="F427" i="55"/>
  <c r="F426" i="55"/>
  <c r="F425" i="55"/>
  <c r="F424" i="55"/>
  <c r="F423" i="55" l="1"/>
  <c r="F422" i="55"/>
  <c r="F421" i="55"/>
  <c r="F420" i="55"/>
  <c r="F419" i="55"/>
  <c r="F418" i="55" l="1"/>
  <c r="F417" i="55"/>
  <c r="F416" i="55"/>
  <c r="F415" i="55"/>
  <c r="F414" i="55"/>
  <c r="F413" i="55"/>
  <c r="F412" i="55"/>
  <c r="F411" i="55" l="1"/>
  <c r="F410" i="55"/>
  <c r="F409" i="55"/>
  <c r="F408" i="55"/>
  <c r="F407" i="55" l="1"/>
  <c r="F406" i="55" l="1"/>
  <c r="F405" i="55"/>
  <c r="F404" i="55"/>
  <c r="F403" i="55" l="1"/>
  <c r="F402" i="55" l="1"/>
  <c r="F401" i="55" l="1"/>
  <c r="F400" i="55"/>
  <c r="F399" i="55"/>
  <c r="F398" i="55"/>
  <c r="F397" i="55"/>
  <c r="F394" i="55"/>
  <c r="F393" i="55" l="1"/>
  <c r="F392" i="55"/>
  <c r="F391" i="55"/>
  <c r="F390" i="55" l="1"/>
  <c r="F345" i="55" l="1"/>
  <c r="F346" i="55"/>
  <c r="F388" i="55"/>
  <c r="F387" i="55"/>
  <c r="F386" i="55"/>
  <c r="F385" i="55" l="1"/>
  <c r="F384" i="55" l="1"/>
  <c r="F383" i="55"/>
  <c r="F382" i="55"/>
  <c r="F381" i="55"/>
  <c r="F380" i="55" l="1"/>
  <c r="F379" i="55"/>
  <c r="F378" i="55"/>
  <c r="F377" i="55"/>
  <c r="F376" i="55" l="1"/>
  <c r="F375" i="55"/>
  <c r="F374" i="55"/>
  <c r="F373" i="55"/>
  <c r="F372" i="55"/>
  <c r="F371" i="55"/>
  <c r="F370" i="55" l="1"/>
  <c r="F369" i="55" l="1"/>
  <c r="F368" i="55"/>
  <c r="F367" i="55"/>
  <c r="F366" i="55" l="1"/>
  <c r="F365" i="55"/>
  <c r="F364" i="55"/>
  <c r="F363" i="55"/>
  <c r="F289" i="55" l="1"/>
  <c r="F288" i="55"/>
  <c r="F287" i="55"/>
  <c r="F286" i="55"/>
  <c r="F285" i="55"/>
  <c r="F362" i="55"/>
  <c r="F361" i="55"/>
  <c r="F358" i="55" l="1"/>
  <c r="F357" i="55" l="1"/>
  <c r="F356" i="55"/>
  <c r="F355" i="55"/>
  <c r="F354" i="55"/>
  <c r="F353" i="55"/>
  <c r="F352" i="55" l="1"/>
  <c r="F351" i="55"/>
  <c r="F350" i="55" l="1"/>
  <c r="F348" i="55" l="1"/>
  <c r="F349" i="55"/>
  <c r="F347" i="55"/>
  <c r="F344" i="55"/>
  <c r="F342" i="55"/>
  <c r="F341" i="55"/>
  <c r="F343" i="55"/>
  <c r="F340" i="55" l="1"/>
  <c r="F339" i="55"/>
  <c r="F338" i="55"/>
  <c r="F337" i="55"/>
  <c r="F258" i="55"/>
  <c r="F336" i="55"/>
  <c r="F335" i="55"/>
  <c r="F334" i="55"/>
  <c r="F333" i="55"/>
  <c r="F332" i="55" l="1"/>
  <c r="F331" i="55" l="1"/>
  <c r="F330" i="55" l="1"/>
  <c r="F329" i="55"/>
  <c r="F328" i="55"/>
  <c r="F326" i="55"/>
  <c r="F315" i="55"/>
  <c r="F314" i="55"/>
  <c r="F206" i="55"/>
  <c r="F325" i="55"/>
  <c r="F324" i="55"/>
  <c r="F134" i="55"/>
  <c r="L134" i="55" s="1"/>
  <c r="F323" i="55" l="1"/>
  <c r="F322" i="55"/>
  <c r="F321" i="55"/>
  <c r="F320" i="55"/>
  <c r="F319" i="55"/>
  <c r="F318" i="55"/>
  <c r="F317" i="55"/>
  <c r="F316" i="55"/>
  <c r="F313" i="55"/>
  <c r="F312" i="55"/>
  <c r="F311" i="55"/>
  <c r="F309" i="55" l="1"/>
  <c r="F310" i="55"/>
  <c r="F302" i="55"/>
  <c r="F303" i="55"/>
  <c r="F304" i="55"/>
  <c r="F305" i="55"/>
  <c r="F306" i="55"/>
  <c r="F307" i="55"/>
  <c r="F308" i="55"/>
  <c r="F299" i="55" l="1"/>
  <c r="F298" i="55"/>
  <c r="F297" i="55"/>
  <c r="F296" i="55"/>
  <c r="F295" i="55"/>
  <c r="F294" i="55"/>
  <c r="F293" i="55"/>
  <c r="F292" i="55"/>
  <c r="F291" i="55"/>
  <c r="F290" i="55"/>
  <c r="F284" i="55" l="1"/>
  <c r="F283" i="55" l="1"/>
  <c r="F282" i="55" l="1"/>
  <c r="F281" i="55"/>
  <c r="F280" i="55"/>
  <c r="J272" i="55"/>
  <c r="F272" i="55"/>
  <c r="F279" i="55" l="1"/>
  <c r="F278" i="55"/>
  <c r="F277" i="55"/>
  <c r="F276" i="55"/>
  <c r="F275" i="55"/>
  <c r="F274" i="55"/>
  <c r="F273" i="55" l="1"/>
  <c r="F271" i="55"/>
  <c r="F270" i="55"/>
  <c r="F269" i="55"/>
  <c r="F268" i="55"/>
  <c r="F267" i="55"/>
  <c r="F266" i="55"/>
  <c r="F265" i="55" l="1"/>
  <c r="F264" i="55"/>
  <c r="F263" i="55"/>
  <c r="F262" i="55"/>
  <c r="F261" i="55"/>
  <c r="F260" i="55"/>
  <c r="F259" i="55"/>
  <c r="F257" i="55" l="1"/>
  <c r="F256" i="55"/>
  <c r="F239" i="55"/>
  <c r="F255" i="55"/>
  <c r="F254" i="55"/>
  <c r="F253" i="55"/>
  <c r="F252" i="55"/>
  <c r="F251" i="55"/>
  <c r="F250" i="55"/>
  <c r="F249" i="55"/>
  <c r="F248" i="55"/>
  <c r="F247" i="55" l="1"/>
  <c r="F246" i="55"/>
  <c r="F245" i="55"/>
  <c r="F244" i="55"/>
  <c r="F243" i="55"/>
  <c r="F242" i="55"/>
  <c r="F241" i="55"/>
  <c r="F240" i="55" l="1"/>
  <c r="F238" i="55"/>
  <c r="F237" i="55"/>
  <c r="F236" i="55"/>
  <c r="F235" i="55"/>
  <c r="F234" i="55" l="1"/>
  <c r="F233" i="55"/>
  <c r="F232" i="55"/>
  <c r="F231" i="55" l="1"/>
  <c r="F230" i="55"/>
  <c r="F229" i="55"/>
  <c r="F228" i="55" l="1"/>
  <c r="F227" i="55"/>
  <c r="F225" i="55" l="1"/>
  <c r="F226" i="55"/>
  <c r="F224" i="55"/>
  <c r="F223" i="55"/>
  <c r="F222" i="55"/>
  <c r="F221" i="55"/>
  <c r="F220" i="55"/>
  <c r="F219" i="55"/>
  <c r="F218" i="55"/>
  <c r="F217" i="55" l="1"/>
  <c r="F216" i="55"/>
  <c r="F215" i="55" l="1"/>
  <c r="F214" i="55"/>
  <c r="F213" i="55"/>
  <c r="F212" i="55" l="1"/>
  <c r="F211" i="55"/>
  <c r="F210" i="55"/>
  <c r="J209" i="55"/>
  <c r="F209" i="55"/>
  <c r="F208" i="55"/>
  <c r="F207" i="55"/>
  <c r="F205" i="55"/>
  <c r="F204" i="55" l="1"/>
  <c r="F203" i="55" l="1"/>
  <c r="F202" i="55"/>
  <c r="F193" i="55" l="1"/>
  <c r="F201" i="55"/>
  <c r="F200" i="55"/>
  <c r="F199" i="55" l="1"/>
  <c r="F198" i="55"/>
  <c r="F197" i="55"/>
  <c r="F196" i="55"/>
  <c r="F195" i="55"/>
  <c r="F194" i="55" l="1"/>
  <c r="F192" i="55"/>
  <c r="F191" i="55"/>
  <c r="F190" i="55"/>
  <c r="F189" i="55"/>
  <c r="F188" i="55" l="1"/>
  <c r="F187" i="55"/>
  <c r="F186" i="55"/>
  <c r="F185" i="55"/>
  <c r="F184" i="55"/>
  <c r="F182" i="55"/>
  <c r="F183" i="55"/>
  <c r="F181" i="55"/>
  <c r="F180" i="55"/>
  <c r="F179" i="55"/>
  <c r="F178" i="55"/>
  <c r="F177" i="55"/>
  <c r="F176" i="55"/>
  <c r="F175" i="55" l="1"/>
  <c r="F174" i="55"/>
  <c r="F173" i="55"/>
  <c r="F172" i="55"/>
  <c r="F171" i="55"/>
  <c r="F170" i="55"/>
  <c r="F169" i="55"/>
  <c r="F168" i="55" l="1"/>
  <c r="F167" i="55"/>
  <c r="F166" i="55"/>
  <c r="F165" i="55"/>
  <c r="J164" i="55"/>
  <c r="F164" i="55"/>
  <c r="F163" i="55" l="1"/>
  <c r="F162" i="55"/>
  <c r="F161" i="55"/>
  <c r="F160" i="55"/>
  <c r="F159" i="55"/>
  <c r="F158" i="55"/>
  <c r="F157" i="55"/>
  <c r="F156" i="55"/>
  <c r="F155" i="55"/>
  <c r="F152" i="55"/>
  <c r="F151" i="55"/>
  <c r="F154" i="55" l="1"/>
  <c r="F153" i="55" l="1"/>
  <c r="F150" i="55" l="1"/>
  <c r="F149" i="55" l="1"/>
  <c r="F148" i="55"/>
  <c r="F147" i="55" l="1"/>
  <c r="F146" i="55" l="1"/>
  <c r="F145" i="55"/>
  <c r="F144" i="55"/>
  <c r="F143" i="55"/>
  <c r="F142" i="55" l="1"/>
  <c r="F141" i="55" l="1"/>
  <c r="F140" i="55"/>
  <c r="F139" i="55"/>
  <c r="F138" i="55" l="1"/>
  <c r="F137" i="55"/>
  <c r="F136" i="55"/>
  <c r="F135" i="55"/>
  <c r="L135" i="55" s="1"/>
  <c r="F133" i="55"/>
  <c r="F132" i="55"/>
  <c r="F131" i="55"/>
  <c r="F130" i="55" l="1"/>
  <c r="F129" i="55"/>
  <c r="F128" i="55"/>
  <c r="F127" i="55"/>
  <c r="F126" i="55"/>
  <c r="F125" i="55"/>
  <c r="F124" i="55"/>
  <c r="F123" i="55"/>
  <c r="F122" i="55" l="1"/>
  <c r="F121" i="55" l="1"/>
  <c r="F120" i="55"/>
  <c r="F119" i="55" l="1"/>
  <c r="F118" i="55"/>
  <c r="F117" i="55"/>
  <c r="F116" i="55"/>
  <c r="F115" i="55"/>
  <c r="F114" i="55" l="1"/>
  <c r="F113" i="55"/>
  <c r="F112" i="55"/>
  <c r="F111" i="55" l="1"/>
  <c r="F110" i="55"/>
  <c r="F109" i="55"/>
  <c r="F108" i="55"/>
  <c r="F107" i="55"/>
  <c r="F106" i="55" l="1"/>
  <c r="F105" i="55"/>
  <c r="F104" i="55"/>
  <c r="F103" i="55"/>
  <c r="F102" i="55"/>
  <c r="F101" i="55" l="1"/>
  <c r="F100" i="55"/>
  <c r="F97" i="55"/>
  <c r="F96" i="55"/>
  <c r="F95" i="55" l="1"/>
  <c r="F94" i="55" l="1"/>
  <c r="F93" i="55"/>
  <c r="F92" i="55"/>
  <c r="F91" i="55"/>
  <c r="F87" i="55"/>
  <c r="F86" i="55"/>
  <c r="F90" i="55"/>
  <c r="F89" i="55"/>
  <c r="F85" i="55"/>
  <c r="F84" i="55"/>
  <c r="F78" i="55"/>
  <c r="F77" i="55"/>
  <c r="F76" i="55"/>
  <c r="F83" i="55"/>
  <c r="F82" i="55"/>
  <c r="F81" i="55"/>
  <c r="F80" i="55"/>
  <c r="F79" i="55"/>
  <c r="F75" i="55" l="1"/>
  <c r="F74" i="55"/>
  <c r="F73" i="55"/>
  <c r="F68" i="55"/>
  <c r="F67" i="55"/>
  <c r="F66" i="55"/>
  <c r="F72" i="55"/>
  <c r="F71" i="55"/>
  <c r="F70" i="55"/>
  <c r="F69" i="55"/>
  <c r="F65" i="55" l="1"/>
  <c r="F64" i="55"/>
  <c r="F63" i="55"/>
  <c r="F62" i="55"/>
  <c r="F61" i="55" l="1"/>
  <c r="F60" i="55" l="1"/>
  <c r="F59" i="55"/>
  <c r="F58" i="55" l="1"/>
  <c r="J57" i="55"/>
  <c r="F57" i="55"/>
  <c r="F56" i="55" l="1"/>
  <c r="F55" i="55" l="1"/>
  <c r="F54" i="55"/>
  <c r="F53" i="55" l="1"/>
  <c r="F52" i="55" l="1"/>
  <c r="F51" i="55" l="1"/>
  <c r="F50" i="55"/>
  <c r="F49" i="55"/>
  <c r="F48" i="55"/>
  <c r="F46" i="55" l="1"/>
  <c r="F47" i="55"/>
  <c r="F44" i="55" l="1"/>
  <c r="F45" i="55"/>
  <c r="F23" i="55"/>
  <c r="F43" i="55" l="1"/>
  <c r="F42" i="55"/>
  <c r="F41" i="55" l="1"/>
  <c r="F40" i="55" l="1"/>
  <c r="F39" i="55"/>
  <c r="F39" i="2"/>
  <c r="F38" i="55"/>
  <c r="F37" i="55" l="1"/>
  <c r="F36" i="55"/>
  <c r="F35" i="55"/>
  <c r="F34" i="55"/>
  <c r="F33" i="55" l="1"/>
  <c r="F32" i="55" l="1"/>
  <c r="J31" i="55" l="1"/>
  <c r="F30" i="55"/>
  <c r="F29" i="55"/>
  <c r="F28" i="55"/>
  <c r="F27" i="55"/>
  <c r="F26" i="55"/>
  <c r="F25" i="55" l="1"/>
  <c r="F24" i="55"/>
  <c r="F22" i="55" l="1"/>
  <c r="F18" i="55"/>
  <c r="F21" i="55"/>
  <c r="F20" i="55"/>
  <c r="F19" i="55" l="1"/>
  <c r="F17" i="55" l="1"/>
  <c r="F16" i="55"/>
  <c r="F15" i="55" l="1"/>
  <c r="L15" i="55" s="1"/>
  <c r="F14" i="55"/>
  <c r="F13" i="55"/>
  <c r="F12" i="55"/>
  <c r="F11" i="55"/>
  <c r="F10" i="55"/>
  <c r="J10" i="55" l="1"/>
  <c r="J11" i="55"/>
  <c r="J12" i="55"/>
  <c r="J13" i="55"/>
  <c r="J14" i="55"/>
  <c r="J15" i="55"/>
  <c r="J16" i="55"/>
  <c r="J17" i="55"/>
  <c r="J18" i="55"/>
  <c r="J19" i="55"/>
  <c r="J20" i="55"/>
  <c r="J21" i="55"/>
  <c r="J22" i="55"/>
  <c r="J23" i="55"/>
  <c r="J24" i="55"/>
  <c r="J25" i="55"/>
  <c r="J27" i="55"/>
  <c r="J28" i="55"/>
  <c r="J29" i="55"/>
  <c r="J30" i="55"/>
  <c r="J32" i="55"/>
  <c r="J33" i="55"/>
  <c r="J34" i="55"/>
  <c r="J35" i="55"/>
  <c r="J36" i="55"/>
  <c r="J37" i="55"/>
  <c r="J38" i="55"/>
  <c r="J39" i="55"/>
  <c r="J40" i="55"/>
  <c r="J41" i="55"/>
  <c r="J42" i="55"/>
  <c r="J43" i="55"/>
  <c r="J44" i="55"/>
  <c r="J45" i="55"/>
  <c r="J46" i="55"/>
  <c r="J47" i="55"/>
  <c r="J48" i="55"/>
  <c r="J49" i="55"/>
  <c r="J50" i="55"/>
  <c r="J51" i="55"/>
  <c r="J52" i="55"/>
  <c r="J53" i="55"/>
  <c r="J54" i="55"/>
  <c r="J55" i="55"/>
  <c r="J56" i="55"/>
  <c r="J58" i="55"/>
  <c r="J59" i="55"/>
  <c r="J60" i="55"/>
  <c r="J61" i="55"/>
  <c r="J62" i="55"/>
  <c r="J63" i="55"/>
  <c r="J64" i="55"/>
  <c r="J65" i="55"/>
  <c r="J66" i="55"/>
  <c r="J67" i="55"/>
  <c r="J68" i="55"/>
  <c r="J69" i="55"/>
  <c r="J70" i="55"/>
  <c r="J72" i="55"/>
  <c r="J73" i="55"/>
  <c r="J74" i="55"/>
  <c r="J75" i="55"/>
  <c r="J76" i="55"/>
  <c r="J78" i="55"/>
  <c r="J79" i="55"/>
  <c r="J80" i="55"/>
  <c r="J81" i="55"/>
  <c r="J82" i="55"/>
  <c r="J83" i="55"/>
  <c r="J84" i="55"/>
  <c r="J85" i="55"/>
  <c r="J86" i="55"/>
  <c r="J87" i="55"/>
  <c r="J89" i="55"/>
  <c r="J90" i="55"/>
  <c r="J91" i="55"/>
  <c r="J92" i="55"/>
  <c r="J93" i="55"/>
  <c r="J94" i="55"/>
  <c r="J95" i="55"/>
  <c r="J96" i="55"/>
  <c r="J97" i="55"/>
  <c r="J100" i="55"/>
  <c r="J101" i="55"/>
  <c r="J102" i="55"/>
  <c r="J103" i="55"/>
  <c r="J104" i="55"/>
  <c r="J105" i="55"/>
  <c r="J106" i="55"/>
  <c r="J107" i="55"/>
  <c r="J108" i="55"/>
  <c r="J109" i="55"/>
  <c r="J110" i="55"/>
  <c r="J111" i="55"/>
  <c r="J112" i="55"/>
  <c r="J113" i="55"/>
  <c r="J114" i="55"/>
  <c r="J115" i="55"/>
  <c r="J116" i="55"/>
  <c r="J117" i="55"/>
  <c r="J118" i="55"/>
  <c r="J119" i="55"/>
  <c r="J120" i="55"/>
  <c r="J121" i="55"/>
  <c r="J122" i="55"/>
  <c r="J123" i="55"/>
  <c r="J124" i="55"/>
  <c r="J125" i="55"/>
  <c r="J126" i="55"/>
  <c r="J127" i="55"/>
  <c r="J128" i="55"/>
  <c r="J129" i="55"/>
  <c r="J130" i="55"/>
  <c r="J131" i="55"/>
  <c r="J132" i="55"/>
  <c r="J133" i="55"/>
  <c r="J134" i="55"/>
  <c r="J135" i="55"/>
  <c r="J136" i="55"/>
  <c r="J137" i="55"/>
  <c r="J138" i="55"/>
  <c r="J139" i="55"/>
  <c r="J140" i="55"/>
  <c r="J141" i="55"/>
  <c r="J142" i="55"/>
  <c r="J143" i="55"/>
  <c r="J144" i="55"/>
  <c r="J145" i="55"/>
  <c r="J146" i="55"/>
  <c r="J147" i="55"/>
  <c r="J148" i="55"/>
  <c r="J149" i="55"/>
  <c r="J150" i="55"/>
  <c r="J151" i="55"/>
  <c r="J152" i="55"/>
  <c r="J153" i="55"/>
  <c r="J154" i="55"/>
  <c r="J155" i="55"/>
  <c r="J156" i="55"/>
  <c r="J157" i="55"/>
  <c r="J158" i="55"/>
  <c r="J159" i="55"/>
  <c r="J160" i="55"/>
  <c r="J161" i="55"/>
  <c r="J162" i="55"/>
  <c r="J163" i="55"/>
  <c r="J165" i="55"/>
  <c r="J166" i="55"/>
  <c r="J167" i="55"/>
  <c r="J168" i="55"/>
  <c r="J169" i="55"/>
  <c r="J170" i="55"/>
  <c r="J171" i="55"/>
  <c r="J172" i="55"/>
  <c r="J173" i="55"/>
  <c r="J174" i="55"/>
  <c r="J175" i="55"/>
  <c r="J176" i="55"/>
  <c r="J177" i="55"/>
  <c r="J178" i="55"/>
  <c r="J179" i="55"/>
  <c r="J180" i="55"/>
  <c r="J181" i="55"/>
  <c r="J182" i="55"/>
  <c r="J183" i="55"/>
  <c r="J184" i="55"/>
  <c r="J185" i="55"/>
  <c r="J186" i="55"/>
  <c r="J187" i="55"/>
  <c r="J188" i="55"/>
  <c r="J189" i="55"/>
  <c r="J190" i="55"/>
  <c r="J191" i="55"/>
  <c r="J192" i="55"/>
  <c r="J193" i="55"/>
  <c r="J194" i="55"/>
  <c r="J195" i="55"/>
  <c r="J196" i="55"/>
  <c r="J197" i="55"/>
  <c r="J198" i="55"/>
  <c r="J199" i="55"/>
  <c r="J200" i="55"/>
  <c r="J201" i="55"/>
  <c r="J202" i="55"/>
  <c r="J203" i="55"/>
  <c r="J204" i="55"/>
  <c r="J205" i="55"/>
  <c r="J206" i="55"/>
  <c r="J207" i="55"/>
  <c r="J208" i="55"/>
  <c r="J210" i="55"/>
  <c r="J211" i="55"/>
  <c r="J212" i="55"/>
  <c r="J213" i="55"/>
  <c r="J214" i="55"/>
  <c r="J215" i="55"/>
  <c r="J216" i="55"/>
  <c r="J217" i="55"/>
  <c r="J218" i="55"/>
  <c r="J219" i="55"/>
  <c r="J220" i="55"/>
  <c r="J221" i="55"/>
  <c r="J222" i="55"/>
  <c r="J223" i="55"/>
  <c r="J224" i="55"/>
  <c r="J225" i="55"/>
  <c r="J226" i="55"/>
  <c r="J227" i="55"/>
  <c r="J228" i="55"/>
  <c r="J229" i="55"/>
  <c r="J230" i="55"/>
  <c r="J231" i="55"/>
  <c r="J232" i="55"/>
  <c r="J233" i="55"/>
  <c r="J234" i="55"/>
  <c r="J235" i="55"/>
  <c r="J236" i="55"/>
  <c r="J237" i="55"/>
  <c r="J238" i="55"/>
  <c r="J239" i="55"/>
  <c r="J240" i="55"/>
  <c r="J241" i="55"/>
  <c r="J242" i="55"/>
  <c r="J243" i="55"/>
  <c r="J244" i="55"/>
  <c r="J245" i="55"/>
  <c r="J246" i="55"/>
  <c r="J247" i="55"/>
  <c r="J248" i="55"/>
  <c r="J249" i="55"/>
  <c r="J250" i="55"/>
  <c r="J251" i="55"/>
  <c r="J252" i="55"/>
  <c r="J253" i="55"/>
  <c r="J254" i="55"/>
  <c r="J255" i="55"/>
  <c r="J256" i="55"/>
  <c r="J257" i="55"/>
  <c r="J258" i="55"/>
  <c r="J259" i="55"/>
  <c r="J260" i="55"/>
  <c r="J261" i="55"/>
  <c r="J262" i="55"/>
  <c r="J263" i="55"/>
  <c r="J264" i="55"/>
  <c r="J265" i="55"/>
  <c r="J266" i="55"/>
  <c r="J267" i="55"/>
  <c r="J268" i="55"/>
  <c r="J269" i="55"/>
  <c r="J270" i="55"/>
  <c r="J271" i="55"/>
  <c r="J273" i="55"/>
  <c r="J274" i="55"/>
  <c r="J275" i="55"/>
  <c r="J276" i="55"/>
  <c r="J277" i="55"/>
  <c r="J278" i="55"/>
  <c r="J279" i="55"/>
  <c r="J280" i="55"/>
  <c r="J281" i="55"/>
  <c r="J282" i="55"/>
  <c r="J283" i="55"/>
  <c r="J284" i="55"/>
  <c r="J285" i="55"/>
  <c r="J286" i="55"/>
  <c r="J287" i="55"/>
  <c r="J288" i="55"/>
  <c r="J289" i="55"/>
  <c r="J290" i="55"/>
  <c r="J291" i="55"/>
  <c r="J292" i="55"/>
  <c r="J293" i="55"/>
  <c r="J294" i="55"/>
  <c r="J295" i="55"/>
  <c r="J296" i="55"/>
  <c r="J297" i="55"/>
  <c r="J298" i="55"/>
  <c r="J299" i="55"/>
  <c r="J302" i="55"/>
  <c r="J303" i="55"/>
  <c r="J304" i="55"/>
  <c r="J305" i="55"/>
  <c r="J306" i="55"/>
  <c r="J307" i="55"/>
  <c r="J308" i="55"/>
  <c r="J309" i="55"/>
  <c r="J310" i="55"/>
  <c r="J311" i="55"/>
  <c r="J312" i="55"/>
  <c r="J313" i="55"/>
  <c r="J314" i="55"/>
  <c r="J315" i="55"/>
  <c r="J316" i="55"/>
  <c r="J317" i="55"/>
  <c r="J318" i="55"/>
  <c r="J319" i="55"/>
  <c r="J320" i="55"/>
  <c r="J321" i="55"/>
  <c r="J322" i="55"/>
  <c r="J323" i="55"/>
  <c r="J324" i="55"/>
  <c r="J325" i="55"/>
  <c r="J326" i="55"/>
  <c r="J327" i="55"/>
  <c r="J328" i="55"/>
  <c r="J329" i="55"/>
  <c r="J330" i="55"/>
  <c r="J331" i="55"/>
  <c r="J332" i="55"/>
  <c r="J333" i="55"/>
  <c r="J334" i="55"/>
  <c r="J335" i="55"/>
  <c r="J336" i="55"/>
  <c r="J337" i="55"/>
  <c r="J338" i="55"/>
  <c r="J339" i="55"/>
  <c r="J340" i="55"/>
  <c r="J341" i="55"/>
  <c r="J342" i="55"/>
  <c r="J343" i="55"/>
  <c r="J344" i="55"/>
  <c r="J345" i="55"/>
  <c r="J346" i="55"/>
  <c r="J347" i="55"/>
  <c r="J348" i="55"/>
  <c r="J349" i="55"/>
  <c r="J350" i="55"/>
  <c r="J351" i="55"/>
  <c r="J352" i="55"/>
  <c r="J353" i="55"/>
  <c r="J354" i="55"/>
  <c r="J355" i="55"/>
  <c r="J356" i="55"/>
  <c r="J357" i="55"/>
  <c r="J358" i="55"/>
  <c r="J361" i="55"/>
  <c r="J362" i="55"/>
  <c r="J363" i="55"/>
  <c r="J364" i="55"/>
  <c r="J365" i="55"/>
  <c r="J366" i="55"/>
  <c r="J367" i="55"/>
  <c r="J368" i="55"/>
  <c r="J369" i="55"/>
  <c r="J370" i="55"/>
  <c r="J372" i="55"/>
  <c r="J373" i="55"/>
  <c r="J374" i="55"/>
  <c r="J375" i="55"/>
  <c r="J376" i="55"/>
  <c r="J377" i="55"/>
  <c r="J378" i="55"/>
  <c r="J379" i="55"/>
  <c r="J380" i="55"/>
  <c r="J381" i="55"/>
  <c r="J382" i="55"/>
  <c r="J383" i="55"/>
  <c r="J384" i="55"/>
  <c r="J385" i="55"/>
  <c r="J386" i="55"/>
  <c r="J387" i="55"/>
  <c r="J388" i="55"/>
  <c r="J389" i="55"/>
  <c r="J390" i="55"/>
  <c r="J391" i="55"/>
  <c r="J392" i="55"/>
  <c r="J393" i="55"/>
  <c r="J394" i="55"/>
  <c r="J395" i="55"/>
  <c r="J396" i="55"/>
  <c r="J397" i="55"/>
  <c r="J398" i="55"/>
  <c r="J399" i="55"/>
  <c r="J400" i="55"/>
  <c r="J401" i="55"/>
  <c r="J402" i="55"/>
  <c r="J403" i="55"/>
  <c r="J404" i="55"/>
  <c r="J405" i="55"/>
  <c r="J406" i="55"/>
  <c r="J407" i="55"/>
  <c r="J408" i="55"/>
  <c r="J409" i="55"/>
  <c r="J410" i="55"/>
  <c r="J411" i="55"/>
  <c r="J412" i="55"/>
  <c r="J413" i="55"/>
  <c r="J414" i="55"/>
  <c r="J415" i="55"/>
  <c r="J416" i="55"/>
  <c r="J417" i="55"/>
  <c r="J418" i="55"/>
  <c r="J419" i="55"/>
  <c r="J420" i="55"/>
  <c r="J421" i="55"/>
  <c r="J422" i="55"/>
  <c r="J423" i="55"/>
  <c r="J424" i="55"/>
  <c r="J425" i="55"/>
  <c r="J426" i="55"/>
  <c r="J427" i="55"/>
  <c r="J428" i="55"/>
  <c r="J429" i="55"/>
  <c r="J430" i="55"/>
  <c r="J431" i="55"/>
  <c r="J432" i="55"/>
  <c r="J433" i="55"/>
  <c r="J434" i="55"/>
  <c r="J435" i="55"/>
  <c r="J436" i="55"/>
  <c r="J437" i="55"/>
  <c r="J438" i="55"/>
  <c r="J439" i="55"/>
  <c r="J440" i="55"/>
  <c r="J441" i="55"/>
  <c r="J442" i="55"/>
  <c r="J443" i="55"/>
  <c r="J444" i="55"/>
  <c r="J445" i="55"/>
  <c r="J446" i="55"/>
  <c r="J447" i="55"/>
  <c r="J448" i="55"/>
  <c r="J449" i="55"/>
  <c r="J450" i="55"/>
  <c r="J451" i="55"/>
  <c r="J452" i="55"/>
  <c r="J453" i="55"/>
  <c r="J454" i="55"/>
  <c r="J455" i="55"/>
  <c r="J456" i="55"/>
  <c r="J457" i="55"/>
  <c r="J458" i="55"/>
  <c r="J459" i="55"/>
  <c r="J460" i="55"/>
  <c r="J461" i="55"/>
  <c r="J462" i="55"/>
  <c r="J463" i="55"/>
  <c r="J464" i="55"/>
  <c r="J465" i="55"/>
  <c r="J466" i="55"/>
  <c r="J467" i="55"/>
  <c r="J468" i="55"/>
  <c r="J469" i="55"/>
  <c r="J470" i="55"/>
  <c r="J471" i="55"/>
  <c r="J472" i="55"/>
  <c r="J473" i="55"/>
  <c r="J474" i="55"/>
  <c r="J475" i="55"/>
  <c r="J477" i="55"/>
  <c r="J478" i="55"/>
  <c r="J479" i="55"/>
  <c r="J480" i="55"/>
  <c r="J481" i="55"/>
  <c r="J482" i="55"/>
  <c r="J483" i="55"/>
  <c r="J484" i="55"/>
  <c r="J485" i="55"/>
  <c r="J486" i="55"/>
  <c r="J487" i="55"/>
  <c r="J488" i="55"/>
  <c r="J489" i="55"/>
  <c r="J490" i="55"/>
  <c r="J491" i="55"/>
  <c r="J492" i="55"/>
  <c r="J493" i="55"/>
  <c r="J494" i="55"/>
  <c r="J495" i="55"/>
  <c r="J496" i="55"/>
  <c r="J497" i="55"/>
  <c r="J498" i="55"/>
  <c r="J499" i="55"/>
  <c r="J500" i="55"/>
  <c r="J501" i="55"/>
  <c r="J502" i="55"/>
  <c r="J503" i="55"/>
  <c r="J504" i="55"/>
  <c r="J505" i="55"/>
  <c r="J506" i="55"/>
  <c r="J507" i="55"/>
  <c r="J508" i="55"/>
  <c r="J509" i="55"/>
  <c r="J510" i="55"/>
  <c r="J511" i="55"/>
  <c r="J512" i="55"/>
  <c r="J513" i="55"/>
  <c r="J514" i="55"/>
  <c r="J515" i="55"/>
  <c r="J516" i="55"/>
  <c r="J517" i="55"/>
  <c r="J518" i="55"/>
  <c r="J519" i="55"/>
  <c r="J520" i="55"/>
  <c r="J521" i="55"/>
  <c r="J522" i="55"/>
  <c r="J523" i="55"/>
  <c r="J524" i="55"/>
  <c r="J525" i="55"/>
  <c r="J526" i="55"/>
  <c r="J527" i="55"/>
  <c r="J528" i="55"/>
  <c r="J529" i="55"/>
  <c r="J530" i="55"/>
  <c r="J531" i="55"/>
  <c r="J532" i="55"/>
  <c r="J533" i="55"/>
  <c r="J534" i="55"/>
  <c r="J535" i="55"/>
  <c r="J536" i="55"/>
  <c r="J537" i="55"/>
  <c r="J538" i="55"/>
  <c r="J539" i="55"/>
  <c r="J540" i="55"/>
  <c r="J541" i="55"/>
  <c r="J542" i="55"/>
  <c r="J543" i="55"/>
  <c r="J544" i="55"/>
  <c r="L309" i="55"/>
  <c r="L305" i="55"/>
  <c r="L297" i="55"/>
  <c r="L274" i="55"/>
  <c r="L271" i="55"/>
  <c r="L267" i="55"/>
  <c r="L263" i="55"/>
  <c r="L259" i="55"/>
  <c r="L255" i="55"/>
  <c r="L315" i="55"/>
  <c r="L321" i="55"/>
  <c r="L333" i="55"/>
  <c r="L331" i="55"/>
  <c r="L330" i="55"/>
  <c r="L329" i="55"/>
  <c r="L246" i="55"/>
  <c r="L245" i="55"/>
  <c r="L323" i="55"/>
  <c r="L322" i="55"/>
  <c r="L320" i="55"/>
  <c r="L319" i="55"/>
  <c r="L318" i="55"/>
  <c r="L316" i="55"/>
  <c r="L314" i="55"/>
  <c r="L313" i="55"/>
  <c r="L312" i="55"/>
  <c r="L311" i="55"/>
  <c r="L310" i="55"/>
  <c r="L308" i="55"/>
  <c r="L307" i="55"/>
  <c r="L306" i="55"/>
  <c r="L304" i="55"/>
  <c r="L303" i="55"/>
  <c r="L302" i="55"/>
  <c r="L299" i="55"/>
  <c r="L298" i="55"/>
  <c r="L296" i="55"/>
  <c r="L295" i="55"/>
  <c r="L294" i="55"/>
  <c r="L293" i="55"/>
  <c r="L291" i="55"/>
  <c r="L290" i="55"/>
  <c r="L289" i="55"/>
  <c r="L287" i="55"/>
  <c r="L286" i="55"/>
  <c r="L285" i="55"/>
  <c r="L283" i="55"/>
  <c r="L282" i="55"/>
  <c r="L281" i="55"/>
  <c r="L279" i="55"/>
  <c r="L278" i="55"/>
  <c r="L277" i="55"/>
  <c r="L275" i="55"/>
  <c r="L273" i="55"/>
  <c r="L270" i="55"/>
  <c r="L269" i="55"/>
  <c r="L268" i="55"/>
  <c r="L266" i="55"/>
  <c r="L265" i="55"/>
  <c r="L264" i="55"/>
  <c r="L262" i="55"/>
  <c r="L261" i="55"/>
  <c r="L260" i="55"/>
  <c r="L258" i="55"/>
  <c r="L257" i="55"/>
  <c r="L256" i="55"/>
  <c r="L253" i="55"/>
  <c r="L252" i="55"/>
  <c r="L251" i="55"/>
  <c r="L250" i="55"/>
  <c r="L249" i="55"/>
  <c r="L248" i="55"/>
  <c r="L247" i="55"/>
  <c r="L244" i="55"/>
  <c r="L194" i="55"/>
  <c r="L190" i="55"/>
  <c r="L186" i="55"/>
  <c r="L182" i="55"/>
  <c r="L177" i="55"/>
  <c r="L174" i="55"/>
  <c r="L170" i="55"/>
  <c r="L137" i="55"/>
  <c r="L82" i="55"/>
  <c r="J10" i="41"/>
  <c r="J9" i="55"/>
  <c r="E15" i="41"/>
  <c r="E14" i="41"/>
  <c r="E13" i="41"/>
  <c r="E12" i="41"/>
  <c r="F13" i="57"/>
  <c r="F12" i="57"/>
  <c r="F9" i="55"/>
  <c r="F11" i="57"/>
  <c r="F10" i="57"/>
  <c r="K10" i="57" s="1"/>
  <c r="K265" i="57"/>
  <c r="K264" i="57"/>
  <c r="K259" i="57"/>
  <c r="K258" i="57"/>
  <c r="K257" i="57"/>
  <c r="K256" i="57"/>
  <c r="K255" i="57"/>
  <c r="K254" i="57"/>
  <c r="K253" i="57"/>
  <c r="K252" i="57"/>
  <c r="K251" i="57"/>
  <c r="K250" i="57"/>
  <c r="K249" i="57"/>
  <c r="K248" i="57"/>
  <c r="K247" i="57"/>
  <c r="K246" i="57"/>
  <c r="K245" i="57"/>
  <c r="K244" i="57"/>
  <c r="K243" i="57"/>
  <c r="K242" i="57"/>
  <c r="K241" i="57"/>
  <c r="K240" i="57"/>
  <c r="K239" i="57"/>
  <c r="K238" i="57"/>
  <c r="K237" i="57"/>
  <c r="K236" i="57"/>
  <c r="K235" i="57"/>
  <c r="K234" i="57"/>
  <c r="K233" i="57"/>
  <c r="K232" i="57"/>
  <c r="K231" i="57"/>
  <c r="K230" i="57"/>
  <c r="K229" i="57"/>
  <c r="K228" i="57"/>
  <c r="K227" i="57"/>
  <c r="K226" i="57"/>
  <c r="K225" i="57"/>
  <c r="K224" i="57"/>
  <c r="K223" i="57"/>
  <c r="K222" i="57"/>
  <c r="K221" i="57"/>
  <c r="K220" i="57"/>
  <c r="K219" i="57"/>
  <c r="K218" i="57"/>
  <c r="K217" i="57"/>
  <c r="K216" i="57"/>
  <c r="K215" i="57"/>
  <c r="K214" i="57"/>
  <c r="K213" i="57"/>
  <c r="K212" i="57"/>
  <c r="K211" i="57"/>
  <c r="K210" i="57"/>
  <c r="K209" i="57"/>
  <c r="K208" i="57"/>
  <c r="K207" i="57"/>
  <c r="K206" i="57"/>
  <c r="K205" i="57"/>
  <c r="K204" i="57"/>
  <c r="K203" i="57"/>
  <c r="K202" i="57"/>
  <c r="N202" i="57" s="1"/>
  <c r="K201" i="57"/>
  <c r="N201" i="57" s="1"/>
  <c r="K200" i="57"/>
  <c r="N200" i="57" s="1"/>
  <c r="K199" i="57"/>
  <c r="N199" i="57" s="1"/>
  <c r="K198" i="57"/>
  <c r="N198" i="57" s="1"/>
  <c r="K197" i="57"/>
  <c r="N197" i="57" s="1"/>
  <c r="K196" i="57"/>
  <c r="N196" i="57" s="1"/>
  <c r="K195" i="57"/>
  <c r="N195" i="57" s="1"/>
  <c r="K194" i="57"/>
  <c r="N194" i="57" s="1"/>
  <c r="K193" i="57"/>
  <c r="N193" i="57" s="1"/>
  <c r="K192" i="57"/>
  <c r="O192" i="57" s="1"/>
  <c r="K191" i="57"/>
  <c r="K190" i="57"/>
  <c r="O190" i="57" s="1"/>
  <c r="K189" i="57"/>
  <c r="K188" i="57"/>
  <c r="O188" i="57" s="1"/>
  <c r="K187" i="57"/>
  <c r="K186" i="57"/>
  <c r="O186" i="57" s="1"/>
  <c r="K185" i="57"/>
  <c r="K184" i="57"/>
  <c r="O184" i="57" s="1"/>
  <c r="K183" i="57"/>
  <c r="K182" i="57"/>
  <c r="O182" i="57" s="1"/>
  <c r="K181" i="57"/>
  <c r="K180" i="57"/>
  <c r="O180" i="57" s="1"/>
  <c r="K179" i="57"/>
  <c r="K178" i="57"/>
  <c r="O178" i="57" s="1"/>
  <c r="K177" i="57"/>
  <c r="K176" i="57"/>
  <c r="O176" i="57" s="1"/>
  <c r="K175" i="57"/>
  <c r="K174" i="57"/>
  <c r="O174" i="57" s="1"/>
  <c r="K173" i="57"/>
  <c r="K172" i="57"/>
  <c r="O172" i="57" s="1"/>
  <c r="K171" i="57"/>
  <c r="K170" i="57"/>
  <c r="O170" i="57" s="1"/>
  <c r="K169" i="57"/>
  <c r="K168" i="57"/>
  <c r="O168" i="57" s="1"/>
  <c r="K167" i="57"/>
  <c r="K166" i="57"/>
  <c r="O166" i="57" s="1"/>
  <c r="K165" i="57"/>
  <c r="K164" i="57"/>
  <c r="O164" i="57" s="1"/>
  <c r="K163" i="57"/>
  <c r="K162" i="57"/>
  <c r="O162" i="57" s="1"/>
  <c r="K161" i="57"/>
  <c r="K160" i="57"/>
  <c r="O160" i="57" s="1"/>
  <c r="K159" i="57"/>
  <c r="K158" i="57"/>
  <c r="O158" i="57" s="1"/>
  <c r="K157" i="57"/>
  <c r="K156" i="57"/>
  <c r="O156" i="57" s="1"/>
  <c r="K155" i="57"/>
  <c r="K154" i="57"/>
  <c r="O154" i="57" s="1"/>
  <c r="K153" i="57"/>
  <c r="K152" i="57"/>
  <c r="O152" i="57" s="1"/>
  <c r="K151" i="57"/>
  <c r="N151" i="57" s="1"/>
  <c r="K150" i="57"/>
  <c r="K149" i="57"/>
  <c r="O149" i="57" s="1"/>
  <c r="K148" i="57"/>
  <c r="K147" i="57"/>
  <c r="O147" i="57" s="1"/>
  <c r="P146" i="57"/>
  <c r="K146" i="57"/>
  <c r="O146" i="57" s="1"/>
  <c r="P145" i="57"/>
  <c r="K145" i="57"/>
  <c r="O145" i="57" s="1"/>
  <c r="P144" i="57"/>
  <c r="K144" i="57"/>
  <c r="O144" i="57" s="1"/>
  <c r="P143" i="57"/>
  <c r="K143" i="57"/>
  <c r="O143" i="57" s="1"/>
  <c r="P142" i="57"/>
  <c r="K142" i="57"/>
  <c r="O142" i="57" s="1"/>
  <c r="P141" i="57"/>
  <c r="K141" i="57"/>
  <c r="O141" i="57" s="1"/>
  <c r="P140" i="57"/>
  <c r="K140" i="57"/>
  <c r="O140" i="57" s="1"/>
  <c r="P139" i="57"/>
  <c r="K139" i="57"/>
  <c r="O139" i="57" s="1"/>
  <c r="P138" i="57"/>
  <c r="K138" i="57"/>
  <c r="O138" i="57" s="1"/>
  <c r="P137" i="57"/>
  <c r="K137" i="57"/>
  <c r="O137" i="57" s="1"/>
  <c r="P136" i="57"/>
  <c r="K136" i="57"/>
  <c r="O136" i="57" s="1"/>
  <c r="P135" i="57"/>
  <c r="K135" i="57"/>
  <c r="O135" i="57" s="1"/>
  <c r="P134" i="57"/>
  <c r="K134" i="57"/>
  <c r="O134" i="57" s="1"/>
  <c r="P133" i="57"/>
  <c r="K133" i="57"/>
  <c r="O133" i="57" s="1"/>
  <c r="P132" i="57"/>
  <c r="K132" i="57"/>
  <c r="O132" i="57" s="1"/>
  <c r="P131" i="57"/>
  <c r="K131" i="57"/>
  <c r="O131" i="57" s="1"/>
  <c r="P130" i="57"/>
  <c r="K130" i="57"/>
  <c r="O130" i="57" s="1"/>
  <c r="P129" i="57"/>
  <c r="K129" i="57"/>
  <c r="O129" i="57" s="1"/>
  <c r="P128" i="57"/>
  <c r="K128" i="57"/>
  <c r="O128" i="57" s="1"/>
  <c r="P127" i="57"/>
  <c r="P126" i="57"/>
  <c r="P125" i="57"/>
  <c r="P124" i="57"/>
  <c r="P123" i="57"/>
  <c r="K122" i="57"/>
  <c r="N122" i="57" s="1"/>
  <c r="P122" i="57"/>
  <c r="P121" i="57"/>
  <c r="K121" i="57"/>
  <c r="O121" i="57" s="1"/>
  <c r="P120" i="57"/>
  <c r="K120" i="57"/>
  <c r="O120" i="57" s="1"/>
  <c r="P119" i="57"/>
  <c r="K119" i="57"/>
  <c r="O119" i="57" s="1"/>
  <c r="P118" i="57"/>
  <c r="K118" i="57"/>
  <c r="O118" i="57" s="1"/>
  <c r="P117" i="57"/>
  <c r="K117" i="57"/>
  <c r="O117" i="57" s="1"/>
  <c r="P116" i="57"/>
  <c r="K116" i="57"/>
  <c r="O116" i="57" s="1"/>
  <c r="P115" i="57"/>
  <c r="K115" i="57"/>
  <c r="O115" i="57" s="1"/>
  <c r="P114" i="57"/>
  <c r="K114" i="57"/>
  <c r="O114" i="57" s="1"/>
  <c r="P113" i="57"/>
  <c r="K113" i="57"/>
  <c r="P112" i="57"/>
  <c r="K112" i="57"/>
  <c r="O112" i="57" s="1"/>
  <c r="P111" i="57"/>
  <c r="K111" i="57"/>
  <c r="O111" i="57" s="1"/>
  <c r="P110" i="57"/>
  <c r="K110" i="57"/>
  <c r="O110" i="57" s="1"/>
  <c r="P109" i="57"/>
  <c r="K109" i="57"/>
  <c r="O109" i="57" s="1"/>
  <c r="P108" i="57"/>
  <c r="K108" i="57"/>
  <c r="O108" i="57" s="1"/>
  <c r="P107" i="57"/>
  <c r="K107" i="57"/>
  <c r="O107" i="57" s="1"/>
  <c r="P106" i="57"/>
  <c r="K106" i="57"/>
  <c r="O106" i="57" s="1"/>
  <c r="P105" i="57"/>
  <c r="K105" i="57"/>
  <c r="O105" i="57" s="1"/>
  <c r="P104" i="57"/>
  <c r="K104" i="57"/>
  <c r="O104" i="57" s="1"/>
  <c r="P103" i="57"/>
  <c r="K103" i="57"/>
  <c r="O103" i="57" s="1"/>
  <c r="P102" i="57"/>
  <c r="K102" i="57"/>
  <c r="O102" i="57" s="1"/>
  <c r="P101" i="57"/>
  <c r="K101" i="57"/>
  <c r="O101" i="57" s="1"/>
  <c r="P100" i="57"/>
  <c r="K100" i="57"/>
  <c r="O100" i="57" s="1"/>
  <c r="P99" i="57"/>
  <c r="K99" i="57"/>
  <c r="O99" i="57" s="1"/>
  <c r="P98" i="57"/>
  <c r="K98" i="57"/>
  <c r="O98" i="57" s="1"/>
  <c r="P97" i="57"/>
  <c r="K97" i="57"/>
  <c r="O97" i="57" s="1"/>
  <c r="P96" i="57"/>
  <c r="K96" i="57"/>
  <c r="O96" i="57" s="1"/>
  <c r="P95" i="57"/>
  <c r="K95" i="57"/>
  <c r="O95" i="57" s="1"/>
  <c r="P94" i="57"/>
  <c r="K94" i="57"/>
  <c r="O94" i="57" s="1"/>
  <c r="P93" i="57"/>
  <c r="K93" i="57"/>
  <c r="O93" i="57" s="1"/>
  <c r="P92" i="57"/>
  <c r="K92" i="57"/>
  <c r="O92" i="57" s="1"/>
  <c r="P91" i="57"/>
  <c r="K91" i="57"/>
  <c r="O91" i="57" s="1"/>
  <c r="P90" i="57"/>
  <c r="K90" i="57"/>
  <c r="O90" i="57" s="1"/>
  <c r="P89" i="57"/>
  <c r="K89" i="57"/>
  <c r="P88" i="57"/>
  <c r="P87" i="57"/>
  <c r="P86" i="57"/>
  <c r="P85" i="57"/>
  <c r="P84" i="57"/>
  <c r="P83" i="57"/>
  <c r="P82" i="57"/>
  <c r="P81" i="57"/>
  <c r="P80" i="57"/>
  <c r="P79" i="57"/>
  <c r="P78" i="57"/>
  <c r="P77" i="57"/>
  <c r="P76" i="57"/>
  <c r="P75" i="57"/>
  <c r="P74" i="57"/>
  <c r="P73" i="57"/>
  <c r="P72" i="57"/>
  <c r="P71" i="57"/>
  <c r="P70" i="57"/>
  <c r="P69" i="57"/>
  <c r="P68" i="57"/>
  <c r="P67" i="57"/>
  <c r="P66" i="57"/>
  <c r="P65" i="57"/>
  <c r="P64" i="57"/>
  <c r="P63" i="57"/>
  <c r="P62" i="57"/>
  <c r="P61" i="57"/>
  <c r="P60" i="57"/>
  <c r="P59" i="57"/>
  <c r="P58" i="57"/>
  <c r="P57" i="57"/>
  <c r="P56" i="57"/>
  <c r="P55" i="57"/>
  <c r="K55" i="57"/>
  <c r="P54" i="57"/>
  <c r="P53" i="57"/>
  <c r="P52" i="57"/>
  <c r="P51" i="57"/>
  <c r="P50" i="57"/>
  <c r="P49" i="57"/>
  <c r="P48" i="57"/>
  <c r="P47" i="57"/>
  <c r="P46" i="57"/>
  <c r="P45" i="57"/>
  <c r="P44" i="57"/>
  <c r="P43" i="57"/>
  <c r="P42" i="57"/>
  <c r="P41" i="57"/>
  <c r="P40" i="57"/>
  <c r="P39" i="57"/>
  <c r="P38" i="57"/>
  <c r="P37" i="57"/>
  <c r="P36" i="57"/>
  <c r="P35" i="57"/>
  <c r="K34" i="57"/>
  <c r="N34" i="57" s="1"/>
  <c r="P34" i="57"/>
  <c r="P33" i="57"/>
  <c r="P32" i="57"/>
  <c r="P31" i="57"/>
  <c r="P30" i="57"/>
  <c r="P29" i="57"/>
  <c r="P28" i="57"/>
  <c r="P27" i="57"/>
  <c r="P26" i="57"/>
  <c r="P25" i="57"/>
  <c r="P24" i="57"/>
  <c r="P23" i="57"/>
  <c r="P22" i="57"/>
  <c r="P21" i="57"/>
  <c r="P20" i="57"/>
  <c r="P19" i="57"/>
  <c r="K18" i="57"/>
  <c r="N18" i="57" s="1"/>
  <c r="P18" i="57"/>
  <c r="P17" i="57"/>
  <c r="K17" i="57"/>
  <c r="P16" i="57"/>
  <c r="K16" i="57"/>
  <c r="P15" i="57"/>
  <c r="K15" i="57"/>
  <c r="P14" i="57"/>
  <c r="K14" i="57"/>
  <c r="V13" i="57"/>
  <c r="T10" i="57"/>
  <c r="O9" i="57"/>
  <c r="N9" i="57"/>
  <c r="N3" i="57"/>
  <c r="L946" i="55"/>
  <c r="L945" i="55"/>
  <c r="L944" i="55"/>
  <c r="L943" i="55"/>
  <c r="L942" i="55"/>
  <c r="L941" i="55"/>
  <c r="L940" i="55"/>
  <c r="L939" i="55"/>
  <c r="L938" i="55"/>
  <c r="L937" i="55"/>
  <c r="L936" i="55"/>
  <c r="L935" i="55"/>
  <c r="L934" i="55"/>
  <c r="L933" i="55"/>
  <c r="L932" i="55"/>
  <c r="L931" i="55"/>
  <c r="L930" i="55"/>
  <c r="L929" i="55"/>
  <c r="L928" i="55"/>
  <c r="L927" i="55"/>
  <c r="L926" i="55"/>
  <c r="L925" i="55"/>
  <c r="L924" i="55"/>
  <c r="L923" i="55"/>
  <c r="L922" i="55"/>
  <c r="L921" i="55"/>
  <c r="L920" i="55"/>
  <c r="L919" i="55"/>
  <c r="L918" i="55"/>
  <c r="L917" i="55"/>
  <c r="L916" i="55"/>
  <c r="L915" i="55"/>
  <c r="L914" i="55"/>
  <c r="L913" i="55"/>
  <c r="L912" i="55"/>
  <c r="L911" i="55"/>
  <c r="L910" i="55"/>
  <c r="L909" i="55"/>
  <c r="L908" i="55"/>
  <c r="L907" i="55"/>
  <c r="L906" i="55"/>
  <c r="L905" i="55"/>
  <c r="L904" i="55"/>
  <c r="L903" i="55"/>
  <c r="L902" i="55"/>
  <c r="L901" i="55"/>
  <c r="L900" i="55"/>
  <c r="L899" i="55"/>
  <c r="L898" i="55"/>
  <c r="L897" i="55"/>
  <c r="L896" i="55"/>
  <c r="L895" i="55"/>
  <c r="L894" i="55"/>
  <c r="L893" i="55"/>
  <c r="L892" i="55"/>
  <c r="L891" i="55"/>
  <c r="L890" i="55"/>
  <c r="L889" i="55"/>
  <c r="L888" i="55"/>
  <c r="L887" i="55"/>
  <c r="L886" i="55"/>
  <c r="L885" i="55"/>
  <c r="L884" i="55"/>
  <c r="L883" i="55"/>
  <c r="L882" i="55"/>
  <c r="L881" i="55"/>
  <c r="L880" i="55"/>
  <c r="L879" i="55"/>
  <c r="L878" i="55"/>
  <c r="L877" i="55"/>
  <c r="L876" i="55"/>
  <c r="L875" i="55"/>
  <c r="L874" i="55"/>
  <c r="L873" i="55"/>
  <c r="L872" i="55"/>
  <c r="L871" i="55"/>
  <c r="L870" i="55"/>
  <c r="L869" i="55"/>
  <c r="L868" i="55"/>
  <c r="L867" i="55"/>
  <c r="L866" i="55"/>
  <c r="L865" i="55"/>
  <c r="L864" i="55"/>
  <c r="L863" i="55"/>
  <c r="L862" i="55"/>
  <c r="L861" i="55"/>
  <c r="L860" i="55"/>
  <c r="L859" i="55"/>
  <c r="L858" i="55"/>
  <c r="L857" i="55"/>
  <c r="L856" i="55"/>
  <c r="L855" i="55"/>
  <c r="L854" i="55"/>
  <c r="L853" i="55"/>
  <c r="L852" i="55"/>
  <c r="L851" i="55"/>
  <c r="L850" i="55"/>
  <c r="L849" i="55"/>
  <c r="L848" i="55"/>
  <c r="L847" i="55"/>
  <c r="L846" i="55"/>
  <c r="L845" i="55"/>
  <c r="L844" i="55"/>
  <c r="L843" i="55"/>
  <c r="L842" i="55"/>
  <c r="L841" i="55"/>
  <c r="L840" i="55"/>
  <c r="L839" i="55"/>
  <c r="L838" i="55"/>
  <c r="L837" i="55"/>
  <c r="L836" i="55"/>
  <c r="L835" i="55"/>
  <c r="L834" i="55"/>
  <c r="L833" i="55"/>
  <c r="L832" i="55"/>
  <c r="L831" i="55"/>
  <c r="L830" i="55"/>
  <c r="L829" i="55"/>
  <c r="L828" i="55"/>
  <c r="L827" i="55"/>
  <c r="L826" i="55"/>
  <c r="L825" i="55"/>
  <c r="L824" i="55"/>
  <c r="L823" i="55"/>
  <c r="L822" i="55"/>
  <c r="L821" i="55"/>
  <c r="L820" i="55"/>
  <c r="L819" i="55"/>
  <c r="L816" i="55"/>
  <c r="L815" i="55"/>
  <c r="L814" i="55"/>
  <c r="L813" i="55"/>
  <c r="L812" i="55"/>
  <c r="L811" i="55"/>
  <c r="L810" i="55"/>
  <c r="L809" i="55"/>
  <c r="L808" i="55"/>
  <c r="L807" i="55"/>
  <c r="L806" i="55"/>
  <c r="L805" i="55"/>
  <c r="L804" i="55"/>
  <c r="L803" i="55"/>
  <c r="L802" i="55"/>
  <c r="L801" i="55"/>
  <c r="L800" i="55"/>
  <c r="L799" i="55"/>
  <c r="L798" i="55"/>
  <c r="L797" i="55"/>
  <c r="L796" i="55"/>
  <c r="L795" i="55"/>
  <c r="L794" i="55"/>
  <c r="L793" i="55"/>
  <c r="L792" i="55"/>
  <c r="L791" i="55"/>
  <c r="L790" i="55"/>
  <c r="L789" i="55"/>
  <c r="L788" i="55"/>
  <c r="L787" i="55"/>
  <c r="L786" i="55"/>
  <c r="L785" i="55"/>
  <c r="L784" i="55"/>
  <c r="L783" i="55"/>
  <c r="L782" i="55"/>
  <c r="L781" i="55"/>
  <c r="L780" i="55"/>
  <c r="L779" i="55"/>
  <c r="L778" i="55"/>
  <c r="L777" i="55"/>
  <c r="L776" i="55"/>
  <c r="L775" i="55"/>
  <c r="L774" i="55"/>
  <c r="L773" i="55"/>
  <c r="L772" i="55"/>
  <c r="L771" i="55"/>
  <c r="L770" i="55"/>
  <c r="L769" i="55"/>
  <c r="L768" i="55"/>
  <c r="L767" i="55"/>
  <c r="L766" i="55"/>
  <c r="L765" i="55"/>
  <c r="L764" i="55"/>
  <c r="L763" i="55"/>
  <c r="L762" i="55"/>
  <c r="L761" i="55"/>
  <c r="L760" i="55"/>
  <c r="L759" i="55"/>
  <c r="L758" i="55"/>
  <c r="L757" i="55"/>
  <c r="L756" i="55"/>
  <c r="L755" i="55"/>
  <c r="L754" i="55"/>
  <c r="L753" i="55"/>
  <c r="L752" i="55"/>
  <c r="L751" i="55"/>
  <c r="L750" i="55"/>
  <c r="L749" i="55"/>
  <c r="L748" i="55"/>
  <c r="L747" i="55"/>
  <c r="L746" i="55"/>
  <c r="L745" i="55"/>
  <c r="L744" i="55"/>
  <c r="L743" i="55"/>
  <c r="L742" i="55"/>
  <c r="L741" i="55"/>
  <c r="L740" i="55"/>
  <c r="L739" i="55"/>
  <c r="L738" i="55"/>
  <c r="L737" i="55"/>
  <c r="L735" i="55"/>
  <c r="L734" i="55"/>
  <c r="L733" i="55"/>
  <c r="L732" i="55"/>
  <c r="L731" i="55"/>
  <c r="L730" i="55"/>
  <c r="L728" i="55"/>
  <c r="L727" i="55"/>
  <c r="L726" i="55"/>
  <c r="L725" i="55"/>
  <c r="L724" i="55"/>
  <c r="L723" i="55"/>
  <c r="L722" i="55"/>
  <c r="L721" i="55"/>
  <c r="L720" i="55"/>
  <c r="L719" i="55"/>
  <c r="L718" i="55"/>
  <c r="L717" i="55"/>
  <c r="L716" i="55"/>
  <c r="L715" i="55"/>
  <c r="L714" i="55"/>
  <c r="L713" i="55"/>
  <c r="L712" i="55"/>
  <c r="L711" i="55"/>
  <c r="L710" i="55"/>
  <c r="L709" i="55"/>
  <c r="L708" i="55"/>
  <c r="L707" i="55"/>
  <c r="L706" i="55"/>
  <c r="L705" i="55"/>
  <c r="L704" i="55"/>
  <c r="L703" i="55"/>
  <c r="L702" i="55"/>
  <c r="L701" i="55"/>
  <c r="L700" i="55"/>
  <c r="L699" i="55"/>
  <c r="L698" i="55"/>
  <c r="L697" i="55"/>
  <c r="L696" i="55"/>
  <c r="L695" i="55"/>
  <c r="L694" i="55"/>
  <c r="L693" i="55"/>
  <c r="L692" i="55"/>
  <c r="L691" i="55"/>
  <c r="L690" i="55"/>
  <c r="L689" i="55"/>
  <c r="L688" i="55"/>
  <c r="L687" i="55"/>
  <c r="L686" i="55"/>
  <c r="L685" i="55"/>
  <c r="L684" i="55"/>
  <c r="L683" i="55"/>
  <c r="L682" i="55"/>
  <c r="L681" i="55"/>
  <c r="L680" i="55"/>
  <c r="L679" i="55"/>
  <c r="L678" i="55"/>
  <c r="L677" i="55"/>
  <c r="L676" i="55"/>
  <c r="L675" i="55"/>
  <c r="L674" i="55"/>
  <c r="L673" i="55"/>
  <c r="L672" i="55"/>
  <c r="L671" i="55"/>
  <c r="L670" i="55"/>
  <c r="L669" i="55"/>
  <c r="L668" i="55"/>
  <c r="L667" i="55"/>
  <c r="L666" i="55"/>
  <c r="L663" i="55"/>
  <c r="L662" i="55"/>
  <c r="L661" i="55"/>
  <c r="L660" i="55"/>
  <c r="L659" i="55"/>
  <c r="L658" i="55"/>
  <c r="L657" i="55"/>
  <c r="L656" i="55"/>
  <c r="L655" i="55"/>
  <c r="L654" i="55"/>
  <c r="L653" i="55"/>
  <c r="L652" i="55"/>
  <c r="L651" i="55"/>
  <c r="L650" i="55"/>
  <c r="L649" i="55"/>
  <c r="L648" i="55"/>
  <c r="L647" i="55"/>
  <c r="L646" i="55"/>
  <c r="L645" i="55"/>
  <c r="L644" i="55"/>
  <c r="L643" i="55"/>
  <c r="L640" i="55"/>
  <c r="L639" i="55"/>
  <c r="L638" i="55"/>
  <c r="L637" i="55"/>
  <c r="L636" i="55"/>
  <c r="L635" i="55"/>
  <c r="L634" i="55"/>
  <c r="L633" i="55"/>
  <c r="L632" i="55"/>
  <c r="L631" i="55"/>
  <c r="L630" i="55"/>
  <c r="L629" i="55"/>
  <c r="L628" i="55"/>
  <c r="L627" i="55"/>
  <c r="L626" i="55"/>
  <c r="L625" i="55"/>
  <c r="L624" i="55"/>
  <c r="L598" i="55"/>
  <c r="L597" i="55"/>
  <c r="L596" i="55"/>
  <c r="L595" i="55"/>
  <c r="L594" i="55"/>
  <c r="L593" i="55"/>
  <c r="L592" i="55"/>
  <c r="L591" i="55"/>
  <c r="L590" i="55"/>
  <c r="L589" i="55"/>
  <c r="L588" i="55"/>
  <c r="L587" i="55"/>
  <c r="L586" i="55"/>
  <c r="L584" i="55"/>
  <c r="L583" i="55"/>
  <c r="L582" i="55"/>
  <c r="L581" i="55"/>
  <c r="L576" i="55"/>
  <c r="L575" i="55"/>
  <c r="L574" i="55"/>
  <c r="L573" i="55"/>
  <c r="L572" i="55"/>
  <c r="L571" i="55"/>
  <c r="L570" i="55"/>
  <c r="L569" i="55"/>
  <c r="L568" i="55"/>
  <c r="L567" i="55"/>
  <c r="L566" i="55"/>
  <c r="L565" i="55"/>
  <c r="L564" i="55"/>
  <c r="L563" i="55"/>
  <c r="L562" i="55"/>
  <c r="L561" i="55"/>
  <c r="L560" i="55"/>
  <c r="L559" i="55"/>
  <c r="L558" i="55"/>
  <c r="L557" i="55"/>
  <c r="L556" i="55"/>
  <c r="L555" i="55"/>
  <c r="L553" i="55"/>
  <c r="L551" i="55"/>
  <c r="L550" i="55"/>
  <c r="L549" i="55"/>
  <c r="L548" i="55"/>
  <c r="L547" i="55"/>
  <c r="L546" i="55"/>
  <c r="L545" i="55"/>
  <c r="L544" i="55"/>
  <c r="L543" i="55"/>
  <c r="L537" i="55"/>
  <c r="L536" i="55"/>
  <c r="L535" i="55"/>
  <c r="L534" i="55"/>
  <c r="L533" i="55"/>
  <c r="L532" i="55"/>
  <c r="L531" i="55"/>
  <c r="L530" i="55"/>
  <c r="L529" i="55"/>
  <c r="L528" i="55"/>
  <c r="L527" i="55"/>
  <c r="L526" i="55"/>
  <c r="L525" i="55"/>
  <c r="L522" i="55"/>
  <c r="L521" i="55"/>
  <c r="L520" i="55"/>
  <c r="L519" i="55"/>
  <c r="L518" i="55"/>
  <c r="L515" i="55"/>
  <c r="L513" i="55"/>
  <c r="L512" i="55"/>
  <c r="L511" i="55"/>
  <c r="L510" i="55"/>
  <c r="L509" i="55"/>
  <c r="L508" i="55"/>
  <c r="L507" i="55"/>
  <c r="L506" i="55"/>
  <c r="L505" i="55"/>
  <c r="L504" i="55"/>
  <c r="L503" i="55"/>
  <c r="L502" i="55"/>
  <c r="L497" i="55"/>
  <c r="L496" i="55"/>
  <c r="L495" i="55"/>
  <c r="L494" i="55"/>
  <c r="L493" i="55"/>
  <c r="L492" i="55"/>
  <c r="L491" i="55"/>
  <c r="L490" i="55"/>
  <c r="L489" i="55"/>
  <c r="L488" i="55"/>
  <c r="L487" i="55"/>
  <c r="L486" i="55"/>
  <c r="L485" i="55"/>
  <c r="L484" i="55"/>
  <c r="L483" i="55"/>
  <c r="L482" i="55"/>
  <c r="L481" i="55"/>
  <c r="L480" i="55"/>
  <c r="L479" i="55"/>
  <c r="L478" i="55"/>
  <c r="L477" i="55"/>
  <c r="L476" i="55"/>
  <c r="L475" i="55"/>
  <c r="L474" i="55"/>
  <c r="L472" i="55"/>
  <c r="L471" i="55"/>
  <c r="L470" i="55"/>
  <c r="L469" i="55"/>
  <c r="L468" i="55"/>
  <c r="L467" i="55"/>
  <c r="L466" i="55"/>
  <c r="L465" i="55"/>
  <c r="L464" i="55"/>
  <c r="L463" i="55"/>
  <c r="L462" i="55"/>
  <c r="L461" i="55"/>
  <c r="L460" i="55"/>
  <c r="L459" i="55"/>
  <c r="L458" i="55"/>
  <c r="L457" i="55"/>
  <c r="L456" i="55"/>
  <c r="L455" i="55"/>
  <c r="L454" i="55"/>
  <c r="L453" i="55"/>
  <c r="L452" i="55"/>
  <c r="L451" i="55"/>
  <c r="L450" i="55"/>
  <c r="L449" i="55"/>
  <c r="L448" i="55"/>
  <c r="L447" i="55"/>
  <c r="L446" i="55"/>
  <c r="L445" i="55"/>
  <c r="L444" i="55"/>
  <c r="L443" i="55"/>
  <c r="L442" i="55"/>
  <c r="L441" i="55"/>
  <c r="L440" i="55"/>
  <c r="L439" i="55"/>
  <c r="L438" i="55"/>
  <c r="L437" i="55"/>
  <c r="L436" i="55"/>
  <c r="L435" i="55"/>
  <c r="L434" i="55"/>
  <c r="L433" i="55"/>
  <c r="L432" i="55"/>
  <c r="L431" i="55"/>
  <c r="L430" i="55"/>
  <c r="L429" i="55"/>
  <c r="L427" i="55"/>
  <c r="L426" i="55"/>
  <c r="L425" i="55"/>
  <c r="L424" i="55"/>
  <c r="L423" i="55"/>
  <c r="L422" i="55"/>
  <c r="L421" i="55"/>
  <c r="L420" i="55"/>
  <c r="L419" i="55"/>
  <c r="L418" i="55"/>
  <c r="L417" i="55"/>
  <c r="L415" i="55"/>
  <c r="L414" i="55"/>
  <c r="L413" i="55"/>
  <c r="L412" i="55"/>
  <c r="L409" i="55"/>
  <c r="L408" i="55"/>
  <c r="L407" i="55"/>
  <c r="L406" i="55"/>
  <c r="L405" i="55"/>
  <c r="L404" i="55"/>
  <c r="L403" i="55"/>
  <c r="L402" i="55"/>
  <c r="L401" i="55"/>
  <c r="L400" i="55"/>
  <c r="L399" i="55"/>
  <c r="L398" i="55"/>
  <c r="L397" i="55"/>
  <c r="L396" i="55"/>
  <c r="L395" i="55"/>
  <c r="L394" i="55"/>
  <c r="L393" i="55"/>
  <c r="L392" i="55"/>
  <c r="L391" i="55"/>
  <c r="L390" i="55"/>
  <c r="L389" i="55"/>
  <c r="L388" i="55"/>
  <c r="L387" i="55"/>
  <c r="L386" i="55"/>
  <c r="L385" i="55"/>
  <c r="L384" i="55"/>
  <c r="L383" i="55"/>
  <c r="L382" i="55"/>
  <c r="L381" i="55"/>
  <c r="L380" i="55"/>
  <c r="L379" i="55"/>
  <c r="L378" i="55"/>
  <c r="L377" i="55"/>
  <c r="L376" i="55"/>
  <c r="L375" i="55"/>
  <c r="L374" i="55"/>
  <c r="L373" i="55"/>
  <c r="L372" i="55"/>
  <c r="L371" i="55"/>
  <c r="L370" i="55"/>
  <c r="L369" i="55"/>
  <c r="L368" i="55"/>
  <c r="L367" i="55"/>
  <c r="L366" i="55"/>
  <c r="L365" i="55"/>
  <c r="L364" i="55"/>
  <c r="L363" i="55"/>
  <c r="L362" i="55"/>
  <c r="L361" i="55"/>
  <c r="L358" i="55"/>
  <c r="L357" i="55"/>
  <c r="L356" i="55"/>
  <c r="L355" i="55"/>
  <c r="L354" i="55"/>
  <c r="L353" i="55"/>
  <c r="L352" i="55"/>
  <c r="L351" i="55"/>
  <c r="L350" i="55"/>
  <c r="L349" i="55"/>
  <c r="L348" i="55"/>
  <c r="L347" i="55"/>
  <c r="L346" i="55"/>
  <c r="L345" i="55"/>
  <c r="L344" i="55"/>
  <c r="L343" i="55"/>
  <c r="L342" i="55"/>
  <c r="L341" i="55"/>
  <c r="L340" i="55"/>
  <c r="L339" i="55"/>
  <c r="L338" i="55"/>
  <c r="L337" i="55"/>
  <c r="L336" i="55"/>
  <c r="L335" i="55"/>
  <c r="L334" i="55"/>
  <c r="L332" i="55"/>
  <c r="L328" i="55"/>
  <c r="L327" i="55"/>
  <c r="L326" i="55"/>
  <c r="L325" i="55"/>
  <c r="L243" i="55"/>
  <c r="L242" i="55"/>
  <c r="L241" i="55"/>
  <c r="L240" i="55"/>
  <c r="L239" i="55"/>
  <c r="L238" i="55"/>
  <c r="L237" i="55"/>
  <c r="L236" i="55"/>
  <c r="L235" i="55"/>
  <c r="L234" i="55"/>
  <c r="L233" i="55"/>
  <c r="L232" i="55"/>
  <c r="L231" i="55"/>
  <c r="L230" i="55"/>
  <c r="L229" i="55"/>
  <c r="L228" i="55"/>
  <c r="L227" i="55"/>
  <c r="L226" i="55"/>
  <c r="L225" i="55"/>
  <c r="L224" i="55"/>
  <c r="L223" i="55"/>
  <c r="L222" i="55"/>
  <c r="L213" i="55"/>
  <c r="L212" i="55"/>
  <c r="L196" i="55"/>
  <c r="L195" i="55"/>
  <c r="L193" i="55"/>
  <c r="L192" i="55"/>
  <c r="L191" i="55"/>
  <c r="L189" i="55"/>
  <c r="L188" i="55"/>
  <c r="L187" i="55"/>
  <c r="L185" i="55"/>
  <c r="L184" i="55"/>
  <c r="L183" i="55"/>
  <c r="L181" i="55"/>
  <c r="L180" i="55"/>
  <c r="L179" i="55"/>
  <c r="L178" i="55"/>
  <c r="L176" i="55"/>
  <c r="L175" i="55"/>
  <c r="L173" i="55"/>
  <c r="L172" i="55"/>
  <c r="L171" i="55"/>
  <c r="L136" i="55"/>
  <c r="L133" i="55"/>
  <c r="L132" i="55"/>
  <c r="L131" i="55"/>
  <c r="L130" i="55"/>
  <c r="L129" i="55"/>
  <c r="L128" i="55"/>
  <c r="L127" i="55"/>
  <c r="L126" i="55"/>
  <c r="L125" i="55"/>
  <c r="L124" i="55"/>
  <c r="L122" i="55"/>
  <c r="L121" i="55"/>
  <c r="L120" i="55"/>
  <c r="L119" i="55"/>
  <c r="L118" i="55"/>
  <c r="L117" i="55"/>
  <c r="L116" i="55"/>
  <c r="L115" i="55"/>
  <c r="L114" i="55"/>
  <c r="L113" i="55"/>
  <c r="L112" i="55"/>
  <c r="L111" i="55"/>
  <c r="L110" i="55"/>
  <c r="L109" i="55"/>
  <c r="L108" i="55"/>
  <c r="L107" i="55"/>
  <c r="L106" i="55"/>
  <c r="L105" i="55"/>
  <c r="L104" i="55"/>
  <c r="L103" i="55"/>
  <c r="L102" i="55"/>
  <c r="L101" i="55"/>
  <c r="L100" i="55"/>
  <c r="L97" i="55"/>
  <c r="L96" i="55"/>
  <c r="L95" i="55"/>
  <c r="L94" i="55"/>
  <c r="L93" i="55"/>
  <c r="L92" i="55"/>
  <c r="L91" i="55"/>
  <c r="L90" i="55"/>
  <c r="L89" i="55"/>
  <c r="L87" i="55"/>
  <c r="L86" i="55"/>
  <c r="L85" i="55"/>
  <c r="L84" i="55"/>
  <c r="L83" i="55"/>
  <c r="L81" i="55"/>
  <c r="C5" i="55"/>
  <c r="O89" i="57" l="1"/>
  <c r="N89" i="57"/>
  <c r="O113" i="57"/>
  <c r="N113" i="57"/>
  <c r="L123" i="55"/>
  <c r="L324" i="55"/>
  <c r="L276" i="55"/>
  <c r="L280" i="55"/>
  <c r="L284" i="55"/>
  <c r="L288" i="55"/>
  <c r="L292" i="55"/>
  <c r="L254" i="55"/>
  <c r="N128" i="57"/>
  <c r="O14" i="57"/>
  <c r="N14" i="57"/>
  <c r="N150" i="57"/>
  <c r="O150" i="57"/>
  <c r="N155" i="57"/>
  <c r="O155" i="57"/>
  <c r="N159" i="57"/>
  <c r="O159" i="57"/>
  <c r="N163" i="57"/>
  <c r="O163" i="57"/>
  <c r="N167" i="57"/>
  <c r="O167" i="57"/>
  <c r="N171" i="57"/>
  <c r="O171" i="57"/>
  <c r="N175" i="57"/>
  <c r="O175" i="57"/>
  <c r="N179" i="57"/>
  <c r="O179" i="57"/>
  <c r="N183" i="57"/>
  <c r="O183" i="57"/>
  <c r="N185" i="57"/>
  <c r="O185" i="57"/>
  <c r="N187" i="57"/>
  <c r="O187" i="57"/>
  <c r="N189" i="57"/>
  <c r="O189" i="57"/>
  <c r="N191" i="57"/>
  <c r="O191" i="57"/>
  <c r="O10" i="57"/>
  <c r="N10" i="57"/>
  <c r="O15" i="57"/>
  <c r="N15" i="57"/>
  <c r="O17" i="57"/>
  <c r="N17" i="57"/>
  <c r="O55" i="57"/>
  <c r="N55" i="57"/>
  <c r="O16" i="57"/>
  <c r="N16" i="57"/>
  <c r="N148" i="57"/>
  <c r="O148" i="57"/>
  <c r="N153" i="57"/>
  <c r="O153" i="57"/>
  <c r="N157" i="57"/>
  <c r="O157" i="57"/>
  <c r="N161" i="57"/>
  <c r="O161" i="57"/>
  <c r="N165" i="57"/>
  <c r="O165" i="57"/>
  <c r="N169" i="57"/>
  <c r="O169" i="57"/>
  <c r="N173" i="57"/>
  <c r="O173" i="57"/>
  <c r="N177" i="57"/>
  <c r="O177" i="57"/>
  <c r="N181" i="57"/>
  <c r="O181" i="57"/>
  <c r="K11" i="57"/>
  <c r="K12" i="57"/>
  <c r="K13" i="57"/>
  <c r="O18" i="57"/>
  <c r="K19" i="57"/>
  <c r="K20" i="57"/>
  <c r="K21" i="57"/>
  <c r="K22" i="57"/>
  <c r="K23" i="57"/>
  <c r="K24" i="57"/>
  <c r="K25" i="57"/>
  <c r="K26" i="57"/>
  <c r="K27" i="57"/>
  <c r="K28" i="57"/>
  <c r="K29" i="57"/>
  <c r="K30" i="57"/>
  <c r="K31" i="57"/>
  <c r="K32" i="57"/>
  <c r="K33" i="57"/>
  <c r="O34" i="57"/>
  <c r="K35" i="57"/>
  <c r="K36" i="57"/>
  <c r="K37" i="57"/>
  <c r="K38" i="57"/>
  <c r="K39" i="57"/>
  <c r="K40" i="57"/>
  <c r="K41" i="57"/>
  <c r="K42" i="57"/>
  <c r="K43" i="57"/>
  <c r="K44" i="57"/>
  <c r="K45" i="57"/>
  <c r="K46" i="57"/>
  <c r="K47" i="57"/>
  <c r="K48" i="57"/>
  <c r="K49" i="57"/>
  <c r="K50" i="57"/>
  <c r="K51" i="57"/>
  <c r="K52" i="57"/>
  <c r="K53" i="57"/>
  <c r="K54" i="57"/>
  <c r="K56" i="57"/>
  <c r="K57" i="57"/>
  <c r="K58" i="57"/>
  <c r="K59" i="57"/>
  <c r="K60" i="57"/>
  <c r="K61" i="57"/>
  <c r="K62" i="57"/>
  <c r="K63" i="57"/>
  <c r="K64" i="57"/>
  <c r="K65" i="57"/>
  <c r="K66" i="57"/>
  <c r="K67" i="57"/>
  <c r="K68" i="57"/>
  <c r="K69" i="57"/>
  <c r="K70" i="57"/>
  <c r="K71" i="57"/>
  <c r="K72" i="57"/>
  <c r="K73" i="57"/>
  <c r="K74" i="57"/>
  <c r="K75" i="57"/>
  <c r="K76" i="57"/>
  <c r="K77" i="57"/>
  <c r="K78" i="57"/>
  <c r="K79" i="57"/>
  <c r="K80" i="57"/>
  <c r="K81" i="57"/>
  <c r="K82" i="57"/>
  <c r="K83" i="57"/>
  <c r="K84" i="57"/>
  <c r="K85" i="57"/>
  <c r="K86" i="57"/>
  <c r="K87" i="57"/>
  <c r="K88" i="57"/>
  <c r="N90" i="57"/>
  <c r="N91" i="57"/>
  <c r="N92" i="57"/>
  <c r="N93" i="57"/>
  <c r="N94" i="57"/>
  <c r="N95" i="57"/>
  <c r="N96" i="57"/>
  <c r="N97" i="57"/>
  <c r="N98" i="57"/>
  <c r="N99" i="57"/>
  <c r="N100" i="57"/>
  <c r="N101" i="57"/>
  <c r="N102" i="57"/>
  <c r="N103" i="57"/>
  <c r="N104" i="57"/>
  <c r="N105" i="57"/>
  <c r="N106" i="57"/>
  <c r="N107" i="57"/>
  <c r="N108" i="57"/>
  <c r="N109" i="57"/>
  <c r="N110" i="57"/>
  <c r="N111" i="57"/>
  <c r="N112" i="57"/>
  <c r="K123" i="57"/>
  <c r="K124" i="57"/>
  <c r="K125" i="57"/>
  <c r="K126" i="57"/>
  <c r="K127" i="57"/>
  <c r="N129" i="57"/>
  <c r="N130" i="57"/>
  <c r="N131" i="57"/>
  <c r="N132" i="57"/>
  <c r="N133" i="57"/>
  <c r="N134" i="57"/>
  <c r="N135" i="57"/>
  <c r="N136" i="57"/>
  <c r="N137" i="57"/>
  <c r="N138" i="57"/>
  <c r="N139" i="57"/>
  <c r="N140" i="57"/>
  <c r="N141" i="57"/>
  <c r="N142" i="57"/>
  <c r="N143" i="57"/>
  <c r="N144" i="57"/>
  <c r="N145" i="57"/>
  <c r="N146" i="57"/>
  <c r="N147" i="57"/>
  <c r="O151" i="57"/>
  <c r="N154" i="57"/>
  <c r="N158" i="57"/>
  <c r="N162" i="57"/>
  <c r="N166" i="57"/>
  <c r="N170" i="57"/>
  <c r="N174" i="57"/>
  <c r="N178" i="57"/>
  <c r="N182" i="57"/>
  <c r="N186" i="57"/>
  <c r="N190" i="57"/>
  <c r="N114" i="57"/>
  <c r="N115" i="57"/>
  <c r="N116" i="57"/>
  <c r="N117" i="57"/>
  <c r="N118" i="57"/>
  <c r="N119" i="57"/>
  <c r="N120" i="57"/>
  <c r="N121" i="57"/>
  <c r="O122" i="57"/>
  <c r="N149" i="57"/>
  <c r="N152" i="57"/>
  <c r="N156" i="57"/>
  <c r="N160" i="57"/>
  <c r="N164" i="57"/>
  <c r="N168" i="57"/>
  <c r="N172" i="57"/>
  <c r="N176" i="57"/>
  <c r="N180" i="57"/>
  <c r="N184" i="57"/>
  <c r="N188" i="57"/>
  <c r="N192" i="57"/>
  <c r="L80" i="55"/>
  <c r="L9" i="55"/>
  <c r="L10" i="55"/>
  <c r="L11" i="55"/>
  <c r="L12" i="55"/>
  <c r="L13" i="55"/>
  <c r="L14" i="55"/>
  <c r="L16" i="55"/>
  <c r="L17" i="55"/>
  <c r="L18" i="55"/>
  <c r="L22" i="55"/>
  <c r="L24" i="55"/>
  <c r="L25" i="55"/>
  <c r="L26" i="55"/>
  <c r="L27" i="55"/>
  <c r="L28" i="55"/>
  <c r="L29" i="55"/>
  <c r="L30" i="55"/>
  <c r="L32" i="55"/>
  <c r="L33" i="55"/>
  <c r="L34" i="55"/>
  <c r="L35" i="55"/>
  <c r="L36" i="55"/>
  <c r="L37" i="55"/>
  <c r="L38" i="55"/>
  <c r="L40" i="55"/>
  <c r="L41" i="55"/>
  <c r="L42" i="55"/>
  <c r="L43" i="55"/>
  <c r="L44" i="55"/>
  <c r="L45" i="55"/>
  <c r="L47" i="55"/>
  <c r="L48" i="55"/>
  <c r="L49" i="55"/>
  <c r="L50" i="55"/>
  <c r="L51" i="55"/>
  <c r="L52" i="55"/>
  <c r="L53" i="55"/>
  <c r="L54" i="55"/>
  <c r="L55" i="55"/>
  <c r="L56" i="55"/>
  <c r="L57" i="55"/>
  <c r="L58" i="55"/>
  <c r="L59" i="55"/>
  <c r="L60" i="55"/>
  <c r="L61" i="55"/>
  <c r="L62" i="55"/>
  <c r="L63" i="55"/>
  <c r="L64" i="55"/>
  <c r="L65" i="55"/>
  <c r="L66" i="55"/>
  <c r="L67" i="55"/>
  <c r="L68" i="55"/>
  <c r="L69" i="55"/>
  <c r="L70" i="55"/>
  <c r="L71" i="55"/>
  <c r="L72" i="55"/>
  <c r="L73" i="55"/>
  <c r="L74" i="55"/>
  <c r="L75" i="55"/>
  <c r="L76" i="55"/>
  <c r="L78" i="55"/>
  <c r="L79" i="55"/>
  <c r="L138" i="55"/>
  <c r="L139" i="55"/>
  <c r="L140" i="55"/>
  <c r="L141" i="55"/>
  <c r="L142" i="55"/>
  <c r="L143" i="55"/>
  <c r="L144" i="55"/>
  <c r="L145" i="55"/>
  <c r="L146" i="55"/>
  <c r="L148" i="55"/>
  <c r="L149" i="55"/>
  <c r="L150" i="55"/>
  <c r="L151" i="55"/>
  <c r="L152" i="55"/>
  <c r="L153" i="55"/>
  <c r="L154" i="55"/>
  <c r="L155" i="55"/>
  <c r="L156" i="55"/>
  <c r="L157" i="55"/>
  <c r="L158" i="55"/>
  <c r="L159" i="55"/>
  <c r="L160" i="55"/>
  <c r="L161" i="55"/>
  <c r="L162" i="55"/>
  <c r="L163" i="55"/>
  <c r="L164" i="55"/>
  <c r="L165" i="55"/>
  <c r="L166" i="55"/>
  <c r="L167" i="55"/>
  <c r="L168" i="55"/>
  <c r="L169" i="55"/>
  <c r="L197" i="55"/>
  <c r="L198" i="55"/>
  <c r="L199" i="55"/>
  <c r="L200" i="55"/>
  <c r="L201" i="55"/>
  <c r="L202" i="55"/>
  <c r="L203" i="55"/>
  <c r="L204" i="55"/>
  <c r="L205" i="55"/>
  <c r="L206" i="55"/>
  <c r="L208" i="55"/>
  <c r="L209" i="55"/>
  <c r="L210" i="55"/>
  <c r="L211" i="55"/>
  <c r="L214" i="55"/>
  <c r="L215" i="55"/>
  <c r="L216" i="55"/>
  <c r="L217" i="55"/>
  <c r="L218" i="55"/>
  <c r="L219" i="55"/>
  <c r="L220" i="55"/>
  <c r="L221" i="55"/>
  <c r="E11" i="41"/>
  <c r="E10" i="41"/>
  <c r="E9" i="41"/>
  <c r="N127" i="57" l="1"/>
  <c r="O127" i="57"/>
  <c r="N125" i="57"/>
  <c r="O125" i="57"/>
  <c r="N123" i="57"/>
  <c r="O123" i="57"/>
  <c r="N88" i="57"/>
  <c r="O88" i="57"/>
  <c r="N86" i="57"/>
  <c r="O86" i="57"/>
  <c r="N84" i="57"/>
  <c r="O84" i="57"/>
  <c r="N82" i="57"/>
  <c r="O82" i="57"/>
  <c r="N80" i="57"/>
  <c r="O80" i="57"/>
  <c r="N78" i="57"/>
  <c r="O78" i="57"/>
  <c r="N76" i="57"/>
  <c r="O76" i="57"/>
  <c r="N74" i="57"/>
  <c r="O74" i="57"/>
  <c r="N72" i="57"/>
  <c r="O72" i="57"/>
  <c r="N70" i="57"/>
  <c r="O70" i="57"/>
  <c r="N68" i="57"/>
  <c r="O68" i="57"/>
  <c r="N66" i="57"/>
  <c r="O66" i="57"/>
  <c r="N64" i="57"/>
  <c r="O64" i="57"/>
  <c r="N62" i="57"/>
  <c r="O62" i="57"/>
  <c r="N60" i="57"/>
  <c r="O60" i="57"/>
  <c r="N58" i="57"/>
  <c r="O58" i="57"/>
  <c r="N56" i="57"/>
  <c r="O56" i="57"/>
  <c r="N53" i="57"/>
  <c r="O53" i="57"/>
  <c r="N51" i="57"/>
  <c r="O51" i="57"/>
  <c r="N49" i="57"/>
  <c r="O49" i="57"/>
  <c r="N47" i="57"/>
  <c r="O47" i="57"/>
  <c r="N45" i="57"/>
  <c r="O45" i="57"/>
  <c r="N43" i="57"/>
  <c r="O43" i="57"/>
  <c r="N41" i="57"/>
  <c r="O41" i="57"/>
  <c r="N39" i="57"/>
  <c r="O39" i="57"/>
  <c r="N37" i="57"/>
  <c r="O37" i="57"/>
  <c r="N35" i="57"/>
  <c r="O35" i="57"/>
  <c r="N33" i="57"/>
  <c r="O33" i="57"/>
  <c r="N31" i="57"/>
  <c r="O31" i="57"/>
  <c r="N29" i="57"/>
  <c r="O29" i="57"/>
  <c r="N27" i="57"/>
  <c r="O27" i="57"/>
  <c r="N25" i="57"/>
  <c r="O25" i="57"/>
  <c r="N23" i="57"/>
  <c r="O23" i="57"/>
  <c r="N21" i="57"/>
  <c r="O21" i="57"/>
  <c r="N19" i="57"/>
  <c r="O19" i="57"/>
  <c r="N13" i="57"/>
  <c r="O13" i="57"/>
  <c r="N11" i="57"/>
  <c r="O11" i="57"/>
  <c r="N126" i="57"/>
  <c r="O126" i="57"/>
  <c r="N124" i="57"/>
  <c r="O124" i="57"/>
  <c r="N87" i="57"/>
  <c r="O87" i="57"/>
  <c r="N85" i="57"/>
  <c r="O85" i="57"/>
  <c r="N83" i="57"/>
  <c r="O83" i="57"/>
  <c r="N81" i="57"/>
  <c r="O81" i="57"/>
  <c r="N79" i="57"/>
  <c r="O79" i="57"/>
  <c r="N77" i="57"/>
  <c r="O77" i="57"/>
  <c r="N75" i="57"/>
  <c r="O75" i="57"/>
  <c r="N73" i="57"/>
  <c r="O73" i="57"/>
  <c r="N71" i="57"/>
  <c r="O71" i="57"/>
  <c r="N69" i="57"/>
  <c r="O69" i="57"/>
  <c r="N67" i="57"/>
  <c r="O67" i="57"/>
  <c r="N65" i="57"/>
  <c r="O65" i="57"/>
  <c r="N63" i="57"/>
  <c r="O63" i="57"/>
  <c r="N61" i="57"/>
  <c r="O61" i="57"/>
  <c r="N59" i="57"/>
  <c r="O59" i="57"/>
  <c r="N57" i="57"/>
  <c r="O57" i="57"/>
  <c r="N54" i="57"/>
  <c r="O54" i="57"/>
  <c r="N52" i="57"/>
  <c r="O52" i="57"/>
  <c r="N50" i="57"/>
  <c r="O50" i="57"/>
  <c r="N48" i="57"/>
  <c r="O48" i="57"/>
  <c r="N46" i="57"/>
  <c r="O46" i="57"/>
  <c r="N44" i="57"/>
  <c r="O44" i="57"/>
  <c r="N42" i="57"/>
  <c r="O42" i="57"/>
  <c r="N40" i="57"/>
  <c r="O40" i="57"/>
  <c r="N38" i="57"/>
  <c r="O38" i="57"/>
  <c r="N36" i="57"/>
  <c r="O36" i="57"/>
  <c r="N32" i="57"/>
  <c r="O32" i="57"/>
  <c r="N30" i="57"/>
  <c r="O30" i="57"/>
  <c r="N28" i="57"/>
  <c r="O28" i="57"/>
  <c r="N26" i="57"/>
  <c r="O26" i="57"/>
  <c r="N24" i="57"/>
  <c r="O24" i="57"/>
  <c r="N22" i="57"/>
  <c r="O22" i="57"/>
  <c r="N20" i="57"/>
  <c r="O20" i="57"/>
  <c r="N12" i="57"/>
  <c r="O12" i="57"/>
  <c r="H9" i="41" l="1"/>
  <c r="J9" i="41"/>
  <c r="H10" i="41"/>
  <c r="H11" i="41"/>
  <c r="J11" i="41"/>
  <c r="H12" i="41"/>
  <c r="J12" i="41"/>
  <c r="H13" i="41"/>
  <c r="J13" i="41"/>
  <c r="H14" i="41"/>
  <c r="J14" i="41"/>
  <c r="H15" i="41"/>
  <c r="J15" i="41"/>
  <c r="J36" i="41" l="1"/>
  <c r="N36" i="41" s="1"/>
  <c r="H34" i="41"/>
  <c r="H35" i="41"/>
  <c r="H36" i="41"/>
  <c r="H37" i="41"/>
  <c r="H38" i="41"/>
  <c r="J35" i="41"/>
  <c r="N35" i="41" s="1"/>
  <c r="H33" i="41" l="1"/>
  <c r="J27" i="41" l="1"/>
  <c r="J18" i="41"/>
  <c r="J33" i="41"/>
  <c r="J34" i="41"/>
  <c r="J32" i="41" l="1"/>
  <c r="H32" i="41"/>
  <c r="J31" i="41"/>
  <c r="H30" i="41"/>
  <c r="H31" i="41"/>
  <c r="J30" i="41"/>
  <c r="H29" i="41" l="1"/>
  <c r="J28" i="41"/>
  <c r="H28" i="41"/>
  <c r="H27" i="41" l="1"/>
  <c r="J26" i="41"/>
  <c r="H26" i="41"/>
  <c r="J25" i="41" l="1"/>
  <c r="H25" i="41"/>
  <c r="J24" i="41" l="1"/>
  <c r="H24" i="41"/>
  <c r="J23" i="41"/>
  <c r="H23" i="41"/>
  <c r="J22" i="41"/>
  <c r="J21" i="41"/>
  <c r="C11" i="2" l="1"/>
  <c r="J20" i="41"/>
  <c r="H19" i="41" l="1"/>
  <c r="H20" i="41"/>
  <c r="H21" i="41"/>
  <c r="H22" i="41"/>
  <c r="O10" i="41"/>
  <c r="O11" i="41"/>
  <c r="O19" i="41"/>
  <c r="O29" i="41"/>
  <c r="O35" i="41"/>
  <c r="O37" i="41"/>
  <c r="O38" i="41"/>
  <c r="O39" i="41"/>
  <c r="O40" i="41"/>
  <c r="O41" i="41"/>
  <c r="N18" i="41"/>
  <c r="N19" i="41"/>
  <c r="N20" i="41"/>
  <c r="N21" i="41"/>
  <c r="N22" i="41"/>
  <c r="N23" i="41"/>
  <c r="N24" i="41"/>
  <c r="N25" i="41"/>
  <c r="N26" i="41"/>
  <c r="N27" i="41"/>
  <c r="N28" i="41"/>
  <c r="N29" i="41"/>
  <c r="N30" i="41"/>
  <c r="N31" i="41"/>
  <c r="N32" i="41"/>
  <c r="N33" i="41"/>
  <c r="N34" i="41"/>
  <c r="M18" i="41"/>
  <c r="M19" i="41"/>
  <c r="M20" i="41"/>
  <c r="M21" i="41"/>
  <c r="M22" i="41"/>
  <c r="M23" i="41"/>
  <c r="M24" i="41"/>
  <c r="M25" i="41"/>
  <c r="M26" i="41"/>
  <c r="M27" i="41"/>
  <c r="M28" i="41"/>
  <c r="M29" i="41"/>
  <c r="M30" i="41"/>
  <c r="M31" i="41"/>
  <c r="M32" i="41"/>
  <c r="M33" i="41"/>
  <c r="M34" i="41"/>
  <c r="M35" i="41"/>
  <c r="M36" i="41"/>
  <c r="M37" i="41"/>
  <c r="M38" i="41"/>
  <c r="M39" i="41"/>
  <c r="M40" i="41"/>
  <c r="M41" i="41"/>
  <c r="M42" i="41"/>
  <c r="M43" i="41"/>
  <c r="M44" i="41"/>
  <c r="M45" i="41"/>
  <c r="M46" i="41"/>
  <c r="M47" i="41"/>
  <c r="H16" i="41"/>
  <c r="H17" i="41"/>
  <c r="H18" i="41"/>
  <c r="M17" i="41"/>
  <c r="J16" i="41"/>
  <c r="N16" i="41" s="1"/>
  <c r="N15" i="41"/>
  <c r="M14" i="41"/>
  <c r="N13" i="41"/>
  <c r="N12" i="41"/>
  <c r="N11" i="41"/>
  <c r="M10" i="41"/>
  <c r="M9" i="41"/>
  <c r="O9" i="41"/>
  <c r="C19" i="2"/>
  <c r="N17" i="41" l="1"/>
  <c r="M16" i="41"/>
  <c r="M12" i="41"/>
  <c r="M15" i="41"/>
  <c r="M13" i="41"/>
  <c r="M11" i="41"/>
  <c r="N14" i="41"/>
  <c r="N10" i="41"/>
  <c r="N9" i="41"/>
  <c r="O12" i="41" l="1"/>
  <c r="O13" i="41"/>
  <c r="O20" i="41"/>
  <c r="O14" i="41"/>
  <c r="O21" i="41" l="1"/>
  <c r="O15" i="41"/>
  <c r="O34" i="41" l="1"/>
  <c r="O36" i="41"/>
  <c r="O24" i="41"/>
  <c r="O22" i="41"/>
  <c r="O16" i="41"/>
  <c r="O23" i="41" l="1"/>
  <c r="O17" i="41"/>
  <c r="O18" i="41"/>
  <c r="O25" i="41" l="1"/>
  <c r="O28" i="41" l="1"/>
  <c r="O27" i="41"/>
  <c r="O26" i="41"/>
  <c r="O31" i="41" l="1"/>
  <c r="O30" i="41"/>
  <c r="O32" i="41" l="1"/>
  <c r="O33" i="41"/>
  <c r="C18" i="2" l="1"/>
  <c r="C17" i="2" l="1"/>
  <c r="C16" i="2" l="1"/>
  <c r="C15" i="2"/>
  <c r="C14" i="2"/>
  <c r="C13" i="2"/>
  <c r="C12" i="2"/>
  <c r="C4" i="2" l="1"/>
  <c r="C5" i="2"/>
  <c r="C6" i="2"/>
  <c r="C7" i="2"/>
  <c r="C8" i="2"/>
  <c r="C9" i="2"/>
  <c r="C10" i="2"/>
  <c r="C3" i="2"/>
  <c r="P13" i="57" l="1"/>
  <c r="P10" i="57"/>
  <c r="P12" i="57"/>
  <c r="P11" i="57"/>
</calcChain>
</file>

<file path=xl/sharedStrings.xml><?xml version="1.0" encoding="utf-8"?>
<sst xmlns="http://schemas.openxmlformats.org/spreadsheetml/2006/main" count="3734" uniqueCount="2127">
  <si>
    <t>Start</t>
  </si>
  <si>
    <t>Expiration</t>
  </si>
  <si>
    <t>Days</t>
  </si>
  <si>
    <t>Month</t>
  </si>
  <si>
    <t>Termination Notice</t>
  </si>
  <si>
    <t>Days To Expiration</t>
  </si>
  <si>
    <t>Notes</t>
  </si>
  <si>
    <t>Email</t>
  </si>
  <si>
    <t>Phone</t>
  </si>
  <si>
    <t>Notice term</t>
  </si>
  <si>
    <t>Contact Information</t>
  </si>
  <si>
    <t>Last Name</t>
  </si>
  <si>
    <t>First Name</t>
  </si>
  <si>
    <t>Address</t>
  </si>
  <si>
    <t>Membership</t>
  </si>
  <si>
    <t>Level</t>
  </si>
  <si>
    <t>Levels</t>
  </si>
  <si>
    <t>Club Membership Database</t>
  </si>
  <si>
    <t>Cricket Qty</t>
  </si>
  <si>
    <t>Cricket HY</t>
  </si>
  <si>
    <t>Cricket Y</t>
  </si>
  <si>
    <t>Tennis Moth</t>
  </si>
  <si>
    <t>Tennis Qty</t>
  </si>
  <si>
    <t>Tennis HY</t>
  </si>
  <si>
    <t>Tennis Y</t>
  </si>
  <si>
    <t>Membership Fees</t>
  </si>
  <si>
    <t>Fees Paid</t>
  </si>
  <si>
    <t>Fees Due</t>
  </si>
  <si>
    <t>Duration (Months)</t>
  </si>
  <si>
    <t>Pending Fee Notice</t>
  </si>
  <si>
    <t>SINGH</t>
  </si>
  <si>
    <t>SINHA</t>
  </si>
  <si>
    <t xml:space="preserve">KUMARI </t>
  </si>
  <si>
    <t>SHIVAM</t>
  </si>
  <si>
    <t>N/A</t>
  </si>
  <si>
    <t>KATORE</t>
  </si>
  <si>
    <t>Swimming Qty</t>
  </si>
  <si>
    <t>Swimming HY</t>
  </si>
  <si>
    <t>Swimming y</t>
  </si>
  <si>
    <t>Swimming Moth</t>
  </si>
  <si>
    <t>RANJAN</t>
  </si>
  <si>
    <t>Swimming Qty (3 days)</t>
  </si>
  <si>
    <t>AYUSH</t>
  </si>
  <si>
    <t>Swimming 2 Moth</t>
  </si>
  <si>
    <t>1-3 TO BE COUNTINEW</t>
  </si>
  <si>
    <t>DUES</t>
  </si>
  <si>
    <t>1 MONTH</t>
  </si>
  <si>
    <t>MAZER ACEDENT</t>
  </si>
  <si>
    <t>JHA</t>
  </si>
  <si>
    <t>Tennis 2 Month</t>
  </si>
  <si>
    <t>Cricket Month</t>
  </si>
  <si>
    <t>3 MONTH COVID EXT.(MAY+JUNE+FEB</t>
  </si>
  <si>
    <t>NEXT WEEK</t>
  </si>
  <si>
    <t>Zumba Month</t>
  </si>
  <si>
    <t>TEJASH</t>
  </si>
  <si>
    <t>TUESDAY</t>
  </si>
  <si>
    <t>2-3 DAYS</t>
  </si>
  <si>
    <t>THIS WEEK</t>
  </si>
  <si>
    <t>SUNDAY/TUESDAY</t>
  </si>
  <si>
    <t>WILL CONFIRM ON TUESDAY</t>
  </si>
  <si>
    <t>CRICKET</t>
  </si>
  <si>
    <t>*****</t>
  </si>
  <si>
    <t>COMING WEEK</t>
  </si>
  <si>
    <t>IN THIS WEEK</t>
  </si>
  <si>
    <t>SAT/SUNDAY</t>
  </si>
  <si>
    <t>ZUMBA QTY</t>
  </si>
  <si>
    <t>DAYS</t>
  </si>
  <si>
    <t>Name</t>
  </si>
  <si>
    <t>ZUMBA</t>
  </si>
  <si>
    <t>PRANJAL</t>
  </si>
  <si>
    <t>SEP-9,OCT-15,NOV-12 DAYS</t>
  </si>
  <si>
    <t>SKATING QTY</t>
  </si>
  <si>
    <t>SKATING MONTH</t>
  </si>
  <si>
    <t>SWETA</t>
  </si>
  <si>
    <t>MOURYA</t>
  </si>
  <si>
    <t>ABHIMAN</t>
  </si>
  <si>
    <t>(6000/- DUES 1000/-</t>
  </si>
  <si>
    <t>DR PALLAVI</t>
  </si>
  <si>
    <t>NEHA</t>
  </si>
  <si>
    <t>NILAM</t>
  </si>
  <si>
    <t>SHALINI</t>
  </si>
  <si>
    <t>PATEL</t>
  </si>
  <si>
    <t>KANCHAN</t>
  </si>
  <si>
    <t>DANKAR</t>
  </si>
  <si>
    <t>ANUPAMA</t>
  </si>
  <si>
    <t>SWATI</t>
  </si>
  <si>
    <t>K</t>
  </si>
  <si>
    <t>2 DAYS</t>
  </si>
  <si>
    <t>CHOUIDHARY</t>
  </si>
  <si>
    <t>SANCHITA</t>
  </si>
  <si>
    <t>MOBILE NO.</t>
  </si>
  <si>
    <t>ASMITA</t>
  </si>
  <si>
    <t>KARTHIK</t>
  </si>
  <si>
    <t>REG NO</t>
  </si>
  <si>
    <t>REG, DATE</t>
  </si>
  <si>
    <t>CAP/SW/07</t>
  </si>
  <si>
    <t>CAP/SW/01</t>
  </si>
  <si>
    <t>CAP/SW/02</t>
  </si>
  <si>
    <t>CAP/SW/03</t>
  </si>
  <si>
    <t>CAP/SW/04</t>
  </si>
  <si>
    <t>CAP/SW/06</t>
  </si>
  <si>
    <t>CAP/SW/08</t>
  </si>
  <si>
    <t>CAP/SW/09</t>
  </si>
  <si>
    <t>CAP/SW/10</t>
  </si>
  <si>
    <t>CAP/SW/11</t>
  </si>
  <si>
    <t>CAP/SW/12</t>
  </si>
  <si>
    <t>CAP/SW/13</t>
  </si>
  <si>
    <t>CAP/SW/14</t>
  </si>
  <si>
    <t>CAP/SW/15</t>
  </si>
  <si>
    <t>CAP/SW/16</t>
  </si>
  <si>
    <t>CAP/SW/17</t>
  </si>
  <si>
    <t>CAP/SW/18</t>
  </si>
  <si>
    <t>CAP/SW/19</t>
  </si>
  <si>
    <t>CAP/SW/20</t>
  </si>
  <si>
    <t>CAP/SW/21</t>
  </si>
  <si>
    <t>CAP/SW/22</t>
  </si>
  <si>
    <t>CAP/SW/23</t>
  </si>
  <si>
    <t>CAP/SW/24</t>
  </si>
  <si>
    <t>CAP/SW/25</t>
  </si>
  <si>
    <t>CAP/SW/26</t>
  </si>
  <si>
    <t>CAP/SW/27</t>
  </si>
  <si>
    <t>CAP/SW/28</t>
  </si>
  <si>
    <t>CAP/SW/29</t>
  </si>
  <si>
    <t>CAP/SW/30</t>
  </si>
  <si>
    <t>CAP/SW/31</t>
  </si>
  <si>
    <t>CAP/SW/32</t>
  </si>
  <si>
    <t>CAP/SW/33</t>
  </si>
  <si>
    <t>CAP/SW/34</t>
  </si>
  <si>
    <t>CAP/SW/35</t>
  </si>
  <si>
    <t>CAP/SW/36</t>
  </si>
  <si>
    <t>CAP/SW/37</t>
  </si>
  <si>
    <t>CAP/SW/38</t>
  </si>
  <si>
    <t>CAP/SW/39</t>
  </si>
  <si>
    <t>CAP/SW/40</t>
  </si>
  <si>
    <t>CAP/SW/41</t>
  </si>
  <si>
    <t>CAP/SW/42</t>
  </si>
  <si>
    <t>CAP/SW/43</t>
  </si>
  <si>
    <t>CAP/SW/44</t>
  </si>
  <si>
    <t>CAP/SW/45</t>
  </si>
  <si>
    <t>CAP/SW/46</t>
  </si>
  <si>
    <t>CAP/SW/47</t>
  </si>
  <si>
    <t>CAP/SW/48</t>
  </si>
  <si>
    <t>CAP/SW/49</t>
  </si>
  <si>
    <t>CAP/SW/50</t>
  </si>
  <si>
    <t>CAP/SW/51</t>
  </si>
  <si>
    <t>CAP/SW/52</t>
  </si>
  <si>
    <t>CAP/SW/53</t>
  </si>
  <si>
    <t>CAP/SW/54</t>
  </si>
  <si>
    <t>CAP/SW/55</t>
  </si>
  <si>
    <t>CAP/SW/56</t>
  </si>
  <si>
    <t>CAP/SW/57</t>
  </si>
  <si>
    <t>CAP/SW/58</t>
  </si>
  <si>
    <t>CAP/SW/59</t>
  </si>
  <si>
    <t>CAP/SW/60</t>
  </si>
  <si>
    <t>CAP/SW/61</t>
  </si>
  <si>
    <t>CAP/SW/62</t>
  </si>
  <si>
    <t>CAP/SW/63</t>
  </si>
  <si>
    <t>CAP/SW/64</t>
  </si>
  <si>
    <t>CAP/SW/65</t>
  </si>
  <si>
    <t>CAP/SW/66</t>
  </si>
  <si>
    <t>CAP/SW/67</t>
  </si>
  <si>
    <t>CAP/SW/68</t>
  </si>
  <si>
    <t>CAP/SW/69</t>
  </si>
  <si>
    <t>CAP/SW/70</t>
  </si>
  <si>
    <t>CAP/SW/71</t>
  </si>
  <si>
    <t>CAP/SW/72</t>
  </si>
  <si>
    <t>CAP/SW/73</t>
  </si>
  <si>
    <t>CAP/SW/74</t>
  </si>
  <si>
    <t>CAP/SW/75</t>
  </si>
  <si>
    <t>CAP/SW/76</t>
  </si>
  <si>
    <t>CAP/SW/77</t>
  </si>
  <si>
    <t>CAP/SW/78</t>
  </si>
  <si>
    <t>CAP/SW/79</t>
  </si>
  <si>
    <t>CAP/SW/81</t>
  </si>
  <si>
    <t>CAP/SW/82</t>
  </si>
  <si>
    <t>CAP/SW/83</t>
  </si>
  <si>
    <t>CAP/SW/84</t>
  </si>
  <si>
    <t>CAP/SW/85</t>
  </si>
  <si>
    <t>CAP/SW/86</t>
  </si>
  <si>
    <t>CAP/SW/87</t>
  </si>
  <si>
    <t>CAP/SW/88</t>
  </si>
  <si>
    <t>CAP/SW/89</t>
  </si>
  <si>
    <t>CAP/SW/92</t>
  </si>
  <si>
    <t>CAP/SW/93</t>
  </si>
  <si>
    <t>CAP/SW/94</t>
  </si>
  <si>
    <t>CAP/SW/95</t>
  </si>
  <si>
    <t>CAP/SW/96</t>
  </si>
  <si>
    <t>CAP/SW/97</t>
  </si>
  <si>
    <t>CAP/SW/98</t>
  </si>
  <si>
    <t>CAP/SW/99</t>
  </si>
  <si>
    <t>CAP/SW/100</t>
  </si>
  <si>
    <t>CAP/SW/101</t>
  </si>
  <si>
    <t>CAP/SW/102</t>
  </si>
  <si>
    <t>CAP/SW/103</t>
  </si>
  <si>
    <t>CAP/SW/104</t>
  </si>
  <si>
    <t>CAP/SW/105</t>
  </si>
  <si>
    <t>CAP/SW/106</t>
  </si>
  <si>
    <t>CAP/SW/107</t>
  </si>
  <si>
    <t>CAP/SW/108</t>
  </si>
  <si>
    <t>CAP/SW/109</t>
  </si>
  <si>
    <t>KISHLAY</t>
  </si>
  <si>
    <t>DR.SOUMYA</t>
  </si>
  <si>
    <t xml:space="preserve">KUMAR </t>
  </si>
  <si>
    <t xml:space="preserve">PRATIK </t>
  </si>
  <si>
    <t xml:space="preserve">PODDAR </t>
  </si>
  <si>
    <t xml:space="preserve">PREETI </t>
  </si>
  <si>
    <t xml:space="preserve">ASHISH </t>
  </si>
  <si>
    <t>CHANDRAWEEN</t>
  </si>
  <si>
    <t>NAME</t>
  </si>
  <si>
    <t>START DATE</t>
  </si>
  <si>
    <t>ARCHANA KUMARI</t>
  </si>
  <si>
    <t>ZUMBA (2026)</t>
  </si>
  <si>
    <t xml:space="preserve">MONTH </t>
  </si>
  <si>
    <t xml:space="preserve">EXPIRY </t>
  </si>
  <si>
    <t xml:space="preserve">CONTACT NO. </t>
  </si>
  <si>
    <t>AYUSHI</t>
  </si>
  <si>
    <t xml:space="preserve">3 MONTHS </t>
  </si>
  <si>
    <t>2 MONTHS  (500 RETURN)</t>
  </si>
  <si>
    <t>NAMITA SINGH</t>
  </si>
  <si>
    <t>NEELAM</t>
  </si>
  <si>
    <t xml:space="preserve">RESHMA </t>
  </si>
  <si>
    <t>POOJA YADAV</t>
  </si>
  <si>
    <t xml:space="preserve">SINHA </t>
  </si>
  <si>
    <t xml:space="preserve">DURGESH </t>
  </si>
  <si>
    <t xml:space="preserve">   </t>
  </si>
  <si>
    <t xml:space="preserve">DEEPAK KUMAR </t>
  </si>
  <si>
    <t xml:space="preserve">RUPESH </t>
  </si>
  <si>
    <t xml:space="preserve">3 DAYS </t>
  </si>
  <si>
    <t xml:space="preserve">BHARTI </t>
  </si>
  <si>
    <t xml:space="preserve">NESH RAJ </t>
  </si>
  <si>
    <t xml:space="preserve">2 DAYS </t>
  </si>
  <si>
    <t xml:space="preserve">VARDHAN </t>
  </si>
  <si>
    <t>SIDHARTH</t>
  </si>
  <si>
    <t>RAY</t>
  </si>
  <si>
    <t xml:space="preserve">JAYJIT </t>
  </si>
  <si>
    <t xml:space="preserve">DR. NISHANT </t>
  </si>
  <si>
    <t>3 MONTHS</t>
  </si>
  <si>
    <t xml:space="preserve">6 MONTHS </t>
  </si>
  <si>
    <t xml:space="preserve">9 MONTHS </t>
  </si>
  <si>
    <t xml:space="preserve">PRAYADASHI </t>
  </si>
  <si>
    <t xml:space="preserve">ISHWAR  CHANDRA (I.C . YADAV ) </t>
  </si>
  <si>
    <t xml:space="preserve"> I.C YADAV </t>
  </si>
  <si>
    <t xml:space="preserve">SRITABH </t>
  </si>
  <si>
    <t>GHOSH</t>
  </si>
  <si>
    <t xml:space="preserve"> SAYANI DAS </t>
  </si>
  <si>
    <t xml:space="preserve">SWIMMING QTY </t>
  </si>
  <si>
    <t>3 MONTHS(3DAYS)</t>
  </si>
  <si>
    <t xml:space="preserve">VIBHA </t>
  </si>
  <si>
    <t xml:space="preserve">MONTHLY </t>
  </si>
  <si>
    <t xml:space="preserve">RAJ </t>
  </si>
  <si>
    <t>AMAN</t>
  </si>
  <si>
    <t>ARNAV</t>
  </si>
  <si>
    <t>MONTHLY (2 DAYS )</t>
  </si>
  <si>
    <t>PANDEY</t>
  </si>
  <si>
    <t xml:space="preserve">PANKAJ </t>
  </si>
  <si>
    <t>DEY</t>
  </si>
  <si>
    <t>DEVANSHI</t>
  </si>
  <si>
    <t>MONTHLY</t>
  </si>
  <si>
    <t>EKTA</t>
  </si>
  <si>
    <t xml:space="preserve">ANAND </t>
  </si>
  <si>
    <t xml:space="preserve">SHANKAR </t>
  </si>
  <si>
    <t xml:space="preserve">BAYAHUT </t>
  </si>
  <si>
    <t xml:space="preserve">ARNIKA </t>
  </si>
  <si>
    <t>3 MONTHS (3 DAYS )</t>
  </si>
  <si>
    <t xml:space="preserve">RAVI </t>
  </si>
  <si>
    <t>DEEPANSHU</t>
  </si>
  <si>
    <t xml:space="preserve">SUBHDA </t>
  </si>
  <si>
    <t>MONTHLY (3 DAY)</t>
  </si>
  <si>
    <t>VERMA</t>
  </si>
  <si>
    <t xml:space="preserve">H.P </t>
  </si>
  <si>
    <t>CAP/SW/05</t>
  </si>
  <si>
    <t xml:space="preserve">SHREYA </t>
  </si>
  <si>
    <t xml:space="preserve">SHARMA </t>
  </si>
  <si>
    <t xml:space="preserve">KIARA </t>
  </si>
  <si>
    <t xml:space="preserve">KAUSHTUBA </t>
  </si>
  <si>
    <t>ASHUTOSH</t>
  </si>
  <si>
    <t xml:space="preserve">SONAL </t>
  </si>
  <si>
    <t xml:space="preserve">SIDDHARTH </t>
  </si>
  <si>
    <t>MONTHLY (3 DAYS)</t>
  </si>
  <si>
    <t>MONTHLY ( 3 DAYS )</t>
  </si>
  <si>
    <t xml:space="preserve">NIKET </t>
  </si>
  <si>
    <t>KUMAR</t>
  </si>
  <si>
    <t>RAVINDRA</t>
  </si>
  <si>
    <t>JOSHI</t>
  </si>
  <si>
    <t xml:space="preserve">ARJUN </t>
  </si>
  <si>
    <t xml:space="preserve">RISHIKA  </t>
  </si>
  <si>
    <t>SRIJAN</t>
  </si>
  <si>
    <t xml:space="preserve">RISHAV </t>
  </si>
  <si>
    <t xml:space="preserve">VANSH </t>
  </si>
  <si>
    <t>MONTHLY (3DAY )</t>
  </si>
  <si>
    <t>NAYAN</t>
  </si>
  <si>
    <t>RAJ</t>
  </si>
  <si>
    <t>ARYA</t>
  </si>
  <si>
    <t>PRAJAS</t>
  </si>
  <si>
    <t>MONTHLY (1 DAY )</t>
  </si>
  <si>
    <t>YASH</t>
  </si>
  <si>
    <t>KISHAN KUMAR</t>
  </si>
  <si>
    <t xml:space="preserve">MONTHLY (3 DAY ) </t>
  </si>
  <si>
    <t>MITUL</t>
  </si>
  <si>
    <t>SAHAY</t>
  </si>
  <si>
    <t>AARAV</t>
  </si>
  <si>
    <t>SHEKHAR</t>
  </si>
  <si>
    <t xml:space="preserve">ANANT </t>
  </si>
  <si>
    <t>NIKHIL</t>
  </si>
  <si>
    <t>ANIKA</t>
  </si>
  <si>
    <t>RITU</t>
  </si>
  <si>
    <t>MONTHLY (2 DAY )</t>
  </si>
  <si>
    <t xml:space="preserve">VANSHIKA </t>
  </si>
  <si>
    <t>MONTHLY (KID )</t>
  </si>
  <si>
    <t xml:space="preserve">STUTI </t>
  </si>
  <si>
    <t xml:space="preserve">AMRITANSHU </t>
  </si>
  <si>
    <t>DUBEY</t>
  </si>
  <si>
    <t xml:space="preserve">GAURAV </t>
  </si>
  <si>
    <t>MOHIT</t>
  </si>
  <si>
    <t>SHUBHAM</t>
  </si>
  <si>
    <t>VISHAL</t>
  </si>
  <si>
    <t xml:space="preserve">AYANSH </t>
  </si>
  <si>
    <t xml:space="preserve">DR.BHAVYA </t>
  </si>
  <si>
    <t>BHAJYAMANI</t>
  </si>
  <si>
    <t>ANUBHAV</t>
  </si>
  <si>
    <t>SHRAVYA</t>
  </si>
  <si>
    <t xml:space="preserve">DR. NEHA </t>
  </si>
  <si>
    <t xml:space="preserve">CHAUDHARY </t>
  </si>
  <si>
    <t>JAHNAV</t>
  </si>
  <si>
    <t>PRATAP</t>
  </si>
  <si>
    <t xml:space="preserve">MONTHLY (KID) </t>
  </si>
  <si>
    <t xml:space="preserve">PUNJA </t>
  </si>
  <si>
    <t xml:space="preserve">AWANTIKA </t>
  </si>
  <si>
    <t>AAROHI</t>
  </si>
  <si>
    <t xml:space="preserve">SOURAV </t>
  </si>
  <si>
    <t>KSHITIZ</t>
  </si>
  <si>
    <t>UPADHYAY</t>
  </si>
  <si>
    <t>ABHINAV</t>
  </si>
  <si>
    <t xml:space="preserve">SINGH </t>
  </si>
  <si>
    <t>REG</t>
  </si>
  <si>
    <t xml:space="preserve">PRANJAL </t>
  </si>
  <si>
    <t xml:space="preserve">ARYA </t>
  </si>
  <si>
    <t xml:space="preserve">ANIKA </t>
  </si>
  <si>
    <t>SHRESTH</t>
  </si>
  <si>
    <t xml:space="preserve">AVIRAL </t>
  </si>
  <si>
    <t>PUNJ</t>
  </si>
  <si>
    <t xml:space="preserve">KUSHAGRA </t>
  </si>
  <si>
    <t xml:space="preserve">DEEP </t>
  </si>
  <si>
    <t>MONTHLY ( 2 DAY )</t>
  </si>
  <si>
    <t xml:space="preserve">ANISH </t>
  </si>
  <si>
    <t xml:space="preserve">PRASHOON </t>
  </si>
  <si>
    <t xml:space="preserve">AAHANA </t>
  </si>
  <si>
    <t xml:space="preserve">VIKRANT </t>
  </si>
  <si>
    <t xml:space="preserve">ARNAV </t>
  </si>
  <si>
    <t xml:space="preserve">YASHANSH </t>
  </si>
  <si>
    <t xml:space="preserve">RAUT </t>
  </si>
  <si>
    <t xml:space="preserve">SUMAN </t>
  </si>
  <si>
    <t xml:space="preserve">SAURAV </t>
  </si>
  <si>
    <t xml:space="preserve">JATAN </t>
  </si>
  <si>
    <t xml:space="preserve">VISHABH </t>
  </si>
  <si>
    <t xml:space="preserve">VIHAN </t>
  </si>
  <si>
    <t xml:space="preserve">SOBBHNA </t>
  </si>
  <si>
    <t>3 MONTHLY(3 DAY)</t>
  </si>
  <si>
    <t xml:space="preserve">3 MONTHLY (3 DAY ) </t>
  </si>
  <si>
    <t xml:space="preserve">MAHIP </t>
  </si>
  <si>
    <t>NARAYAN</t>
  </si>
  <si>
    <t xml:space="preserve">AARYA  </t>
  </si>
  <si>
    <t xml:space="preserve">PRAKASH </t>
  </si>
  <si>
    <t xml:space="preserve">DIVYA </t>
  </si>
  <si>
    <t>SAIKAT</t>
  </si>
  <si>
    <t xml:space="preserve">BAIDYAKAR </t>
  </si>
  <si>
    <t xml:space="preserve">AADYA </t>
  </si>
  <si>
    <t xml:space="preserve">AKSHITA </t>
  </si>
  <si>
    <t xml:space="preserve">ABITA </t>
  </si>
  <si>
    <t xml:space="preserve">YUVAN </t>
  </si>
  <si>
    <t xml:space="preserve">MONTHLY (KID ) </t>
  </si>
  <si>
    <t xml:space="preserve">HARSHWARDHAN </t>
  </si>
  <si>
    <t>RAJENDRAN</t>
  </si>
  <si>
    <t xml:space="preserve">RIYA </t>
  </si>
  <si>
    <t xml:space="preserve">ALANKRIT </t>
  </si>
  <si>
    <t>BHARTWAJ</t>
  </si>
  <si>
    <t xml:space="preserve">ABHIGYA </t>
  </si>
  <si>
    <t xml:space="preserve">ABHIRAM </t>
  </si>
  <si>
    <t xml:space="preserve">RACHIT </t>
  </si>
  <si>
    <t xml:space="preserve">MONTHLY (3 DAY KID ) </t>
  </si>
  <si>
    <t xml:space="preserve">MONTHLY (3 DAY KID) </t>
  </si>
  <si>
    <t>MADHAV</t>
  </si>
  <si>
    <t>CAP/SW/110</t>
  </si>
  <si>
    <t>CAP/SW/111</t>
  </si>
  <si>
    <t>CAP/SW/112</t>
  </si>
  <si>
    <t>CAP/SW/113</t>
  </si>
  <si>
    <t>CAP/SW/114</t>
  </si>
  <si>
    <t>CAP/SW/115</t>
  </si>
  <si>
    <t>CAP/SW/116</t>
  </si>
  <si>
    <t>CAP/SW/117</t>
  </si>
  <si>
    <t>CAP/SW/118</t>
  </si>
  <si>
    <t>CAP/SW/119</t>
  </si>
  <si>
    <t>CAP/SW/120</t>
  </si>
  <si>
    <t>CAP/SW/121</t>
  </si>
  <si>
    <t>CAP/SW/122</t>
  </si>
  <si>
    <t>CAP/SW/123</t>
  </si>
  <si>
    <t>CAP/SW/124</t>
  </si>
  <si>
    <t>CAP/SW/125</t>
  </si>
  <si>
    <t>CAP/SW/126</t>
  </si>
  <si>
    <t>CAP/SW/127</t>
  </si>
  <si>
    <t>CAP/SW/128</t>
  </si>
  <si>
    <t>CAP/SW/129</t>
  </si>
  <si>
    <t>CAP/SW/130</t>
  </si>
  <si>
    <t>CAP/SW/131</t>
  </si>
  <si>
    <t>CAP/SW/132</t>
  </si>
  <si>
    <t>CAP/SW/133</t>
  </si>
  <si>
    <t>CAP/SW/134</t>
  </si>
  <si>
    <t>CAP/SW/135</t>
  </si>
  <si>
    <t>CAP/SW/136</t>
  </si>
  <si>
    <t>CAP/SW/137</t>
  </si>
  <si>
    <t>CAP/SW/138</t>
  </si>
  <si>
    <t>CAP/SW/139</t>
  </si>
  <si>
    <t>CAP/SW/140</t>
  </si>
  <si>
    <t>CAP/SW/141</t>
  </si>
  <si>
    <t>CAP/SW/142</t>
  </si>
  <si>
    <t>CAP/SW/143</t>
  </si>
  <si>
    <t>CAP/SW/144</t>
  </si>
  <si>
    <t>CAP/SW/145</t>
  </si>
  <si>
    <t>CAP/SW/146</t>
  </si>
  <si>
    <t>CAP/SW/147</t>
  </si>
  <si>
    <t>CAP/SW/148</t>
  </si>
  <si>
    <t>CAP/SW/149</t>
  </si>
  <si>
    <t>CAP/SW/150</t>
  </si>
  <si>
    <t>CAP/SW/151</t>
  </si>
  <si>
    <t>CAP/SW/152</t>
  </si>
  <si>
    <t>CAP/SW/153</t>
  </si>
  <si>
    <t>CAP/SW/154</t>
  </si>
  <si>
    <t>CAP/SW/155</t>
  </si>
  <si>
    <t>CAP/SW/156</t>
  </si>
  <si>
    <t>CAP/SW/157</t>
  </si>
  <si>
    <t>CAP/SW/158</t>
  </si>
  <si>
    <t>CAP/SW/159</t>
  </si>
  <si>
    <t>CAP/SW/160</t>
  </si>
  <si>
    <t xml:space="preserve">TAKSH </t>
  </si>
  <si>
    <t xml:space="preserve">TRIPTI </t>
  </si>
  <si>
    <t xml:space="preserve">VIKASH </t>
  </si>
  <si>
    <t>ANAND</t>
  </si>
  <si>
    <t xml:space="preserve">CHAITANYA </t>
  </si>
  <si>
    <t xml:space="preserve">AADAVAN </t>
  </si>
  <si>
    <t>PRATAB</t>
  </si>
  <si>
    <t>MONTHLY (3 DAY KID)</t>
  </si>
  <si>
    <t xml:space="preserve">AADISH </t>
  </si>
  <si>
    <t xml:space="preserve">MAHIR </t>
  </si>
  <si>
    <t xml:space="preserve">MONTHLY  </t>
  </si>
  <si>
    <t xml:space="preserve">NISTHA </t>
  </si>
  <si>
    <t xml:space="preserve">VANDITA </t>
  </si>
  <si>
    <t xml:space="preserve">NISHANT </t>
  </si>
  <si>
    <t>MONTHLY (2 DAY KID)</t>
  </si>
  <si>
    <t>OJHA</t>
  </si>
  <si>
    <t xml:space="preserve">ADITYA </t>
  </si>
  <si>
    <t xml:space="preserve">KUSUM </t>
  </si>
  <si>
    <t>MONTHLY (4 DAY )</t>
  </si>
  <si>
    <t xml:space="preserve">JYOTI </t>
  </si>
  <si>
    <t xml:space="preserve">RANI </t>
  </si>
  <si>
    <t xml:space="preserve">NAGESH </t>
  </si>
  <si>
    <t>MONTHLY (3 DAY KID )</t>
  </si>
  <si>
    <t xml:space="preserve">LAKSHITA </t>
  </si>
  <si>
    <t>SABHYA</t>
  </si>
  <si>
    <t>SWAROOP</t>
  </si>
  <si>
    <t xml:space="preserve">ANANYA </t>
  </si>
  <si>
    <t xml:space="preserve">UTKARSH </t>
  </si>
  <si>
    <t xml:space="preserve">RANJAN </t>
  </si>
  <si>
    <t xml:space="preserve">ARADHYA </t>
  </si>
  <si>
    <t>MONTHLY (2 DAY KID )</t>
  </si>
  <si>
    <t xml:space="preserve">SURYANSH </t>
  </si>
  <si>
    <t xml:space="preserve">VAIBHAV </t>
  </si>
  <si>
    <t xml:space="preserve">AVNI </t>
  </si>
  <si>
    <t xml:space="preserve">YADAV </t>
  </si>
  <si>
    <t xml:space="preserve">PRIYANSHU </t>
  </si>
  <si>
    <t xml:space="preserve">3 MONTHS  </t>
  </si>
  <si>
    <t xml:space="preserve">SONU </t>
  </si>
  <si>
    <t xml:space="preserve">TIWARI </t>
  </si>
  <si>
    <t xml:space="preserve">UTTAM </t>
  </si>
  <si>
    <t xml:space="preserve">KARTIK </t>
  </si>
  <si>
    <t>SMIT</t>
  </si>
  <si>
    <t xml:space="preserve">SHUBHAM </t>
  </si>
  <si>
    <t xml:space="preserve">MEHRA </t>
  </si>
  <si>
    <t xml:space="preserve">VANIYA </t>
  </si>
  <si>
    <t xml:space="preserve">ISHAAN </t>
  </si>
  <si>
    <t xml:space="preserve">PRATYUSH </t>
  </si>
  <si>
    <t xml:space="preserve">PRAGYAN </t>
  </si>
  <si>
    <t xml:space="preserve">ANIRUDH </t>
  </si>
  <si>
    <t xml:space="preserve">PRANAV </t>
  </si>
  <si>
    <t xml:space="preserve">MEHAAN DEEP </t>
  </si>
  <si>
    <t xml:space="preserve">AARADHY </t>
  </si>
  <si>
    <t>ABHINAV PRATAP</t>
  </si>
  <si>
    <t xml:space="preserve">SATAYAM </t>
  </si>
  <si>
    <t xml:space="preserve">SAKHSHI </t>
  </si>
  <si>
    <t xml:space="preserve">MANSHI </t>
  </si>
  <si>
    <t xml:space="preserve">DUVANSHI </t>
  </si>
  <si>
    <t xml:space="preserve">KRISHNA </t>
  </si>
  <si>
    <t xml:space="preserve">ATHARVA </t>
  </si>
  <si>
    <t xml:space="preserve">SEKHAR </t>
  </si>
  <si>
    <t xml:space="preserve">HARSHIT </t>
  </si>
  <si>
    <t xml:space="preserve">MONTHLY (2 DAY ) </t>
  </si>
  <si>
    <t xml:space="preserve">AADHYA </t>
  </si>
  <si>
    <t xml:space="preserve">KATIHAR </t>
  </si>
  <si>
    <t xml:space="preserve">ANAYA </t>
  </si>
  <si>
    <t xml:space="preserve">AADIL </t>
  </si>
  <si>
    <t>CAP/SW/161</t>
  </si>
  <si>
    <t>CAP/SW/162</t>
  </si>
  <si>
    <t>CAP/SW/163</t>
  </si>
  <si>
    <t>CAP/SW/164</t>
  </si>
  <si>
    <t>CAP/SW/165</t>
  </si>
  <si>
    <t>CAP/SW/166</t>
  </si>
  <si>
    <t>CAP/SW/167</t>
  </si>
  <si>
    <t>CAP/SW/168</t>
  </si>
  <si>
    <t>CAP/SW/169</t>
  </si>
  <si>
    <t>CAP/SW/170</t>
  </si>
  <si>
    <t>CAP/SW/171</t>
  </si>
  <si>
    <t>CAP/SW/172</t>
  </si>
  <si>
    <t>CAP/SW/173</t>
  </si>
  <si>
    <t>CAP/SW/174</t>
  </si>
  <si>
    <t>CAP/SW/175</t>
  </si>
  <si>
    <t>CAP/SW/176</t>
  </si>
  <si>
    <t>CAP/SW/177</t>
  </si>
  <si>
    <t>CAP/SW/178</t>
  </si>
  <si>
    <t>CAP/SW/179</t>
  </si>
  <si>
    <t>CAP/SW/180</t>
  </si>
  <si>
    <t>CAP/SW/181</t>
  </si>
  <si>
    <t>CAP/SW/182</t>
  </si>
  <si>
    <t>CAP/SW/183</t>
  </si>
  <si>
    <t>CAP/SW/184</t>
  </si>
  <si>
    <t>CAP/SW/185</t>
  </si>
  <si>
    <t>CAP/SW/186</t>
  </si>
  <si>
    <t>CAP/SW/187</t>
  </si>
  <si>
    <t>CAP/SW/188</t>
  </si>
  <si>
    <t>CAP/SW/189</t>
  </si>
  <si>
    <t>CAP/SW/190</t>
  </si>
  <si>
    <t>CAP/SW/191</t>
  </si>
  <si>
    <t>CAP/SW/192</t>
  </si>
  <si>
    <t>CAP/SW/193</t>
  </si>
  <si>
    <t>CAP/SW/194</t>
  </si>
  <si>
    <t>CAP/SW/195</t>
  </si>
  <si>
    <t>CAP/SW/196</t>
  </si>
  <si>
    <t>CAP/SW/197</t>
  </si>
  <si>
    <t>CAP/SW/198</t>
  </si>
  <si>
    <t>CAP/SW/199</t>
  </si>
  <si>
    <t>CAP/SW/200</t>
  </si>
  <si>
    <t>CAP/SW/201</t>
  </si>
  <si>
    <t xml:space="preserve">AYUSH </t>
  </si>
  <si>
    <t xml:space="preserve">PRATHAM </t>
  </si>
  <si>
    <t xml:space="preserve">ANSHUMAN </t>
  </si>
  <si>
    <t>3 MONTHS (KID )</t>
  </si>
  <si>
    <t xml:space="preserve">ARHAANSH </t>
  </si>
  <si>
    <t xml:space="preserve">DAKSHA </t>
  </si>
  <si>
    <t xml:space="preserve">SAMRIDDHI </t>
  </si>
  <si>
    <t xml:space="preserve">SHUBHANGI </t>
  </si>
  <si>
    <t>VIVASVAT</t>
  </si>
  <si>
    <t xml:space="preserve">SUVENA </t>
  </si>
  <si>
    <t xml:space="preserve">GUPTA </t>
  </si>
  <si>
    <t xml:space="preserve">SIDHANT </t>
  </si>
  <si>
    <t xml:space="preserve">TAKSHA </t>
  </si>
  <si>
    <t xml:space="preserve">SOURYA </t>
  </si>
  <si>
    <t xml:space="preserve">THAKUR </t>
  </si>
  <si>
    <t xml:space="preserve">SHANVIT </t>
  </si>
  <si>
    <t xml:space="preserve">SHRESTH </t>
  </si>
  <si>
    <t xml:space="preserve">3 MONTHS (3 DAY ) </t>
  </si>
  <si>
    <t xml:space="preserve">SHRADDHA </t>
  </si>
  <si>
    <t xml:space="preserve">VERMA </t>
  </si>
  <si>
    <t xml:space="preserve">ISHANVI </t>
  </si>
  <si>
    <t xml:space="preserve">MONTHLY ( 3 DAY ) </t>
  </si>
  <si>
    <t xml:space="preserve">SUVIKA </t>
  </si>
  <si>
    <t>MONTHLY ( 3 DAY KID )</t>
  </si>
  <si>
    <t xml:space="preserve">ATHARV </t>
  </si>
  <si>
    <t xml:space="preserve">SANDILYA </t>
  </si>
  <si>
    <t xml:space="preserve">ADVIKA </t>
  </si>
  <si>
    <t xml:space="preserve">AARAV </t>
  </si>
  <si>
    <t xml:space="preserve">RITIKA </t>
  </si>
  <si>
    <t xml:space="preserve">MIVAAN </t>
  </si>
  <si>
    <t xml:space="preserve">MISHKA </t>
  </si>
  <si>
    <t xml:space="preserve">RIDHAAN </t>
  </si>
  <si>
    <t xml:space="preserve">SWAROOP </t>
  </si>
  <si>
    <t xml:space="preserve">ASHVIKA </t>
  </si>
  <si>
    <t xml:space="preserve">ANSHUPAL </t>
  </si>
  <si>
    <t>3 MONTHLY ( 3 DAY KID )</t>
  </si>
  <si>
    <t xml:space="preserve">ANVIKA </t>
  </si>
  <si>
    <t xml:space="preserve">SRIVASTAVA </t>
  </si>
  <si>
    <t xml:space="preserve">MITUL </t>
  </si>
  <si>
    <t>CAP/SW/202</t>
  </si>
  <si>
    <t>CAP/SW/203</t>
  </si>
  <si>
    <t>CAP/SW/204</t>
  </si>
  <si>
    <t>CAP/SW/205</t>
  </si>
  <si>
    <t>CAP/SW/206</t>
  </si>
  <si>
    <t>CAP/SW/207</t>
  </si>
  <si>
    <t>CAP/SW/208</t>
  </si>
  <si>
    <t>CAP/SW/209</t>
  </si>
  <si>
    <t>CAP/SW/210</t>
  </si>
  <si>
    <t>CAP/SW/211</t>
  </si>
  <si>
    <t>CAP/SW/212</t>
  </si>
  <si>
    <t>CAP/SW/213</t>
  </si>
  <si>
    <t xml:space="preserve">VIVAAN </t>
  </si>
  <si>
    <t xml:space="preserve">BIRLA </t>
  </si>
  <si>
    <t xml:space="preserve">SHRUTI </t>
  </si>
  <si>
    <t xml:space="preserve">KIYANSH </t>
  </si>
  <si>
    <t xml:space="preserve">AJIRA </t>
  </si>
  <si>
    <t>VAIBHAV SINGH</t>
  </si>
  <si>
    <t>UJJAIN</t>
  </si>
  <si>
    <t>GYAN</t>
  </si>
  <si>
    <t xml:space="preserve">KESHAV </t>
  </si>
  <si>
    <t xml:space="preserve">TRIJA </t>
  </si>
  <si>
    <t xml:space="preserve"> </t>
  </si>
  <si>
    <t xml:space="preserve">KRISHIV </t>
  </si>
  <si>
    <t>MONTHLY ( 2 DAY KID )</t>
  </si>
  <si>
    <t xml:space="preserve">AKASH </t>
  </si>
  <si>
    <t xml:space="preserve">ISHAN </t>
  </si>
  <si>
    <t xml:space="preserve">KRIPITA </t>
  </si>
  <si>
    <t xml:space="preserve">MEDHA </t>
  </si>
  <si>
    <t>SHREE</t>
  </si>
  <si>
    <t xml:space="preserve">EKTA </t>
  </si>
  <si>
    <t xml:space="preserve">GHAI </t>
  </si>
  <si>
    <t xml:space="preserve">PATHAK </t>
  </si>
  <si>
    <t xml:space="preserve">RUDRA NARAYAN </t>
  </si>
  <si>
    <t xml:space="preserve">RIDDHI </t>
  </si>
  <si>
    <t xml:space="preserve">IVAAN </t>
  </si>
  <si>
    <t xml:space="preserve">RAJ SINGH </t>
  </si>
  <si>
    <t xml:space="preserve">AVIK </t>
  </si>
  <si>
    <t>RONAK</t>
  </si>
  <si>
    <t xml:space="preserve">MISHRA </t>
  </si>
  <si>
    <t>3 MONTHS ( KID )</t>
  </si>
  <si>
    <t xml:space="preserve">AVYUKT SAGAR </t>
  </si>
  <si>
    <t>CAP/SW/214</t>
  </si>
  <si>
    <t>CAP/SW/215</t>
  </si>
  <si>
    <t>CAP/SW/216</t>
  </si>
  <si>
    <t>CAP/SW/217</t>
  </si>
  <si>
    <t>CAP/SW/218</t>
  </si>
  <si>
    <t>CAP/SW/219</t>
  </si>
  <si>
    <t>CAP/SW/220</t>
  </si>
  <si>
    <t>CAP/SW/221</t>
  </si>
  <si>
    <t>CAP/SW/222</t>
  </si>
  <si>
    <t>CAP/SW/223</t>
  </si>
  <si>
    <t>CAP/SW/224</t>
  </si>
  <si>
    <t>CAP/SW/225</t>
  </si>
  <si>
    <t>CAP/SW/226</t>
  </si>
  <si>
    <t>CAP/SW/227</t>
  </si>
  <si>
    <t>CAP/SW/228</t>
  </si>
  <si>
    <t>CAP/SW/229</t>
  </si>
  <si>
    <t>CAP/SW/230</t>
  </si>
  <si>
    <t>CAP/SW/231</t>
  </si>
  <si>
    <t>CAP/SW/232</t>
  </si>
  <si>
    <t>CAP/SW/233</t>
  </si>
  <si>
    <t>CAP/SW/234</t>
  </si>
  <si>
    <t>CAP/SW/235</t>
  </si>
  <si>
    <t>CAP/SW/236</t>
  </si>
  <si>
    <t>CAP/SW/237</t>
  </si>
  <si>
    <t>CAP/SW/238</t>
  </si>
  <si>
    <t>CAP/SW/239</t>
  </si>
  <si>
    <t>CAP/SW/240</t>
  </si>
  <si>
    <t>CAP/SW/241</t>
  </si>
  <si>
    <t>CAP/SW/242</t>
  </si>
  <si>
    <t>CAP/SW/243</t>
  </si>
  <si>
    <t>CAP/SW/244</t>
  </si>
  <si>
    <t>CAP/SW/245</t>
  </si>
  <si>
    <t>CAP/SW/246</t>
  </si>
  <si>
    <t>CAP/SW/247</t>
  </si>
  <si>
    <t>CAP/SW/248</t>
  </si>
  <si>
    <t>CAP/SW/249</t>
  </si>
  <si>
    <t>CAP/SW/250</t>
  </si>
  <si>
    <t>CAP/SW/251</t>
  </si>
  <si>
    <t xml:space="preserve">ARPITA </t>
  </si>
  <si>
    <t>SIL</t>
  </si>
  <si>
    <t xml:space="preserve">VAIBHAVI SINGH </t>
  </si>
  <si>
    <t xml:space="preserve">KEERTI </t>
  </si>
  <si>
    <t xml:space="preserve">CHAURASIYA </t>
  </si>
  <si>
    <t>RUDRA  PRATAP</t>
  </si>
  <si>
    <t xml:space="preserve">SOMARTH </t>
  </si>
  <si>
    <t xml:space="preserve">AADVIK </t>
  </si>
  <si>
    <t>SNEHA RAMDAR</t>
  </si>
  <si>
    <t>MONTHLY (3DAY)</t>
  </si>
  <si>
    <t>GAURI</t>
  </si>
  <si>
    <t>MONTHLY (KIDS)</t>
  </si>
  <si>
    <t>AANYA</t>
  </si>
  <si>
    <t>9MONTHS</t>
  </si>
  <si>
    <t>KUKKI</t>
  </si>
  <si>
    <t>PRIYA</t>
  </si>
  <si>
    <t>TANU</t>
  </si>
  <si>
    <t xml:space="preserve">DEVYANI </t>
  </si>
  <si>
    <t xml:space="preserve">ADRIKA </t>
  </si>
  <si>
    <t xml:space="preserve">BHASKAR </t>
  </si>
  <si>
    <t xml:space="preserve">DEVIKA </t>
  </si>
  <si>
    <t>KASHYAP</t>
  </si>
  <si>
    <t xml:space="preserve">UNNATI </t>
  </si>
  <si>
    <t xml:space="preserve">VIVEK </t>
  </si>
  <si>
    <t>CHANDAN</t>
  </si>
  <si>
    <t>VASUDEV</t>
  </si>
  <si>
    <t xml:space="preserve">ALICE </t>
  </si>
  <si>
    <t xml:space="preserve">NAFISA </t>
  </si>
  <si>
    <t>MALAK</t>
  </si>
  <si>
    <t xml:space="preserve">ABHISHEK </t>
  </si>
  <si>
    <t>TANUSHREE</t>
  </si>
  <si>
    <t>ARZOIE</t>
  </si>
  <si>
    <t xml:space="preserve">JHA </t>
  </si>
  <si>
    <t>K.M</t>
  </si>
  <si>
    <t>SASHANTH</t>
  </si>
  <si>
    <t xml:space="preserve">PARUL </t>
  </si>
  <si>
    <t xml:space="preserve">SHIVAM </t>
  </si>
  <si>
    <t xml:space="preserve">KUNAL </t>
  </si>
  <si>
    <t xml:space="preserve">SUPRIYA </t>
  </si>
  <si>
    <t xml:space="preserve">DAS </t>
  </si>
  <si>
    <t>ABHISHEK</t>
  </si>
  <si>
    <t>3 MONTHS (2 DAY )</t>
  </si>
  <si>
    <t>3 MONTHS (2 DAY KID )</t>
  </si>
  <si>
    <t>PRITY</t>
  </si>
  <si>
    <t xml:space="preserve">ANVITH </t>
  </si>
  <si>
    <t>AHAN</t>
  </si>
  <si>
    <t xml:space="preserve">ANAGHA </t>
  </si>
  <si>
    <t>CAP/SW/252</t>
  </si>
  <si>
    <t>CAP/SW/253</t>
  </si>
  <si>
    <t>CAP/SW/254</t>
  </si>
  <si>
    <t>CAP/SW/255</t>
  </si>
  <si>
    <t>CAP/SW/256</t>
  </si>
  <si>
    <t>CAP/SW/257</t>
  </si>
  <si>
    <t>CAP/SW/258</t>
  </si>
  <si>
    <t>CAP/SW/259</t>
  </si>
  <si>
    <t>CAP/SW/260</t>
  </si>
  <si>
    <t>CAP/SW/261</t>
  </si>
  <si>
    <t>CAP/SW/262</t>
  </si>
  <si>
    <t>CAP/SW/263</t>
  </si>
  <si>
    <t>CAP/SW/264</t>
  </si>
  <si>
    <t>CAP/SW/265</t>
  </si>
  <si>
    <t>CAP/SW/266</t>
  </si>
  <si>
    <t>CAP/SW/267</t>
  </si>
  <si>
    <t>CAP/SW/268</t>
  </si>
  <si>
    <t>CAP/SW/269</t>
  </si>
  <si>
    <t>CAP/SW/270</t>
  </si>
  <si>
    <t>CAP/SW/271</t>
  </si>
  <si>
    <t xml:space="preserve">AADISTYA </t>
  </si>
  <si>
    <t xml:space="preserve">NARAYAN </t>
  </si>
  <si>
    <t>MONTHLY(2 DAY KID )</t>
  </si>
  <si>
    <t xml:space="preserve">NAVEEN </t>
  </si>
  <si>
    <t xml:space="preserve">MOHAMMED </t>
  </si>
  <si>
    <t xml:space="preserve">ATULYA </t>
  </si>
  <si>
    <t xml:space="preserve">3 MONTHS (KID ) </t>
  </si>
  <si>
    <t xml:space="preserve">PRISHA </t>
  </si>
  <si>
    <t xml:space="preserve">KASHYAP </t>
  </si>
  <si>
    <t xml:space="preserve">ANWIKA </t>
  </si>
  <si>
    <t xml:space="preserve">ARUSH </t>
  </si>
  <si>
    <t xml:space="preserve">NYRA </t>
  </si>
  <si>
    <t>RAJPUT</t>
  </si>
  <si>
    <t>6 MONTHS (KID )</t>
  </si>
  <si>
    <t xml:space="preserve">AASHITA </t>
  </si>
  <si>
    <t xml:space="preserve">SHREYANSH </t>
  </si>
  <si>
    <t xml:space="preserve">MADHU </t>
  </si>
  <si>
    <t xml:space="preserve">DEY </t>
  </si>
  <si>
    <t xml:space="preserve">MEENAKSHI </t>
  </si>
  <si>
    <t xml:space="preserve">ISHANT </t>
  </si>
  <si>
    <t xml:space="preserve">AARNA </t>
  </si>
  <si>
    <t>COSTELLO</t>
  </si>
  <si>
    <t xml:space="preserve">GAUTAM </t>
  </si>
  <si>
    <t xml:space="preserve">SUDHAKAR </t>
  </si>
  <si>
    <t>CAP/SW/272</t>
  </si>
  <si>
    <t>CAP/SW/273</t>
  </si>
  <si>
    <t>CAP/SW/274</t>
  </si>
  <si>
    <t>CAP/SW/275</t>
  </si>
  <si>
    <t>CAP/SW/276</t>
  </si>
  <si>
    <t>CAP/SW/277</t>
  </si>
  <si>
    <t>CAP/SW/278</t>
  </si>
  <si>
    <t>CAP/SW/279</t>
  </si>
  <si>
    <t>CAP/SW/280</t>
  </si>
  <si>
    <t>CAP/SW/281</t>
  </si>
  <si>
    <t xml:space="preserve">OMAR </t>
  </si>
  <si>
    <t xml:space="preserve">SHOURYA </t>
  </si>
  <si>
    <t xml:space="preserve">SNIGDHA </t>
  </si>
  <si>
    <t xml:space="preserve">AVREET </t>
  </si>
  <si>
    <t xml:space="preserve">GOVIND </t>
  </si>
  <si>
    <t xml:space="preserve">SAMAD ALTAF </t>
  </si>
  <si>
    <t xml:space="preserve">ALI </t>
  </si>
  <si>
    <t>CAP/SW/282</t>
  </si>
  <si>
    <t>CAP/SW/283</t>
  </si>
  <si>
    <t>CAP/SW/284</t>
  </si>
  <si>
    <t>CAP/SW/285</t>
  </si>
  <si>
    <t>CAP/SW/286</t>
  </si>
  <si>
    <t>CAP/SW/287</t>
  </si>
  <si>
    <t>CAP/SW/288</t>
  </si>
  <si>
    <t>CAP/SW/289</t>
  </si>
  <si>
    <t>ASHISH KUMAR</t>
  </si>
  <si>
    <t>VIRAJ</t>
  </si>
  <si>
    <t>MONTHLY (3 DAYS KID)</t>
  </si>
  <si>
    <t xml:space="preserve">PURUSHOTAM </t>
  </si>
  <si>
    <t xml:space="preserve">BASANT </t>
  </si>
  <si>
    <t>ROUSHAN KR .</t>
  </si>
  <si>
    <t xml:space="preserve">MOHIT </t>
  </si>
  <si>
    <t xml:space="preserve">SANVI </t>
  </si>
  <si>
    <t xml:space="preserve">CHANDRA </t>
  </si>
  <si>
    <t xml:space="preserve">PRANIT </t>
  </si>
  <si>
    <t xml:space="preserve">VARDAAN </t>
  </si>
  <si>
    <t xml:space="preserve">KARAN </t>
  </si>
  <si>
    <t>BOSS</t>
  </si>
  <si>
    <t xml:space="preserve">ANAHITA </t>
  </si>
  <si>
    <t xml:space="preserve">RINKI </t>
  </si>
  <si>
    <t xml:space="preserve">BUNTY </t>
  </si>
  <si>
    <t xml:space="preserve">RAJSHREE </t>
  </si>
  <si>
    <t xml:space="preserve">TIWARY </t>
  </si>
  <si>
    <t>CAP/SW/290</t>
  </si>
  <si>
    <t>CAP/SW/293</t>
  </si>
  <si>
    <t>CAP/SW/294</t>
  </si>
  <si>
    <t>CAP/SW/295</t>
  </si>
  <si>
    <t>CAP/SW/296</t>
  </si>
  <si>
    <t>CAP/SW/297</t>
  </si>
  <si>
    <t>CAP/SW/298</t>
  </si>
  <si>
    <t>CAP/SW/299</t>
  </si>
  <si>
    <t>CAP/SW/300</t>
  </si>
  <si>
    <t>CAP/SW/301</t>
  </si>
  <si>
    <t>CAP/SW/302</t>
  </si>
  <si>
    <t>CAP/SW/303</t>
  </si>
  <si>
    <t>CAP/SW/304</t>
  </si>
  <si>
    <t>CAP/SW/305</t>
  </si>
  <si>
    <t>CAP/SW/306</t>
  </si>
  <si>
    <t>CAP/SW/307</t>
  </si>
  <si>
    <t>CAP/SW/308</t>
  </si>
  <si>
    <t>CAP/SW/309</t>
  </si>
  <si>
    <t>CAP/SW/310</t>
  </si>
  <si>
    <t>CAP/SW/311</t>
  </si>
  <si>
    <t xml:space="preserve">RAJVEER </t>
  </si>
  <si>
    <t xml:space="preserve">PANDEY </t>
  </si>
  <si>
    <t xml:space="preserve">TRIYAMBAK </t>
  </si>
  <si>
    <t>RATI</t>
  </si>
  <si>
    <t>INDORA</t>
  </si>
  <si>
    <t xml:space="preserve">SHAKTI </t>
  </si>
  <si>
    <t xml:space="preserve">ROUSHAN </t>
  </si>
  <si>
    <t xml:space="preserve">AASHVI </t>
  </si>
  <si>
    <t xml:space="preserve">BAGHEL </t>
  </si>
  <si>
    <t xml:space="preserve">ARHAAN </t>
  </si>
  <si>
    <t xml:space="preserve">AFFAN </t>
  </si>
  <si>
    <t>3 MONTHS (3 DAY KID )</t>
  </si>
  <si>
    <t xml:space="preserve">VAIBHAVI  </t>
  </si>
  <si>
    <t xml:space="preserve">SAANVI </t>
  </si>
  <si>
    <t xml:space="preserve">RAKSHIT </t>
  </si>
  <si>
    <t xml:space="preserve">SHAILESH </t>
  </si>
  <si>
    <t xml:space="preserve">NIHARIKA </t>
  </si>
  <si>
    <t xml:space="preserve">MANISH </t>
  </si>
  <si>
    <t>CAP/SW/312</t>
  </si>
  <si>
    <t>CAP/SW/313</t>
  </si>
  <si>
    <t>CAP/SW/314</t>
  </si>
  <si>
    <t>CAP/SW/315</t>
  </si>
  <si>
    <t>CAP/SW/316</t>
  </si>
  <si>
    <t>CAP/SW/317</t>
  </si>
  <si>
    <t>CAP/SW/318</t>
  </si>
  <si>
    <t>CAP/SW/319</t>
  </si>
  <si>
    <t>CAP/SW/320</t>
  </si>
  <si>
    <t>CAP/SW/321</t>
  </si>
  <si>
    <t>CAP/SW/322</t>
  </si>
  <si>
    <t>CAP/SW/323</t>
  </si>
  <si>
    <t>CAP/SW/324</t>
  </si>
  <si>
    <t>CAP/SW/325</t>
  </si>
  <si>
    <t>CAP/SW/326</t>
  </si>
  <si>
    <t>CAP/SW/327</t>
  </si>
  <si>
    <t>CAP/SW/328</t>
  </si>
  <si>
    <t>CAP/SW/329</t>
  </si>
  <si>
    <t>CAP/SW/330</t>
  </si>
  <si>
    <t>CAP/SW/331</t>
  </si>
  <si>
    <t>CAP/SW/332</t>
  </si>
  <si>
    <t>CAP/SW/333</t>
  </si>
  <si>
    <t>CAP/SW/334</t>
  </si>
  <si>
    <t>CAP/SW/335</t>
  </si>
  <si>
    <t>CAP/SW/336</t>
  </si>
  <si>
    <t>CAP/SW/337</t>
  </si>
  <si>
    <t>CAP/SW/338</t>
  </si>
  <si>
    <t>CAP/SW/340</t>
  </si>
  <si>
    <t>CAP/SW/341</t>
  </si>
  <si>
    <t xml:space="preserve">AVIKA </t>
  </si>
  <si>
    <t xml:space="preserve">PRIYAM </t>
  </si>
  <si>
    <t>NAIRITI</t>
  </si>
  <si>
    <t>SANGITA</t>
  </si>
  <si>
    <t>3 MONTHS ( 2 DAY KID )</t>
  </si>
  <si>
    <t xml:space="preserve">REYANSH </t>
  </si>
  <si>
    <t xml:space="preserve">PRANAY </t>
  </si>
  <si>
    <t xml:space="preserve">SREVASTAVA </t>
  </si>
  <si>
    <t xml:space="preserve">AARADHYA </t>
  </si>
  <si>
    <t xml:space="preserve">AGRWAL </t>
  </si>
  <si>
    <t xml:space="preserve">MOURYA </t>
  </si>
  <si>
    <t xml:space="preserve">PRITHVI </t>
  </si>
  <si>
    <t xml:space="preserve">SARAJ </t>
  </si>
  <si>
    <t xml:space="preserve">NAVIKA </t>
  </si>
  <si>
    <t xml:space="preserve">NAVYA </t>
  </si>
  <si>
    <t>ANKIT</t>
  </si>
  <si>
    <t>MONTHLY (3DAYS)</t>
  </si>
  <si>
    <t>KISHOR</t>
  </si>
  <si>
    <t>MONTHLY(2DAYS) KID</t>
  </si>
  <si>
    <t>SHREEJA</t>
  </si>
  <si>
    <t>MONTHLY(3DAYS) KID</t>
  </si>
  <si>
    <t>MONTHLY (2DAYS) KID</t>
  </si>
  <si>
    <t>VANI</t>
  </si>
  <si>
    <t>MONTHLY (3DAYS) KID</t>
  </si>
  <si>
    <t xml:space="preserve">NAINCY </t>
  </si>
  <si>
    <t>MONTHLY (2DAY)</t>
  </si>
  <si>
    <t xml:space="preserve">AYANSH  </t>
  </si>
  <si>
    <t>PRASANT KR</t>
  </si>
  <si>
    <t>MONTHLY (2DAYS)</t>
  </si>
  <si>
    <t>ARYAN</t>
  </si>
  <si>
    <t xml:space="preserve">BOSS </t>
  </si>
  <si>
    <t xml:space="preserve">RUDRENDU </t>
  </si>
  <si>
    <t xml:space="preserve">SARTHAK </t>
  </si>
  <si>
    <t xml:space="preserve">GOPAL </t>
  </si>
  <si>
    <t xml:space="preserve">DIVYANSHI </t>
  </si>
  <si>
    <t xml:space="preserve">SANSKRITI </t>
  </si>
  <si>
    <t xml:space="preserve">BINDU </t>
  </si>
  <si>
    <t xml:space="preserve">NAYSA </t>
  </si>
  <si>
    <t xml:space="preserve">SATYAM </t>
  </si>
  <si>
    <t xml:space="preserve">YAHVI </t>
  </si>
  <si>
    <t>CAP/SW/342</t>
  </si>
  <si>
    <t>CAP/SW/343</t>
  </si>
  <si>
    <t>CAP/SW/344</t>
  </si>
  <si>
    <t>CAP/SW/345</t>
  </si>
  <si>
    <t>CAP/SW/346</t>
  </si>
  <si>
    <t>CAP/SW/347</t>
  </si>
  <si>
    <t>CAP/SW/348</t>
  </si>
  <si>
    <t>CAP/SW/349</t>
  </si>
  <si>
    <t>CAP/SW/352</t>
  </si>
  <si>
    <t>CAP/SW/353</t>
  </si>
  <si>
    <t>CAP/SW/354</t>
  </si>
  <si>
    <t>CAP/SW/355</t>
  </si>
  <si>
    <t>CAP/SW/356</t>
  </si>
  <si>
    <t>CAP/SW/357</t>
  </si>
  <si>
    <t>CAP/SW/358</t>
  </si>
  <si>
    <t>CAP/SW/359</t>
  </si>
  <si>
    <t>CAP/SW/360</t>
  </si>
  <si>
    <t xml:space="preserve">ANAMAY </t>
  </si>
  <si>
    <t xml:space="preserve">KAUSHAL </t>
  </si>
  <si>
    <t xml:space="preserve">ADVIK </t>
  </si>
  <si>
    <t xml:space="preserve">NAYAK </t>
  </si>
  <si>
    <t xml:space="preserve">YASH </t>
  </si>
  <si>
    <t xml:space="preserve">AVYAYA </t>
  </si>
  <si>
    <t xml:space="preserve">TRAYASH </t>
  </si>
  <si>
    <t xml:space="preserve">ARTHIT DAS </t>
  </si>
  <si>
    <t>DIKSHA</t>
  </si>
  <si>
    <t>MONTHLY(2DAYS)</t>
  </si>
  <si>
    <t>MONTHLY (3DAYS,KID)</t>
  </si>
  <si>
    <t xml:space="preserve">UJJAWAL </t>
  </si>
  <si>
    <t>CAP/SW/361</t>
  </si>
  <si>
    <t>CAP/SW/362</t>
  </si>
  <si>
    <t>CAP/SW/363</t>
  </si>
  <si>
    <t>CAP/SW/364</t>
  </si>
  <si>
    <t>CAP/SW/365</t>
  </si>
  <si>
    <t>CAP/SW/366</t>
  </si>
  <si>
    <t>CAP/SW/367</t>
  </si>
  <si>
    <t>CAP/SW/368</t>
  </si>
  <si>
    <t>CAP/SW/369</t>
  </si>
  <si>
    <t>CAP/SW/370</t>
  </si>
  <si>
    <t>CAP/SW/371</t>
  </si>
  <si>
    <t>CAP/SW/372</t>
  </si>
  <si>
    <t>CAP/SW/373</t>
  </si>
  <si>
    <t>CAP/SW/374</t>
  </si>
  <si>
    <t>CAP/SW/375</t>
  </si>
  <si>
    <t>CAP/SW/376</t>
  </si>
  <si>
    <t>CAP/SW/377</t>
  </si>
  <si>
    <t>CAP/SW/378</t>
  </si>
  <si>
    <t>CAP/SW/379</t>
  </si>
  <si>
    <t>CAP/SW/380</t>
  </si>
  <si>
    <t>CAP/SW/381</t>
  </si>
  <si>
    <t>CAP/SW/382</t>
  </si>
  <si>
    <t xml:space="preserve">BARUN </t>
  </si>
  <si>
    <t xml:space="preserve">BISHWANATH </t>
  </si>
  <si>
    <t xml:space="preserve">ANAYSHA </t>
  </si>
  <si>
    <t xml:space="preserve">CHAUHAN </t>
  </si>
  <si>
    <t xml:space="preserve">DEEPAK </t>
  </si>
  <si>
    <t>RUZAL</t>
  </si>
  <si>
    <t xml:space="preserve">RUZAL </t>
  </si>
  <si>
    <t xml:space="preserve">JASROOP </t>
  </si>
  <si>
    <t xml:space="preserve">KAUR </t>
  </si>
  <si>
    <t xml:space="preserve">AIZAH </t>
  </si>
  <si>
    <t xml:space="preserve">ANKIT </t>
  </si>
  <si>
    <t>KANISHQ</t>
  </si>
  <si>
    <t>AMU</t>
  </si>
  <si>
    <t>ALOK</t>
  </si>
  <si>
    <t>MONTHLY (2DAY,KID)</t>
  </si>
  <si>
    <t>AARNAV</t>
  </si>
  <si>
    <t>KUMAR SINGH</t>
  </si>
  <si>
    <t>ASHWINI</t>
  </si>
  <si>
    <t>AAKARSH</t>
  </si>
  <si>
    <t>KUMR SINGH</t>
  </si>
  <si>
    <t>ANISH</t>
  </si>
  <si>
    <t>POOJA</t>
  </si>
  <si>
    <t>PATIDAR</t>
  </si>
  <si>
    <t>DEEPA</t>
  </si>
  <si>
    <t xml:space="preserve">AMAYRA </t>
  </si>
  <si>
    <t xml:space="preserve">PRATHMESH </t>
  </si>
  <si>
    <t xml:space="preserve">MONTHLY (2 DAY KID ) </t>
  </si>
  <si>
    <t xml:space="preserve">NEERAJ NARAYAN </t>
  </si>
  <si>
    <t xml:space="preserve">VANESHA </t>
  </si>
  <si>
    <t xml:space="preserve">VEERA </t>
  </si>
  <si>
    <t xml:space="preserve">PRAGYA </t>
  </si>
  <si>
    <t xml:space="preserve">SHANVI </t>
  </si>
  <si>
    <t>CAP/SW/383</t>
  </si>
  <si>
    <t>CAP/SW/384</t>
  </si>
  <si>
    <t>CAP/SW/385</t>
  </si>
  <si>
    <t>CAP/SW/386</t>
  </si>
  <si>
    <t>CAP/SW/387</t>
  </si>
  <si>
    <t>CAP/SW/388</t>
  </si>
  <si>
    <t>CAP/SW/389</t>
  </si>
  <si>
    <t>CAP/SW/390</t>
  </si>
  <si>
    <t>CAP/SW/391</t>
  </si>
  <si>
    <t>CAP/SW/392</t>
  </si>
  <si>
    <t>CAP/SW/393</t>
  </si>
  <si>
    <t>CAP/SW/394</t>
  </si>
  <si>
    <t>CAP/SW/395</t>
  </si>
  <si>
    <t>CAP/SW/396</t>
  </si>
  <si>
    <t>CAP/SW/397</t>
  </si>
  <si>
    <t>CAP/SW/398</t>
  </si>
  <si>
    <t>CAP/SW/399</t>
  </si>
  <si>
    <t>CAP/SW/400</t>
  </si>
  <si>
    <t>CAP/SW/401</t>
  </si>
  <si>
    <t>CAP/SW/402</t>
  </si>
  <si>
    <t xml:space="preserve">AJAY </t>
  </si>
  <si>
    <t xml:space="preserve">HANU </t>
  </si>
  <si>
    <t xml:space="preserve">3 MONTHS (2 DAY ) </t>
  </si>
  <si>
    <t xml:space="preserve">TEJASH </t>
  </si>
  <si>
    <t>MONTHLY + (12 DAY )</t>
  </si>
  <si>
    <t xml:space="preserve">PARTHAVI </t>
  </si>
  <si>
    <t xml:space="preserve">SAKSHAM </t>
  </si>
  <si>
    <t>SAMARTH</t>
  </si>
  <si>
    <t>HANS</t>
  </si>
  <si>
    <t>MONTHLY (2DAYS,KID)</t>
  </si>
  <si>
    <t>ALWIYA</t>
  </si>
  <si>
    <t>MERAJ</t>
  </si>
  <si>
    <t>ARYAAN</t>
  </si>
  <si>
    <t>JAPMAN</t>
  </si>
  <si>
    <t xml:space="preserve">ISHIKA </t>
  </si>
  <si>
    <t>RAI</t>
  </si>
  <si>
    <t>AHAAN</t>
  </si>
  <si>
    <t>MONTHLY(3DAYS,KID)</t>
  </si>
  <si>
    <t>VINAYAK SHASHWAT</t>
  </si>
  <si>
    <t>SURANJEET</t>
  </si>
  <si>
    <t xml:space="preserve">PRASHANSHA </t>
  </si>
  <si>
    <t>SANGAM</t>
  </si>
  <si>
    <t xml:space="preserve">PURENDU </t>
  </si>
  <si>
    <t xml:space="preserve">ANUSHI </t>
  </si>
  <si>
    <t xml:space="preserve">DHAIRYA PRATAP </t>
  </si>
  <si>
    <t xml:space="preserve">JEETENDRA </t>
  </si>
  <si>
    <t>CAP/SW/403</t>
  </si>
  <si>
    <t>CAP/SW/404</t>
  </si>
  <si>
    <t>CAP/SW/405</t>
  </si>
  <si>
    <t>CAP/SW/406</t>
  </si>
  <si>
    <t>CAP/SW/407</t>
  </si>
  <si>
    <t>CAP/SW/408</t>
  </si>
  <si>
    <t>CAP/SW/409</t>
  </si>
  <si>
    <t>CAP/SW/410</t>
  </si>
  <si>
    <t>CAP/SW/411</t>
  </si>
  <si>
    <t>CAP/SW/412</t>
  </si>
  <si>
    <t>CAP/SW/413</t>
  </si>
  <si>
    <t>CAP/SW/414</t>
  </si>
  <si>
    <t>CAP/SW/415</t>
  </si>
  <si>
    <t>CAP/SW/416</t>
  </si>
  <si>
    <t>CAP/SW/417</t>
  </si>
  <si>
    <t>CAP/SW/418</t>
  </si>
  <si>
    <t>CAP/SW/419</t>
  </si>
  <si>
    <t>CAP/SW/420</t>
  </si>
  <si>
    <t>CAP/SW/421</t>
  </si>
  <si>
    <t>CAP/SW/422</t>
  </si>
  <si>
    <t>SAWARN</t>
  </si>
  <si>
    <t>RUDRANSH</t>
  </si>
  <si>
    <t>ANUSHKA</t>
  </si>
  <si>
    <t>PUSHKAR</t>
  </si>
  <si>
    <t>AYUSHMAN</t>
  </si>
  <si>
    <t>THAPA</t>
  </si>
  <si>
    <t>MAYANK</t>
  </si>
  <si>
    <t>ARK</t>
  </si>
  <si>
    <t>JAMSHED</t>
  </si>
  <si>
    <t>YUMNA</t>
  </si>
  <si>
    <t>3MONTHS (3DAYS, KID)</t>
  </si>
  <si>
    <t>MONTHLY (KID)</t>
  </si>
  <si>
    <t>VIDUR</t>
  </si>
  <si>
    <t>KHAN</t>
  </si>
  <si>
    <t>SAKIB</t>
  </si>
  <si>
    <t>M.D ASLAM</t>
  </si>
  <si>
    <t xml:space="preserve">ADIT </t>
  </si>
  <si>
    <t xml:space="preserve">MOHAMMAD </t>
  </si>
  <si>
    <t xml:space="preserve">NEMATULLAH </t>
  </si>
  <si>
    <t xml:space="preserve">MYRA </t>
  </si>
  <si>
    <t xml:space="preserve">RASHMI </t>
  </si>
  <si>
    <t xml:space="preserve">AAKANSHA </t>
  </si>
  <si>
    <t xml:space="preserve">MONTHLY (3 DAY) </t>
  </si>
  <si>
    <t>RAJENDRA</t>
  </si>
  <si>
    <t>AYUSH VARDHAN</t>
  </si>
  <si>
    <t>ANSHIKA</t>
  </si>
  <si>
    <t>ANSH</t>
  </si>
  <si>
    <t>ANAAYA</t>
  </si>
  <si>
    <t xml:space="preserve">SARTHIKA </t>
  </si>
  <si>
    <t xml:space="preserve">SHRESH </t>
  </si>
  <si>
    <t>CAP/SW/423</t>
  </si>
  <si>
    <t>CAP/SW/424</t>
  </si>
  <si>
    <t>CAP/SW/425</t>
  </si>
  <si>
    <t>CAP/SW/426</t>
  </si>
  <si>
    <t>CAP/SW/427</t>
  </si>
  <si>
    <t>CAP/SW/428</t>
  </si>
  <si>
    <t>CAP/SW/429</t>
  </si>
  <si>
    <t>CAP/SW/430</t>
  </si>
  <si>
    <t>CAP/SW/431</t>
  </si>
  <si>
    <t>CAP/SW/432</t>
  </si>
  <si>
    <t>CAP/SW/433</t>
  </si>
  <si>
    <t>CAP/SW/434</t>
  </si>
  <si>
    <t>CAP/SW/435</t>
  </si>
  <si>
    <t>CAP/SW/436</t>
  </si>
  <si>
    <t>CAP/SW/437</t>
  </si>
  <si>
    <t>CAP/SW/438</t>
  </si>
  <si>
    <t>CAP/SW/439</t>
  </si>
  <si>
    <t>CAP/SW/440</t>
  </si>
  <si>
    <t>CAP/SW/441</t>
  </si>
  <si>
    <t>CAP/SW/442</t>
  </si>
  <si>
    <t>CAP/SW/443</t>
  </si>
  <si>
    <t>CAP/SW/444</t>
  </si>
  <si>
    <t>CAP/SW/445</t>
  </si>
  <si>
    <t>CAP/SW/446</t>
  </si>
  <si>
    <t>CAP/SW/447</t>
  </si>
  <si>
    <t>CAP/SW/448</t>
  </si>
  <si>
    <t>CAP/SW/449</t>
  </si>
  <si>
    <t>CAP/SW/450</t>
  </si>
  <si>
    <t>CAP/SW/451</t>
  </si>
  <si>
    <t>CAP/SW/452</t>
  </si>
  <si>
    <t>CAP/SW/453</t>
  </si>
  <si>
    <t>CAP/SW/454</t>
  </si>
  <si>
    <t>CAP/SW/455</t>
  </si>
  <si>
    <t>CAP/SW/456</t>
  </si>
  <si>
    <t>CAP/SW/457</t>
  </si>
  <si>
    <t>CAP/SW/458</t>
  </si>
  <si>
    <t>CAP/SW/459</t>
  </si>
  <si>
    <t>CAP/SW/460</t>
  </si>
  <si>
    <t>CAP/SW/461</t>
  </si>
  <si>
    <t>CAP/SW/462</t>
  </si>
  <si>
    <t>CAP/SW/463</t>
  </si>
  <si>
    <t>CAP/SW/464</t>
  </si>
  <si>
    <t>CAP/SW/465</t>
  </si>
  <si>
    <t>CAP/SW/466</t>
  </si>
  <si>
    <t>CAP/SW/467</t>
  </si>
  <si>
    <t>CAP/SW/468</t>
  </si>
  <si>
    <t>CAP/SW/469</t>
  </si>
  <si>
    <t>CAP/SW/470</t>
  </si>
  <si>
    <t>CAP/SW/471</t>
  </si>
  <si>
    <t>CAP/SW/472</t>
  </si>
  <si>
    <t xml:space="preserve">AGASTYA </t>
  </si>
  <si>
    <t xml:space="preserve">SHREE </t>
  </si>
  <si>
    <t xml:space="preserve">PUSHKAR </t>
  </si>
  <si>
    <t xml:space="preserve">PARTH </t>
  </si>
  <si>
    <t xml:space="preserve">AIZA </t>
  </si>
  <si>
    <t xml:space="preserve">ARISHA </t>
  </si>
  <si>
    <t xml:space="preserve">SHARVANI </t>
  </si>
  <si>
    <t xml:space="preserve">BHATTACHARYA </t>
  </si>
  <si>
    <t xml:space="preserve">DIPANWITA </t>
  </si>
  <si>
    <t xml:space="preserve">6 MONTHS (3 DAY ) </t>
  </si>
  <si>
    <t xml:space="preserve">AKASH KUMAR </t>
  </si>
  <si>
    <t xml:space="preserve">ANKITESH </t>
  </si>
  <si>
    <t xml:space="preserve">VIVAN </t>
  </si>
  <si>
    <t xml:space="preserve">DR. TANVEER </t>
  </si>
  <si>
    <t xml:space="preserve">TANVI </t>
  </si>
  <si>
    <t xml:space="preserve">PRIYA </t>
  </si>
  <si>
    <t xml:space="preserve">MISHITA </t>
  </si>
  <si>
    <t xml:space="preserve">STALIN </t>
  </si>
  <si>
    <t xml:space="preserve">RON </t>
  </si>
  <si>
    <t xml:space="preserve">MINJ </t>
  </si>
  <si>
    <t xml:space="preserve">RICHARD </t>
  </si>
  <si>
    <t xml:space="preserve">YASHASHVI </t>
  </si>
  <si>
    <t xml:space="preserve">SHRESTHA </t>
  </si>
  <si>
    <t xml:space="preserve">SHLOK </t>
  </si>
  <si>
    <t xml:space="preserve">MONIKA </t>
  </si>
  <si>
    <t xml:space="preserve">MURARKA </t>
  </si>
  <si>
    <t xml:space="preserve">VIDHI </t>
  </si>
  <si>
    <t xml:space="preserve">JAIN </t>
  </si>
  <si>
    <t xml:space="preserve">SHAURYA </t>
  </si>
  <si>
    <t xml:space="preserve">SHUBASH </t>
  </si>
  <si>
    <t xml:space="preserve">SHAQEEL </t>
  </si>
  <si>
    <t>AHAD</t>
  </si>
  <si>
    <t>FALAK</t>
  </si>
  <si>
    <t>GUGU</t>
  </si>
  <si>
    <t xml:space="preserve">MONTHLY (1 DAY ) </t>
  </si>
  <si>
    <t xml:space="preserve">VATSYA </t>
  </si>
  <si>
    <t xml:space="preserve">MANJESH </t>
  </si>
  <si>
    <t>MANVIK</t>
  </si>
  <si>
    <t xml:space="preserve">DIVYAKRITI </t>
  </si>
  <si>
    <t xml:space="preserve">OJAS </t>
  </si>
  <si>
    <t xml:space="preserve">AMRITA </t>
  </si>
  <si>
    <t xml:space="preserve">MONTHLY ( 2 DAY ) </t>
  </si>
  <si>
    <t xml:space="preserve">VEDANT </t>
  </si>
  <si>
    <t xml:space="preserve">KAYRA </t>
  </si>
  <si>
    <t xml:space="preserve">KUNWAR </t>
  </si>
  <si>
    <t xml:space="preserve">RAUSHAN </t>
  </si>
  <si>
    <t xml:space="preserve">ADYA </t>
  </si>
  <si>
    <t>CAP/SW/473</t>
  </si>
  <si>
    <t>CAP/SW/474</t>
  </si>
  <si>
    <t>CAP/SW/475</t>
  </si>
  <si>
    <t>CAP/SW/476</t>
  </si>
  <si>
    <t>CAP/SW/477</t>
  </si>
  <si>
    <t>CAP/SW/478</t>
  </si>
  <si>
    <t>CAP/SW/479</t>
  </si>
  <si>
    <t>CAP/SW/480</t>
  </si>
  <si>
    <t>CAP/SW/481</t>
  </si>
  <si>
    <t>CAP/SW/482</t>
  </si>
  <si>
    <t>CAP/SW/483</t>
  </si>
  <si>
    <t>CAP/SW/484</t>
  </si>
  <si>
    <t>CAP/SW/485</t>
  </si>
  <si>
    <t>CAP/SW/486</t>
  </si>
  <si>
    <t>CAP/SW/487</t>
  </si>
  <si>
    <t>CAP/SW/488</t>
  </si>
  <si>
    <t>CAP/SW/489</t>
  </si>
  <si>
    <t>CAP/SW/490</t>
  </si>
  <si>
    <t>CAP/SW/491</t>
  </si>
  <si>
    <t>CAP/SW/492</t>
  </si>
  <si>
    <t xml:space="preserve">ARCHANA </t>
  </si>
  <si>
    <t xml:space="preserve">AAYUSH </t>
  </si>
  <si>
    <t xml:space="preserve">JYOTIRADITYA </t>
  </si>
  <si>
    <t xml:space="preserve">RUDRAKSHA </t>
  </si>
  <si>
    <t>MAITRI</t>
  </si>
  <si>
    <t>KUSAGRA RAJA</t>
  </si>
  <si>
    <t>RAJNI</t>
  </si>
  <si>
    <t>PARASHAR</t>
  </si>
  <si>
    <t>PRIYANKA</t>
  </si>
  <si>
    <t>MAM</t>
  </si>
  <si>
    <t>ALI</t>
  </si>
  <si>
    <t xml:space="preserve"> SOBHNA</t>
  </si>
  <si>
    <t>VISHU</t>
  </si>
  <si>
    <t xml:space="preserve">RANJAY </t>
  </si>
  <si>
    <t xml:space="preserve">MANASH </t>
  </si>
  <si>
    <t xml:space="preserve">GRISHA </t>
  </si>
  <si>
    <t xml:space="preserve">PAWAR </t>
  </si>
  <si>
    <t xml:space="preserve">KRATIKA </t>
  </si>
  <si>
    <t>MONTHLY (3 DAY )</t>
  </si>
  <si>
    <t>SANKALP</t>
  </si>
  <si>
    <t xml:space="preserve">   RIDHAN </t>
  </si>
  <si>
    <t xml:space="preserve"> SINHA</t>
  </si>
  <si>
    <t>ANJALI</t>
  </si>
  <si>
    <t>PRIYA THAKUR</t>
  </si>
  <si>
    <t>KINSUK</t>
  </si>
  <si>
    <t xml:space="preserve">SUMIT </t>
  </si>
  <si>
    <t>RANJEET</t>
  </si>
  <si>
    <t xml:space="preserve">AKANSHA </t>
  </si>
  <si>
    <t xml:space="preserve">CHHAYA </t>
  </si>
  <si>
    <t>CAP/SW/493</t>
  </si>
  <si>
    <t>CAP/SW/494</t>
  </si>
  <si>
    <t>CAP/SW/495</t>
  </si>
  <si>
    <t>CAP/SW/496</t>
  </si>
  <si>
    <t>CAP/SW/497</t>
  </si>
  <si>
    <t>CAP/SW/498</t>
  </si>
  <si>
    <t>CAP/SW/499</t>
  </si>
  <si>
    <t>CAP/SW/500</t>
  </si>
  <si>
    <t>CAP/SW/501</t>
  </si>
  <si>
    <t>CAP/SW/502</t>
  </si>
  <si>
    <t>CAP/SW/503</t>
  </si>
  <si>
    <t>CAP/SW/504</t>
  </si>
  <si>
    <t>CAP/SW/505</t>
  </si>
  <si>
    <t>CAP/SW/506</t>
  </si>
  <si>
    <t>CAP/SW/507</t>
  </si>
  <si>
    <t>CAP/SW/508</t>
  </si>
  <si>
    <t>CAP/SW/509</t>
  </si>
  <si>
    <t>CAP/SW/510</t>
  </si>
  <si>
    <t>CAP/SW/511</t>
  </si>
  <si>
    <t>CAP/SW/512</t>
  </si>
  <si>
    <t xml:space="preserve">SHARSH </t>
  </si>
  <si>
    <t xml:space="preserve">DR. AMIT </t>
  </si>
  <si>
    <t xml:space="preserve">AISHI </t>
  </si>
  <si>
    <t xml:space="preserve">ARMAN </t>
  </si>
  <si>
    <t xml:space="preserve">ALAM </t>
  </si>
  <si>
    <t>CAP/SW/513</t>
  </si>
  <si>
    <t>CAP/SW/514</t>
  </si>
  <si>
    <t>CAP/SW/515</t>
  </si>
  <si>
    <t>CAP/SW/516</t>
  </si>
  <si>
    <t>CAP/SW/517</t>
  </si>
  <si>
    <t>CAP/SW/518</t>
  </si>
  <si>
    <t>CAP/SW/519</t>
  </si>
  <si>
    <t>CAP/SW/520</t>
  </si>
  <si>
    <t>CAP/SW/521</t>
  </si>
  <si>
    <t>CAP/SW/522</t>
  </si>
  <si>
    <t>CAP/SW/523</t>
  </si>
  <si>
    <t>CAP/SW/524</t>
  </si>
  <si>
    <t>CAP/SW/525</t>
  </si>
  <si>
    <t>CAP/SW/526</t>
  </si>
  <si>
    <t>CAP/SW/527</t>
  </si>
  <si>
    <t>CAP/SW/528</t>
  </si>
  <si>
    <t>CAP/SW/529</t>
  </si>
  <si>
    <t>CAP/SW/530</t>
  </si>
  <si>
    <t>CAP/SW/531</t>
  </si>
  <si>
    <t>CAP/SW/532</t>
  </si>
  <si>
    <t xml:space="preserve">CHANDA </t>
  </si>
  <si>
    <t>DAS</t>
  </si>
  <si>
    <t>RAJVI</t>
  </si>
  <si>
    <t xml:space="preserve">MANOJ </t>
  </si>
  <si>
    <t xml:space="preserve">POOJA </t>
  </si>
  <si>
    <t xml:space="preserve">SHRIJAY </t>
  </si>
  <si>
    <t>SHRIVANSH</t>
  </si>
  <si>
    <t xml:space="preserve">KISHAN </t>
  </si>
  <si>
    <t xml:space="preserve">HIMAKSH </t>
  </si>
  <si>
    <t xml:space="preserve">ASHAR </t>
  </si>
  <si>
    <t xml:space="preserve">SARVESH </t>
  </si>
  <si>
    <t xml:space="preserve">NIVEDITA </t>
  </si>
  <si>
    <t xml:space="preserve">RATAN DEEP </t>
  </si>
  <si>
    <t xml:space="preserve">CHAUDHRY </t>
  </si>
  <si>
    <t xml:space="preserve">SHASHWAT </t>
  </si>
  <si>
    <t xml:space="preserve">SHIPRA </t>
  </si>
  <si>
    <t xml:space="preserve">SOMU </t>
  </si>
  <si>
    <t xml:space="preserve">YUVRAJ PRATAP </t>
  </si>
  <si>
    <t xml:space="preserve">AVIRAJ PRATAP </t>
  </si>
  <si>
    <t>SAMEER</t>
  </si>
  <si>
    <t xml:space="preserve">MONTHLY ( 3 DAY KID ) </t>
  </si>
  <si>
    <t xml:space="preserve">HANSHIKA </t>
  </si>
  <si>
    <t>CHITRAKSH</t>
  </si>
  <si>
    <t xml:space="preserve">MANVI </t>
  </si>
  <si>
    <t xml:space="preserve">SOUMYA SHANKAR </t>
  </si>
  <si>
    <t xml:space="preserve">MANVENDRA </t>
  </si>
  <si>
    <t xml:space="preserve">KISHORE </t>
  </si>
  <si>
    <t xml:space="preserve">CHITRANSH </t>
  </si>
  <si>
    <t xml:space="preserve">HARSH </t>
  </si>
  <si>
    <t>CAP/SW/533</t>
  </si>
  <si>
    <t>CAP/SW/534</t>
  </si>
  <si>
    <t>CAP/SW/535</t>
  </si>
  <si>
    <t>CAP/SW/536</t>
  </si>
  <si>
    <t>CAP/SW/537</t>
  </si>
  <si>
    <t>CAP/SW/538</t>
  </si>
  <si>
    <t>CAP/SW/539</t>
  </si>
  <si>
    <t>CAP/SW/540</t>
  </si>
  <si>
    <t>CAP/SW/541</t>
  </si>
  <si>
    <t>CAP/SW/542</t>
  </si>
  <si>
    <t>CAP/SW/543</t>
  </si>
  <si>
    <t>CAP/SW/544</t>
  </si>
  <si>
    <t>CAP/SW/545</t>
  </si>
  <si>
    <t>CAP/SW/546</t>
  </si>
  <si>
    <t>CAP/SW/547</t>
  </si>
  <si>
    <t>CAP/SW/548</t>
  </si>
  <si>
    <t>CAP/SW/549</t>
  </si>
  <si>
    <t>CAP/SW/550</t>
  </si>
  <si>
    <t>CAP/SW/551</t>
  </si>
  <si>
    <t>CAP/SW/552</t>
  </si>
  <si>
    <t xml:space="preserve">AGARWAL </t>
  </si>
  <si>
    <t xml:space="preserve">SANJEEV </t>
  </si>
  <si>
    <t xml:space="preserve">RAI </t>
  </si>
  <si>
    <t xml:space="preserve">AMIT </t>
  </si>
  <si>
    <t xml:space="preserve">APORVA </t>
  </si>
  <si>
    <t xml:space="preserve">ISHI </t>
  </si>
  <si>
    <t xml:space="preserve">ATIKA </t>
  </si>
  <si>
    <t xml:space="preserve">3 MONTHS (3 DAY KID ) </t>
  </si>
  <si>
    <t xml:space="preserve">SAUMYA </t>
  </si>
  <si>
    <t xml:space="preserve">IVYAAN </t>
  </si>
  <si>
    <t xml:space="preserve">SHIVANSHU </t>
  </si>
  <si>
    <t xml:space="preserve">TRIPATHI </t>
  </si>
  <si>
    <t xml:space="preserve">VISHAL </t>
  </si>
  <si>
    <t xml:space="preserve">ASTHA </t>
  </si>
  <si>
    <t xml:space="preserve">KANT </t>
  </si>
  <si>
    <t xml:space="preserve">SAVI </t>
  </si>
  <si>
    <t xml:space="preserve">NILANJANA </t>
  </si>
  <si>
    <t xml:space="preserve">BHATACHARYA </t>
  </si>
  <si>
    <t xml:space="preserve">PUJA </t>
  </si>
  <si>
    <t>CAP/SW/553</t>
  </si>
  <si>
    <t>CAP/SW/554</t>
  </si>
  <si>
    <t>CAP/SW/555</t>
  </si>
  <si>
    <t>CAP/SW/556</t>
  </si>
  <si>
    <t>CAP/SW/557</t>
  </si>
  <si>
    <t>CAP/SW/558</t>
  </si>
  <si>
    <t>CAP/SW/559</t>
  </si>
  <si>
    <t>CAP/SW/560</t>
  </si>
  <si>
    <t>CAP/SW/561</t>
  </si>
  <si>
    <t>CAP/SW/562</t>
  </si>
  <si>
    <t>CAP/SW/563</t>
  </si>
  <si>
    <t>CAP/SW/564</t>
  </si>
  <si>
    <t>CAP/SW/565</t>
  </si>
  <si>
    <t>CAP/SW/566</t>
  </si>
  <si>
    <t>CAP/SW/567</t>
  </si>
  <si>
    <t>CAP/SW/568</t>
  </si>
  <si>
    <t>CAP/SW/569</t>
  </si>
  <si>
    <t>CAP/SW/570</t>
  </si>
  <si>
    <t>CAP/SW/571</t>
  </si>
  <si>
    <t>CAP/SW/572</t>
  </si>
  <si>
    <t xml:space="preserve">SWETA MANI </t>
  </si>
  <si>
    <t>RUDRA PRATAP</t>
  </si>
  <si>
    <t xml:space="preserve">RUDRA PRATAP </t>
  </si>
  <si>
    <t xml:space="preserve">SOURYA PRTAP </t>
  </si>
  <si>
    <t>CAP/SW/573</t>
  </si>
  <si>
    <t>CAP/SW/574</t>
  </si>
  <si>
    <t>CAP/SW/575</t>
  </si>
  <si>
    <t>CAP/SW/576</t>
  </si>
  <si>
    <t>CAP/SW/577</t>
  </si>
  <si>
    <t>CAP/SW/578</t>
  </si>
  <si>
    <t>CAP/SW/579</t>
  </si>
  <si>
    <t>CAP/SW/580</t>
  </si>
  <si>
    <t>CAP/SW/581</t>
  </si>
  <si>
    <t>CAP/SW/582</t>
  </si>
  <si>
    <t>CAP/SW/583</t>
  </si>
  <si>
    <t>CAP/SW/584</t>
  </si>
  <si>
    <t>CAP/SW/585</t>
  </si>
  <si>
    <t>CAP/SW/586</t>
  </si>
  <si>
    <t>CAP/SW/587</t>
  </si>
  <si>
    <t>CAP/SW/588</t>
  </si>
  <si>
    <t>CAP/SW/589</t>
  </si>
  <si>
    <t>CAP/SW/590</t>
  </si>
  <si>
    <t>CAP/SW/591</t>
  </si>
  <si>
    <t>CAP/SW/592</t>
  </si>
  <si>
    <t xml:space="preserve">SAKSHI </t>
  </si>
  <si>
    <t xml:space="preserve">NIKHIL </t>
  </si>
  <si>
    <t>TIWARI</t>
  </si>
  <si>
    <t>HIMANSHU</t>
  </si>
  <si>
    <t xml:space="preserve"> MADHVAN</t>
  </si>
  <si>
    <t>RAGHAVENDRA</t>
  </si>
  <si>
    <t>SHRESHTHA</t>
  </si>
  <si>
    <t>BHARGAVI</t>
  </si>
  <si>
    <t>REDAN</t>
  </si>
  <si>
    <t>SAJID</t>
  </si>
  <si>
    <t>RIDA</t>
  </si>
  <si>
    <t>ROY</t>
  </si>
  <si>
    <t>PRAKHAR</t>
  </si>
  <si>
    <t xml:space="preserve"> 2 MONTHS</t>
  </si>
  <si>
    <t>SIMRAN</t>
  </si>
  <si>
    <t>RANDHIR</t>
  </si>
  <si>
    <t>MONTHLY( 3DAYS)</t>
  </si>
  <si>
    <t>HIMANI</t>
  </si>
  <si>
    <t>BHARTI</t>
  </si>
  <si>
    <t>NIRAJ</t>
  </si>
  <si>
    <t>SHAILYA</t>
  </si>
  <si>
    <t>RATNABH</t>
  </si>
  <si>
    <t>PRASAD</t>
  </si>
  <si>
    <t>SHIVAYA</t>
  </si>
  <si>
    <t>MIRZA</t>
  </si>
  <si>
    <t>SHAFI BAIG</t>
  </si>
  <si>
    <t>SHAURYA</t>
  </si>
  <si>
    <t xml:space="preserve">RAJNI </t>
  </si>
  <si>
    <t xml:space="preserve">DR. SAJJAD </t>
  </si>
  <si>
    <t>HAIDER</t>
  </si>
  <si>
    <t xml:space="preserve">BRAJ RAJ </t>
  </si>
  <si>
    <t xml:space="preserve">POONAM </t>
  </si>
  <si>
    <t xml:space="preserve">RAJVARDHAN </t>
  </si>
  <si>
    <t xml:space="preserve">VASU </t>
  </si>
  <si>
    <t>DEV</t>
  </si>
  <si>
    <t xml:space="preserve">REG </t>
  </si>
  <si>
    <t xml:space="preserve">YAVIKA </t>
  </si>
  <si>
    <t xml:space="preserve">KAIRA </t>
  </si>
  <si>
    <t xml:space="preserve">ANITA </t>
  </si>
  <si>
    <t xml:space="preserve">AAYANSH </t>
  </si>
  <si>
    <t>SHANAYA</t>
  </si>
  <si>
    <t>BAJAJ</t>
  </si>
  <si>
    <t xml:space="preserve">SHIVANI </t>
  </si>
  <si>
    <t xml:space="preserve">BHALA </t>
  </si>
  <si>
    <t xml:space="preserve">SANJEEV KUMAR </t>
  </si>
  <si>
    <t>SURBALA</t>
  </si>
  <si>
    <t xml:space="preserve">RISHIKA </t>
  </si>
  <si>
    <t xml:space="preserve">PRIYANSH </t>
  </si>
  <si>
    <t xml:space="preserve">MAHIRA </t>
  </si>
  <si>
    <t>FATIMA</t>
  </si>
  <si>
    <t xml:space="preserve">PRATAP </t>
  </si>
  <si>
    <t xml:space="preserve">AMRIT </t>
  </si>
  <si>
    <t xml:space="preserve">RIAAN </t>
  </si>
  <si>
    <t xml:space="preserve">SWIMMING </t>
  </si>
  <si>
    <t>MONTHLY(KID)</t>
  </si>
  <si>
    <t xml:space="preserve">SHRAVYA </t>
  </si>
  <si>
    <t xml:space="preserve">SENTHAMIL </t>
  </si>
  <si>
    <t xml:space="preserve">SELVAN </t>
  </si>
  <si>
    <t xml:space="preserve">SRIDHAR </t>
  </si>
  <si>
    <t xml:space="preserve">TANMAY </t>
  </si>
  <si>
    <t>CAP/SW/593</t>
  </si>
  <si>
    <t>CAP/SW/594</t>
  </si>
  <si>
    <t xml:space="preserve">KAPOOR </t>
  </si>
  <si>
    <t xml:space="preserve">ROSHAN </t>
  </si>
  <si>
    <t>SWIMMING</t>
  </si>
  <si>
    <t xml:space="preserve">PIYUSH </t>
  </si>
  <si>
    <t>CAP/SW/595</t>
  </si>
  <si>
    <t>CAP/SW/596</t>
  </si>
  <si>
    <t>CAP/SW/597</t>
  </si>
  <si>
    <t>CAP/SW/598</t>
  </si>
  <si>
    <t>CAP/SW/599</t>
  </si>
  <si>
    <t>CAP/SW/600</t>
  </si>
  <si>
    <t>CAP/SW/601</t>
  </si>
  <si>
    <t xml:space="preserve">  BADDULA</t>
  </si>
  <si>
    <t xml:space="preserve">AAROHI </t>
  </si>
  <si>
    <t xml:space="preserve">SWIMMINMG </t>
  </si>
  <si>
    <t xml:space="preserve">2 MONTHS </t>
  </si>
  <si>
    <t xml:space="preserve">ABHINAV </t>
  </si>
  <si>
    <t>CAP/SW/602</t>
  </si>
  <si>
    <t xml:space="preserve">PRATEEK </t>
  </si>
  <si>
    <t>MONTHLY(KIDS)</t>
  </si>
  <si>
    <t xml:space="preserve">AIRYA </t>
  </si>
  <si>
    <t>MONTHLY(2DAYS)KID</t>
  </si>
  <si>
    <t xml:space="preserve">ADVAIT </t>
  </si>
  <si>
    <t>CAP/SW/604</t>
  </si>
  <si>
    <t>CAP/SW/605</t>
  </si>
  <si>
    <t>CAP/SW/606</t>
  </si>
  <si>
    <t>CAP/SW/607</t>
  </si>
  <si>
    <t>CAP/SW/608</t>
  </si>
  <si>
    <t>CAP/SW/609</t>
  </si>
  <si>
    <t>CAP/SW/610</t>
  </si>
  <si>
    <t>CAP/SW/611</t>
  </si>
  <si>
    <t>CAP/SW/612</t>
  </si>
  <si>
    <t>CAP/SW/613</t>
  </si>
  <si>
    <t>CAP/SW/614</t>
  </si>
  <si>
    <t>CAP/SW/615</t>
  </si>
  <si>
    <t>CAP/SW/616</t>
  </si>
  <si>
    <t>CAP/SW/617</t>
  </si>
  <si>
    <t>CAP/SW/618</t>
  </si>
  <si>
    <t>CAP/SW/619</t>
  </si>
  <si>
    <t>CAP/SW/620</t>
  </si>
  <si>
    <t>CAP/SW/621</t>
  </si>
  <si>
    <t>CAP/SW/622</t>
  </si>
  <si>
    <t>CAP/SW/623</t>
  </si>
  <si>
    <t>CAP/SW/624</t>
  </si>
  <si>
    <t>CAP/SW/625</t>
  </si>
  <si>
    <t>CAP/SW/626</t>
  </si>
  <si>
    <t>CAP/SW/627</t>
  </si>
  <si>
    <t>CAP/SW/628</t>
  </si>
  <si>
    <t>CAP/SW/629</t>
  </si>
  <si>
    <t>CAP/SW/630</t>
  </si>
  <si>
    <t>CAP/SW/631</t>
  </si>
  <si>
    <t>CAP/SW/632</t>
  </si>
  <si>
    <t>CAP/SW/633</t>
  </si>
  <si>
    <t>CAP/SW/634</t>
  </si>
  <si>
    <t>CAP/SW/635</t>
  </si>
  <si>
    <t>CAP/SW/636</t>
  </si>
  <si>
    <t>CAP/SW/637</t>
  </si>
  <si>
    <t>CAP/SW/638</t>
  </si>
  <si>
    <t>CAP/SW/639</t>
  </si>
  <si>
    <t>CAP/SW/640</t>
  </si>
  <si>
    <t>CAP/SW/641</t>
  </si>
  <si>
    <t>CAP/SW/642</t>
  </si>
  <si>
    <t>CAP/SW/643</t>
  </si>
  <si>
    <t>CAP/SW/644</t>
  </si>
  <si>
    <t>CAP/SW/645</t>
  </si>
  <si>
    <t>CAP/SW/646</t>
  </si>
  <si>
    <t>CAP/SW/647</t>
  </si>
  <si>
    <t>CAP/SW/648</t>
  </si>
  <si>
    <t>CAP/SW/649</t>
  </si>
  <si>
    <t>CAP/SW/650</t>
  </si>
  <si>
    <t>CAP/SW/651</t>
  </si>
  <si>
    <t>CAP/SW/652</t>
  </si>
  <si>
    <t>CAP/SW/653</t>
  </si>
  <si>
    <t>CAP/SW/654</t>
  </si>
  <si>
    <t>CAP/SW/655</t>
  </si>
  <si>
    <t>CAP/SW/656</t>
  </si>
  <si>
    <t>CAP/SW/657</t>
  </si>
  <si>
    <t>CAP/SW/658</t>
  </si>
  <si>
    <t>CAP/SW/659</t>
  </si>
  <si>
    <t>CAP/SW/660</t>
  </si>
  <si>
    <t>CAP/SW/661</t>
  </si>
  <si>
    <t>CAP/SW/662</t>
  </si>
  <si>
    <t>CAP/SW/663</t>
  </si>
  <si>
    <t>CAP/SW/664</t>
  </si>
  <si>
    <t>CAP/SW/665</t>
  </si>
  <si>
    <t>CAP/SW/666</t>
  </si>
  <si>
    <t>CAP/SW/667</t>
  </si>
  <si>
    <t>CAP/SW/668</t>
  </si>
  <si>
    <t>CAP/SW/669</t>
  </si>
  <si>
    <t>CAP/SW/670</t>
  </si>
  <si>
    <t>CAP/SW/671</t>
  </si>
  <si>
    <t>KAUSTUBH</t>
  </si>
  <si>
    <t xml:space="preserve">ANYA </t>
  </si>
  <si>
    <t xml:space="preserve">NAMAN </t>
  </si>
  <si>
    <t xml:space="preserve">MONTHLY (KID )  </t>
  </si>
  <si>
    <t xml:space="preserve">ANMOL </t>
  </si>
  <si>
    <t xml:space="preserve">ARDHYA </t>
  </si>
  <si>
    <t xml:space="preserve">AMAN </t>
  </si>
  <si>
    <t xml:space="preserve">VINET KR.  </t>
  </si>
  <si>
    <t>SAMRIDH</t>
  </si>
  <si>
    <t>GAURAV</t>
  </si>
  <si>
    <t xml:space="preserve">PRIYADARSHI </t>
  </si>
  <si>
    <t xml:space="preserve">PRASAD </t>
  </si>
  <si>
    <t xml:space="preserve">SONI </t>
  </si>
  <si>
    <t xml:space="preserve">SUKRITI </t>
  </si>
  <si>
    <t xml:space="preserve">DR. FARHAN AHMED </t>
  </si>
  <si>
    <t xml:space="preserve">KHAN </t>
  </si>
  <si>
    <t xml:space="preserve">SONALI </t>
  </si>
  <si>
    <t xml:space="preserve">RASHMEET KAUR </t>
  </si>
  <si>
    <t xml:space="preserve">NACULA </t>
  </si>
  <si>
    <t xml:space="preserve">ADWAY  </t>
  </si>
  <si>
    <t xml:space="preserve">BISHWAMITRA </t>
  </si>
  <si>
    <t xml:space="preserve">KIANA </t>
  </si>
  <si>
    <t xml:space="preserve">KIANSH </t>
  </si>
  <si>
    <t>2500+1000</t>
  </si>
  <si>
    <t>3500+1000</t>
  </si>
  <si>
    <t>3800+1000</t>
  </si>
  <si>
    <t>1800+1000</t>
  </si>
  <si>
    <t>4000+1000</t>
  </si>
  <si>
    <t xml:space="preserve">SANKALP </t>
  </si>
  <si>
    <t xml:space="preserve">AMINDU </t>
  </si>
  <si>
    <t xml:space="preserve">MITHUN </t>
  </si>
  <si>
    <t xml:space="preserve">ADWIKA </t>
  </si>
  <si>
    <t xml:space="preserve">NARVI </t>
  </si>
  <si>
    <t xml:space="preserve">MANI </t>
  </si>
  <si>
    <t xml:space="preserve">MONTHLY ( KID ) </t>
  </si>
  <si>
    <t xml:space="preserve">RIDHIMA </t>
  </si>
  <si>
    <t xml:space="preserve">SHIVANSH </t>
  </si>
  <si>
    <t xml:space="preserve">RAUNAK </t>
  </si>
  <si>
    <t xml:space="preserve">MISHIKA </t>
  </si>
  <si>
    <t xml:space="preserve">OJASHWITA </t>
  </si>
  <si>
    <t>ARYASH</t>
  </si>
  <si>
    <t xml:space="preserve">RIDA </t>
  </si>
  <si>
    <t xml:space="preserve">AHMAD </t>
  </si>
  <si>
    <t xml:space="preserve">HARSH WARDHAN </t>
  </si>
  <si>
    <t xml:space="preserve">PRAJAPATI </t>
  </si>
  <si>
    <t xml:space="preserve">JAY WARDHAN </t>
  </si>
  <si>
    <t xml:space="preserve">MONTHLY ( 2 DAY KID ) </t>
  </si>
  <si>
    <t xml:space="preserve">MINHAJ </t>
  </si>
  <si>
    <t xml:space="preserve">SUKRIT </t>
  </si>
  <si>
    <t xml:space="preserve">KESHRI </t>
  </si>
  <si>
    <t xml:space="preserve">GARIMA </t>
  </si>
  <si>
    <t xml:space="preserve">ANUPAM </t>
  </si>
  <si>
    <t xml:space="preserve">RUDRANSH </t>
  </si>
  <si>
    <t xml:space="preserve">SUMANT </t>
  </si>
  <si>
    <t xml:space="preserve">SHARAN </t>
  </si>
  <si>
    <t xml:space="preserve">UJJWAL </t>
  </si>
  <si>
    <t xml:space="preserve">ARYAN </t>
  </si>
  <si>
    <t xml:space="preserve">SHRUTEE </t>
  </si>
  <si>
    <t xml:space="preserve">AASHRITA </t>
  </si>
  <si>
    <t xml:space="preserve">ATHARVYA </t>
  </si>
  <si>
    <t xml:space="preserve">AARYA </t>
  </si>
  <si>
    <t>DIVYANSH</t>
  </si>
  <si>
    <t xml:space="preserve">JAGRITI </t>
  </si>
  <si>
    <t xml:space="preserve">MUSKAN </t>
  </si>
  <si>
    <t xml:space="preserve">VAISHRAVI </t>
  </si>
  <si>
    <t>CAP/SW/672</t>
  </si>
  <si>
    <t>CAP/SW/673</t>
  </si>
  <si>
    <t>CAP/SW/674</t>
  </si>
  <si>
    <t>CAP/SW/675</t>
  </si>
  <si>
    <t>CAP/SW/676</t>
  </si>
  <si>
    <t>CAP/SW/677</t>
  </si>
  <si>
    <t>CAP/SW/678</t>
  </si>
  <si>
    <t>CAP/SW/679</t>
  </si>
  <si>
    <t>CAP/SW/680</t>
  </si>
  <si>
    <t>CAP/SW/681</t>
  </si>
  <si>
    <t>CAP/SW/682</t>
  </si>
  <si>
    <t>CAP/SW/683</t>
  </si>
  <si>
    <t>CAP/SW/684</t>
  </si>
  <si>
    <t>CAP/SW/685</t>
  </si>
  <si>
    <t>CAP/SW/686</t>
  </si>
  <si>
    <t>CAP/SW/687</t>
  </si>
  <si>
    <t>CAP/SW/688</t>
  </si>
  <si>
    <t>CAP/SW/689</t>
  </si>
  <si>
    <t>CAP/SW/690</t>
  </si>
  <si>
    <t>CAP/SW/691</t>
  </si>
  <si>
    <t>CAP/SW/692</t>
  </si>
  <si>
    <t>CAP/SW/693</t>
  </si>
  <si>
    <t>CAP/SW/694</t>
  </si>
  <si>
    <t>CAP/SW/695</t>
  </si>
  <si>
    <t>CAP/SW/696</t>
  </si>
  <si>
    <t>CAP/SW/697</t>
  </si>
  <si>
    <t>CAP/SW/698</t>
  </si>
  <si>
    <t>CAP/SW/699</t>
  </si>
  <si>
    <t>CAP/SW/700</t>
  </si>
  <si>
    <t>CAP/SW/701</t>
  </si>
  <si>
    <t>CAP/SW/702</t>
  </si>
  <si>
    <t>CAP/SW/703</t>
  </si>
  <si>
    <t>CAP/SW/704</t>
  </si>
  <si>
    <t>CAP/SW/705</t>
  </si>
  <si>
    <t>CAP/SW/706</t>
  </si>
  <si>
    <t>CAP/SW/707</t>
  </si>
  <si>
    <t>CAP/SW/708</t>
  </si>
  <si>
    <t>CAP/SW/709</t>
  </si>
  <si>
    <t>CAP/SW/710</t>
  </si>
  <si>
    <t>CAP/SW/711</t>
  </si>
  <si>
    <t>CAP/SW/712</t>
  </si>
  <si>
    <t xml:space="preserve">SATVIK </t>
  </si>
  <si>
    <t xml:space="preserve">DR. SANGEETA </t>
  </si>
  <si>
    <t xml:space="preserve">ANSHISKA </t>
  </si>
  <si>
    <t xml:space="preserve">SHOBHIT </t>
  </si>
  <si>
    <t xml:space="preserve">AADRITI </t>
  </si>
  <si>
    <t xml:space="preserve">NANDAN </t>
  </si>
  <si>
    <t xml:space="preserve">ROHIT </t>
  </si>
  <si>
    <t xml:space="preserve">MRINAL </t>
  </si>
  <si>
    <t xml:space="preserve">MONHTLY ( KID ) </t>
  </si>
  <si>
    <t xml:space="preserve">DIRGH </t>
  </si>
  <si>
    <t xml:space="preserve">HARSHIKA </t>
  </si>
  <si>
    <t xml:space="preserve">RAHUL </t>
  </si>
  <si>
    <t xml:space="preserve">MONTHLY (3DAY ) </t>
  </si>
  <si>
    <t xml:space="preserve">FARHAN </t>
  </si>
  <si>
    <t xml:space="preserve">AYAAN </t>
  </si>
  <si>
    <t xml:space="preserve">FATMA </t>
  </si>
  <si>
    <t xml:space="preserve">MONTHLY ( 3 DAY )  </t>
  </si>
  <si>
    <t xml:space="preserve">AROONA </t>
  </si>
  <si>
    <t xml:space="preserve">GAGANA SRI  SOUKYA </t>
  </si>
  <si>
    <t xml:space="preserve">DIVYANSH </t>
  </si>
  <si>
    <t>MONTHLY ( KID )</t>
  </si>
  <si>
    <t xml:space="preserve">DR. NIDHI </t>
  </si>
  <si>
    <t>BHIMGAJ</t>
  </si>
  <si>
    <t xml:space="preserve">SAMAR </t>
  </si>
  <si>
    <t xml:space="preserve">AHMED </t>
  </si>
  <si>
    <t>MAHIP</t>
  </si>
  <si>
    <t xml:space="preserve">SHIVANK </t>
  </si>
  <si>
    <t xml:space="preserve">KATYAYANI </t>
  </si>
  <si>
    <t xml:space="preserve">RAAYINIE </t>
  </si>
  <si>
    <t>ADVIK</t>
  </si>
  <si>
    <t xml:space="preserve">KAJAL </t>
  </si>
  <si>
    <t xml:space="preserve">YANSHIKA </t>
  </si>
  <si>
    <t xml:space="preserve">ADITRI </t>
  </si>
  <si>
    <t>DR. RAJIV RANJAN</t>
  </si>
  <si>
    <t xml:space="preserve">VAANII </t>
  </si>
  <si>
    <t xml:space="preserve">JHUNJHUNWALA </t>
  </si>
  <si>
    <t xml:space="preserve">KUMAR TEJASHWI </t>
  </si>
  <si>
    <t xml:space="preserve">AARUSH </t>
  </si>
  <si>
    <t xml:space="preserve">RUDRA </t>
  </si>
  <si>
    <t xml:space="preserve">FAIZA </t>
  </si>
  <si>
    <t xml:space="preserve">KAMRAN </t>
  </si>
  <si>
    <t xml:space="preserve">VEENA </t>
  </si>
  <si>
    <t xml:space="preserve">SHAIL </t>
  </si>
  <si>
    <t xml:space="preserve">NANDANI </t>
  </si>
  <si>
    <t xml:space="preserve">SANJEELA </t>
  </si>
  <si>
    <t xml:space="preserve">BALA ADITYA </t>
  </si>
  <si>
    <t xml:space="preserve">GARG </t>
  </si>
  <si>
    <t xml:space="preserve">RAGHAV </t>
  </si>
  <si>
    <t xml:space="preserve">3 MONTHS ( KID ) </t>
  </si>
  <si>
    <t xml:space="preserve">AHAANA </t>
  </si>
  <si>
    <t xml:space="preserve">SAURYA </t>
  </si>
  <si>
    <t xml:space="preserve">VINAYAK </t>
  </si>
  <si>
    <t xml:space="preserve">TANUSHK </t>
  </si>
  <si>
    <t>CAP/SW/713</t>
  </si>
  <si>
    <t>CAP/SW/714</t>
  </si>
  <si>
    <t>CAP/SW/715</t>
  </si>
  <si>
    <t>CAP/SW/716</t>
  </si>
  <si>
    <t>CAP/SW/717</t>
  </si>
  <si>
    <t>CAP/SW/718</t>
  </si>
  <si>
    <t>CAP/SW/719</t>
  </si>
  <si>
    <t>CAP/SW/720</t>
  </si>
  <si>
    <t>CAP/SW/721</t>
  </si>
  <si>
    <t>CAP/SW/722</t>
  </si>
  <si>
    <t>CAP/SW/723</t>
  </si>
  <si>
    <t>CAP/SW/724</t>
  </si>
  <si>
    <t>CAP/SW/725</t>
  </si>
  <si>
    <t>CAP/SW/726</t>
  </si>
  <si>
    <t>CAP/SW/727</t>
  </si>
  <si>
    <t>CAP/SW/728</t>
  </si>
  <si>
    <t>CAP/SW/729</t>
  </si>
  <si>
    <t>CAP/SW/730</t>
  </si>
  <si>
    <t>CAP/SW/731</t>
  </si>
  <si>
    <t>CAP/SW/732</t>
  </si>
  <si>
    <t>CAP/SW/733</t>
  </si>
  <si>
    <t>CAP/SW/734</t>
  </si>
  <si>
    <t>CAP/SW/735</t>
  </si>
  <si>
    <t>CAP/SW/736</t>
  </si>
  <si>
    <t>CAP/SW/737</t>
  </si>
  <si>
    <t>CAP/SW/738</t>
  </si>
  <si>
    <t>CAP/SW/739</t>
  </si>
  <si>
    <t>CAP/SW/740</t>
  </si>
  <si>
    <t>CAP/SW/741</t>
  </si>
  <si>
    <t>CAP/SW/742</t>
  </si>
  <si>
    <t>CAP/SW/743</t>
  </si>
  <si>
    <t>CAP/SW/744</t>
  </si>
  <si>
    <t>CAP/SW/745</t>
  </si>
  <si>
    <t>CAP/SW/746</t>
  </si>
  <si>
    <t>CAP/SW/747</t>
  </si>
  <si>
    <t>CAP/SW/748</t>
  </si>
  <si>
    <t>CAP/SW/749</t>
  </si>
  <si>
    <t>CAP/SW/750</t>
  </si>
  <si>
    <t>CAP/SW/751</t>
  </si>
  <si>
    <t>CAP/SW/752</t>
  </si>
  <si>
    <t>CAP/SW/753</t>
  </si>
  <si>
    <t>CAP/SW/754</t>
  </si>
  <si>
    <t>CAP/SW/755</t>
  </si>
  <si>
    <t>CAP/SW/756</t>
  </si>
  <si>
    <t>CAP/SW/757</t>
  </si>
  <si>
    <t>CAP/SW/758</t>
  </si>
  <si>
    <t>CAP/SW/759</t>
  </si>
  <si>
    <t>CAP/SW/760</t>
  </si>
  <si>
    <t>CAP/SW/761</t>
  </si>
  <si>
    <t>CAP/SW/762</t>
  </si>
  <si>
    <t>CAP/SW/763</t>
  </si>
  <si>
    <t>CAP/SW/764</t>
  </si>
  <si>
    <t>CAP/SW/765</t>
  </si>
  <si>
    <t>CAP/SW/766</t>
  </si>
  <si>
    <t>CAP/SW/767</t>
  </si>
  <si>
    <t>CAP/SW/768</t>
  </si>
  <si>
    <t>CAP/SW/769</t>
  </si>
  <si>
    <t>CAP/SW/770</t>
  </si>
  <si>
    <t>CAP/SW/771</t>
  </si>
  <si>
    <t>CAP/SW/772</t>
  </si>
  <si>
    <t>PINGAKSH</t>
  </si>
  <si>
    <t xml:space="preserve">HASSAN </t>
  </si>
  <si>
    <t xml:space="preserve">HIMANSHU </t>
  </si>
  <si>
    <t>SHASHWAT</t>
  </si>
  <si>
    <t xml:space="preserve">KRISHNAM </t>
  </si>
  <si>
    <t>SWARA</t>
  </si>
  <si>
    <t>SHREYANSH</t>
  </si>
  <si>
    <t>SHUBHANG</t>
  </si>
  <si>
    <t>AARNA</t>
  </si>
  <si>
    <t xml:space="preserve">SHOUBHIT </t>
  </si>
  <si>
    <t xml:space="preserve">SWASTIK </t>
  </si>
  <si>
    <t xml:space="preserve">MON THLY </t>
  </si>
  <si>
    <t xml:space="preserve">3 MONTHS ( 3 DAY KID ) </t>
  </si>
  <si>
    <t xml:space="preserve">ILMA </t>
  </si>
  <si>
    <t xml:space="preserve">RASHEEL </t>
  </si>
  <si>
    <t xml:space="preserve">MD. RAHIL </t>
  </si>
  <si>
    <t xml:space="preserve">RASHID </t>
  </si>
  <si>
    <t xml:space="preserve">AJITESH </t>
  </si>
  <si>
    <t xml:space="preserve">KHYBAR </t>
  </si>
  <si>
    <t xml:space="preserve">MON THLY (KID ) </t>
  </si>
  <si>
    <t xml:space="preserve">KULSUM </t>
  </si>
  <si>
    <t xml:space="preserve">MANISHA </t>
  </si>
  <si>
    <t>SATAYM</t>
  </si>
  <si>
    <t xml:space="preserve">UDISHA </t>
  </si>
  <si>
    <t xml:space="preserve">PRIYA  </t>
  </si>
  <si>
    <t xml:space="preserve">PRIYANSHI </t>
  </si>
  <si>
    <t xml:space="preserve">DIVYANSHU </t>
  </si>
  <si>
    <t xml:space="preserve">PARSHVI </t>
  </si>
  <si>
    <t>AARIZ</t>
  </si>
  <si>
    <t xml:space="preserve">MD. SHAMS </t>
  </si>
  <si>
    <t xml:space="preserve">DEV </t>
  </si>
  <si>
    <t xml:space="preserve">SHIVALIKA </t>
  </si>
  <si>
    <t>AYESHA</t>
  </si>
  <si>
    <t>FARAZA</t>
  </si>
  <si>
    <t xml:space="preserve">HUSSAN </t>
  </si>
  <si>
    <t>SWAYAM</t>
  </si>
  <si>
    <t xml:space="preserve">SASH </t>
  </si>
  <si>
    <t xml:space="preserve">IRA </t>
  </si>
  <si>
    <t xml:space="preserve">MARIYAM </t>
  </si>
  <si>
    <t xml:space="preserve">SERAJ </t>
  </si>
  <si>
    <t xml:space="preserve">AMINA </t>
  </si>
  <si>
    <t xml:space="preserve">SNEHA </t>
  </si>
  <si>
    <t xml:space="preserve">SHUKLA </t>
  </si>
  <si>
    <t xml:space="preserve">SAPTAK </t>
  </si>
  <si>
    <t xml:space="preserve">DIVYAM </t>
  </si>
  <si>
    <t>CAP/SW/773</t>
  </si>
  <si>
    <t>CAP/SW/774</t>
  </si>
  <si>
    <t>CAP/SW/775</t>
  </si>
  <si>
    <t>CAP/SW/776</t>
  </si>
  <si>
    <t>CAP/SW/777</t>
  </si>
  <si>
    <t>CAP/SW/778</t>
  </si>
  <si>
    <t>CAP/SW/779</t>
  </si>
  <si>
    <t>CAP/SW/780</t>
  </si>
  <si>
    <t>CAP/SW/781</t>
  </si>
  <si>
    <t>CAP/SW/782</t>
  </si>
  <si>
    <t>CAP/SW/783</t>
  </si>
  <si>
    <t>CAP/SW/784</t>
  </si>
  <si>
    <t>CAP/SW/785</t>
  </si>
  <si>
    <t>CAP/SW/786</t>
  </si>
  <si>
    <t>CAP/SW/787</t>
  </si>
  <si>
    <t>CAP/SW/788</t>
  </si>
  <si>
    <t>CAP/SW/789</t>
  </si>
  <si>
    <t>CAP/SW/790</t>
  </si>
  <si>
    <t>CAP/SW/791</t>
  </si>
  <si>
    <t>CAP/SW/792</t>
  </si>
  <si>
    <t>CAP/SW/793</t>
  </si>
  <si>
    <t>CAP/SW/794</t>
  </si>
  <si>
    <t>CAP/SW/795</t>
  </si>
  <si>
    <t>CAP/SW/796</t>
  </si>
  <si>
    <t>CAP/SW/797</t>
  </si>
  <si>
    <t>CAP/SW/798</t>
  </si>
  <si>
    <t>CAP/SW/799</t>
  </si>
  <si>
    <t>CAP/SW/800</t>
  </si>
  <si>
    <t>CAP/SW/801</t>
  </si>
  <si>
    <t>CAP/SW/802</t>
  </si>
  <si>
    <t>CAP/SW/803</t>
  </si>
  <si>
    <t>CAP/SW/804</t>
  </si>
  <si>
    <t>CAP/SW/805</t>
  </si>
  <si>
    <t>CAP/SW/806</t>
  </si>
  <si>
    <t>CAP/SW/807</t>
  </si>
  <si>
    <t>CAP/SW/810</t>
  </si>
  <si>
    <t>CAP/SW/811</t>
  </si>
  <si>
    <t>CAP/SW/812</t>
  </si>
  <si>
    <t>CAP/SW/813</t>
  </si>
  <si>
    <t>CAP/SW/814</t>
  </si>
  <si>
    <t>CAP/SW/815</t>
  </si>
  <si>
    <t>CAP/SW/816</t>
  </si>
  <si>
    <t>CAP/SW/817</t>
  </si>
  <si>
    <t>CAP/SW/818</t>
  </si>
  <si>
    <t>CAP/SW/819</t>
  </si>
  <si>
    <t>CAP/SW/820</t>
  </si>
  <si>
    <t>CAP/SW/821</t>
  </si>
  <si>
    <t>CAP/SW/822</t>
  </si>
  <si>
    <t>CAP/SW/823</t>
  </si>
  <si>
    <t>CAP/SW/824</t>
  </si>
  <si>
    <t>CAP/SW/825</t>
  </si>
  <si>
    <t>CAP/SW/826</t>
  </si>
  <si>
    <t>CAP/SW/827</t>
  </si>
  <si>
    <t>CAP/SW/828</t>
  </si>
  <si>
    <t>CAP/SW/829</t>
  </si>
  <si>
    <t>CAP/SW/830</t>
  </si>
  <si>
    <t>CAP/SW/831</t>
  </si>
  <si>
    <t>CAP/SW/832</t>
  </si>
  <si>
    <t>CAP/SW/833</t>
  </si>
  <si>
    <t>CAP/SW/834</t>
  </si>
  <si>
    <t>CAP/SW/835</t>
  </si>
  <si>
    <t>CAP/SW/836</t>
  </si>
  <si>
    <t>CAP/SW/837</t>
  </si>
  <si>
    <t>CAP/SW/838</t>
  </si>
  <si>
    <t>CAP/SW/839</t>
  </si>
  <si>
    <t>CAP/SW/840</t>
  </si>
  <si>
    <t>CAP/SW/841</t>
  </si>
  <si>
    <t>CAP/SW/842</t>
  </si>
  <si>
    <t>CAP/SW/843</t>
  </si>
  <si>
    <t>CAP/SW/844</t>
  </si>
  <si>
    <t>CAP/SW/845</t>
  </si>
  <si>
    <t>CAP/SW/846</t>
  </si>
  <si>
    <t>CAP/SW/847</t>
  </si>
  <si>
    <t>CAP/SW/848</t>
  </si>
  <si>
    <t>CAP/SW/849</t>
  </si>
  <si>
    <t>CAP/SW/850</t>
  </si>
  <si>
    <t>CAP/SW/851</t>
  </si>
  <si>
    <t>CAP/SW/852</t>
  </si>
  <si>
    <t>CAP/SW/853</t>
  </si>
  <si>
    <t>CAP/SW/854</t>
  </si>
  <si>
    <t>CAP/SW/855</t>
  </si>
  <si>
    <t>CAP/SW/856</t>
  </si>
  <si>
    <t xml:space="preserve">DEVESH </t>
  </si>
  <si>
    <t xml:space="preserve">GHANIKA </t>
  </si>
  <si>
    <t xml:space="preserve">AAVYA </t>
  </si>
  <si>
    <t xml:space="preserve">MONTHLY (3 DAY KID </t>
  </si>
  <si>
    <t xml:space="preserve">DAKSHIT </t>
  </si>
  <si>
    <t xml:space="preserve">AKSHIT </t>
  </si>
  <si>
    <t xml:space="preserve">REYAN </t>
  </si>
  <si>
    <t xml:space="preserve">ARYAV </t>
  </si>
  <si>
    <t xml:space="preserve">AVNISH </t>
  </si>
  <si>
    <t xml:space="preserve">VAISHNAVI </t>
  </si>
  <si>
    <t xml:space="preserve">SAGAR </t>
  </si>
  <si>
    <t xml:space="preserve">AYUSHI </t>
  </si>
  <si>
    <t xml:space="preserve">YASH RAJ </t>
  </si>
  <si>
    <t xml:space="preserve">RAJPUT </t>
  </si>
  <si>
    <t xml:space="preserve">VIVAN SINGH </t>
  </si>
  <si>
    <t xml:space="preserve">AARABH </t>
  </si>
  <si>
    <t xml:space="preserve">PRATP </t>
  </si>
  <si>
    <t xml:space="preserve">MONTHLY ( 3 DAY KID  ) </t>
  </si>
  <si>
    <t xml:space="preserve">CHAUBEY </t>
  </si>
  <si>
    <t xml:space="preserve">SANDIP </t>
  </si>
  <si>
    <t>RYAAN</t>
  </si>
  <si>
    <t xml:space="preserve">DHWANIT </t>
  </si>
  <si>
    <t xml:space="preserve">RAJA GULAB DIPENDRA </t>
  </si>
  <si>
    <t xml:space="preserve">SINGHANIYA </t>
  </si>
  <si>
    <t xml:space="preserve">ABHISHEK KUMAR </t>
  </si>
  <si>
    <t xml:space="preserve">PRISHA KUMAR </t>
  </si>
  <si>
    <t xml:space="preserve">AADVIKA </t>
  </si>
  <si>
    <t xml:space="preserve">DHRITI </t>
  </si>
  <si>
    <t>4400+1000</t>
  </si>
  <si>
    <t xml:space="preserve">11500 (3500 DUES ) </t>
  </si>
  <si>
    <t>2800+1000</t>
  </si>
  <si>
    <t>2200+1000</t>
  </si>
  <si>
    <t xml:space="preserve">SURBHI </t>
  </si>
  <si>
    <t xml:space="preserve">HARI </t>
  </si>
  <si>
    <t xml:space="preserve">MONTHLTY ( KID ) </t>
  </si>
  <si>
    <t xml:space="preserve">MUKUND </t>
  </si>
  <si>
    <t xml:space="preserve">PANKHUDI </t>
  </si>
  <si>
    <t xml:space="preserve">MONI </t>
  </si>
  <si>
    <t xml:space="preserve">PRADHIR </t>
  </si>
  <si>
    <t xml:space="preserve">BHARDWAJ </t>
  </si>
  <si>
    <t xml:space="preserve">PRANIL </t>
  </si>
  <si>
    <t xml:space="preserve">OJASVI </t>
  </si>
  <si>
    <t xml:space="preserve">ADVITA </t>
  </si>
  <si>
    <t xml:space="preserve">SAMARTH </t>
  </si>
  <si>
    <t xml:space="preserve">HANS </t>
  </si>
  <si>
    <t>SAMAR PRATAP</t>
  </si>
  <si>
    <t xml:space="preserve">VIRAT </t>
  </si>
  <si>
    <t xml:space="preserve">AKSHAT </t>
  </si>
  <si>
    <t xml:space="preserve">ADWAIT </t>
  </si>
  <si>
    <t xml:space="preserve">KUMAR  </t>
  </si>
  <si>
    <t xml:space="preserve">RIDHAN </t>
  </si>
  <si>
    <t xml:space="preserve">KHUSHAGRA </t>
  </si>
  <si>
    <t xml:space="preserve">TWINKLE </t>
  </si>
  <si>
    <t xml:space="preserve">SUNAYNA </t>
  </si>
  <si>
    <t xml:space="preserve">BINOY </t>
  </si>
  <si>
    <t xml:space="preserve">DIVISHA </t>
  </si>
  <si>
    <t xml:space="preserve">ANGEL </t>
  </si>
  <si>
    <t xml:space="preserve">KANAN </t>
  </si>
  <si>
    <t xml:space="preserve">REYANSH RAGHAV </t>
  </si>
  <si>
    <t xml:space="preserve">VATSA </t>
  </si>
  <si>
    <t xml:space="preserve">HARSH RAJ </t>
  </si>
  <si>
    <t xml:space="preserve">APEKSHA </t>
  </si>
  <si>
    <t xml:space="preserve">GYAANA </t>
  </si>
  <si>
    <t xml:space="preserve">MONTHLY ( KID ) ) </t>
  </si>
  <si>
    <t xml:space="preserve">SHRIYANSH </t>
  </si>
  <si>
    <t xml:space="preserve">DEVANJAN </t>
  </si>
  <si>
    <t xml:space="preserve">MAYUR </t>
  </si>
  <si>
    <t xml:space="preserve">SHANDILYA </t>
  </si>
  <si>
    <t xml:space="preserve">YUVRAJ </t>
  </si>
  <si>
    <t xml:space="preserve">AAKASH </t>
  </si>
  <si>
    <t xml:space="preserve">DEEPTI </t>
  </si>
  <si>
    <t xml:space="preserve">KRISHAV </t>
  </si>
  <si>
    <t xml:space="preserve">AKHTAR </t>
  </si>
  <si>
    <t xml:space="preserve">AZLAAN </t>
  </si>
  <si>
    <t xml:space="preserve">ANUBHAV </t>
  </si>
  <si>
    <t xml:space="preserve">VEDIKA </t>
  </si>
  <si>
    <t xml:space="preserve">ARSH </t>
  </si>
  <si>
    <t xml:space="preserve">THEA </t>
  </si>
  <si>
    <t xml:space="preserve">MONTHLY ( 1 DAY ) </t>
  </si>
  <si>
    <t xml:space="preserve">MADHUMITA </t>
  </si>
  <si>
    <t>MIMAANSHA</t>
  </si>
  <si>
    <t xml:space="preserve">YOHAN </t>
  </si>
  <si>
    <t xml:space="preserve">SAIKIA </t>
  </si>
  <si>
    <t xml:space="preserve">VIKRAM SINGH </t>
  </si>
  <si>
    <t xml:space="preserve">RATHORE </t>
  </si>
  <si>
    <t xml:space="preserve">SAURRIK </t>
  </si>
  <si>
    <t xml:space="preserve">LAKSHAYA JEET </t>
  </si>
  <si>
    <t xml:space="preserve">RAO </t>
  </si>
  <si>
    <t xml:space="preserve">VISHWAJEET </t>
  </si>
  <si>
    <t xml:space="preserve">2400 (INCLUDING REG. </t>
  </si>
  <si>
    <t xml:space="preserve">KALKI SAURABH </t>
  </si>
  <si>
    <t xml:space="preserve">ANJALI </t>
  </si>
  <si>
    <t xml:space="preserve">AYUSHMAN </t>
  </si>
  <si>
    <t>MALIK</t>
  </si>
  <si>
    <t xml:space="preserve">AMAL </t>
  </si>
  <si>
    <t xml:space="preserve">KANISHK </t>
  </si>
  <si>
    <t>CAP/SW/857</t>
  </si>
  <si>
    <t>CAP/SW/858</t>
  </si>
  <si>
    <t>CAP/SW/859</t>
  </si>
  <si>
    <t>CAP/SW/860</t>
  </si>
  <si>
    <t>CAP/SW/861</t>
  </si>
  <si>
    <t>CAP/SW/862</t>
  </si>
  <si>
    <t>CAP/SW/863</t>
  </si>
  <si>
    <t>CAP/SW/864</t>
  </si>
  <si>
    <t>CAP/SW/865</t>
  </si>
  <si>
    <t>CAP/SW/866</t>
  </si>
  <si>
    <t>CAP/SW/867</t>
  </si>
  <si>
    <t>CAP/SW/868</t>
  </si>
  <si>
    <t>CAP/SW/869</t>
  </si>
  <si>
    <t>CAP/SW/870</t>
  </si>
  <si>
    <t>CAP/SW/871</t>
  </si>
  <si>
    <t>CAP/SW/872</t>
  </si>
  <si>
    <t>CAP/SW/873</t>
  </si>
  <si>
    <t>CAP/SW/874</t>
  </si>
  <si>
    <t>CAP/SW/875</t>
  </si>
  <si>
    <t>CAP/SW/876</t>
  </si>
  <si>
    <t>CAP/SW/877</t>
  </si>
  <si>
    <t>CAP/SW/878</t>
  </si>
  <si>
    <t>CAP/SW/879</t>
  </si>
  <si>
    <t>CAP/SW/880</t>
  </si>
  <si>
    <t>CAP/SW/881</t>
  </si>
  <si>
    <t>CAP/SW/882</t>
  </si>
  <si>
    <t>CAP/SW/883</t>
  </si>
  <si>
    <t>CAP/SW/884</t>
  </si>
  <si>
    <t>CAP/SW/885</t>
  </si>
  <si>
    <t>CAP/SW/886</t>
  </si>
  <si>
    <t>CAP/SW/887</t>
  </si>
  <si>
    <t>CAP/SW/888</t>
  </si>
  <si>
    <t>CAP/SW/889</t>
  </si>
  <si>
    <t>CAP/SW/890</t>
  </si>
  <si>
    <t>CAP/SW/891</t>
  </si>
  <si>
    <t>CAP/SW/892</t>
  </si>
  <si>
    <t>CAP/SW/893</t>
  </si>
  <si>
    <t>CAP/SW/894</t>
  </si>
  <si>
    <t>CAP/SW/895</t>
  </si>
  <si>
    <t>CAP/SW/896</t>
  </si>
  <si>
    <t>CAP/SW/897</t>
  </si>
  <si>
    <t>CAP/SW/898</t>
  </si>
  <si>
    <t>CAP/SW/899</t>
  </si>
  <si>
    <t>CAP/SW/900</t>
  </si>
  <si>
    <t>CAP/SW/901</t>
  </si>
  <si>
    <t>CAP/SW/902</t>
  </si>
  <si>
    <t>CAP/SW/903</t>
  </si>
  <si>
    <t>CAP/SW/904</t>
  </si>
  <si>
    <t>CAP/SW/905</t>
  </si>
  <si>
    <t>CAP/SW/906</t>
  </si>
  <si>
    <t>CAP/SW/907</t>
  </si>
  <si>
    <t>CAP/SW/908</t>
  </si>
  <si>
    <t>CAP/SW/909</t>
  </si>
  <si>
    <t>CAP/SW/910</t>
  </si>
  <si>
    <t>CAP/SW/911</t>
  </si>
  <si>
    <t>CAP/SW/912</t>
  </si>
  <si>
    <t>CAP/SW/913</t>
  </si>
  <si>
    <t>CAP/SW/914</t>
  </si>
  <si>
    <t>CAP/SW/915</t>
  </si>
  <si>
    <t>CAP/SW/916</t>
  </si>
  <si>
    <t>CAP/SW/917</t>
  </si>
  <si>
    <t>CAP/SW/918</t>
  </si>
  <si>
    <t>CAP/SW/919</t>
  </si>
  <si>
    <t>CAP/SW/920</t>
  </si>
  <si>
    <t>CAP/SW/921</t>
  </si>
  <si>
    <t>CAP/SW/922</t>
  </si>
  <si>
    <t>CAP/SW/923</t>
  </si>
  <si>
    <t>CAP/SW/924</t>
  </si>
  <si>
    <t>CAP/SW/925</t>
  </si>
  <si>
    <t>CAP/SW/926</t>
  </si>
  <si>
    <t>CAP/SW/927</t>
  </si>
  <si>
    <t>CAP/SW/928</t>
  </si>
  <si>
    <t>CAP/SW/929</t>
  </si>
  <si>
    <t>CAP/SW/930</t>
  </si>
  <si>
    <t>CAP/SW/931</t>
  </si>
  <si>
    <t>CAP/SW/932</t>
  </si>
  <si>
    <t>CAP/SW/933</t>
  </si>
  <si>
    <t>CAP/SW/934</t>
  </si>
  <si>
    <t>CAP/SW/935</t>
  </si>
  <si>
    <t>CAP/SW/936</t>
  </si>
  <si>
    <t>CAP/SW/937</t>
  </si>
  <si>
    <t xml:space="preserve">CHITESH SEN </t>
  </si>
  <si>
    <t xml:space="preserve">VIRISHA </t>
  </si>
  <si>
    <t xml:space="preserve">SRIVASTAV </t>
  </si>
  <si>
    <t xml:space="preserve">NALINI </t>
  </si>
  <si>
    <t xml:space="preserve">SAKET </t>
  </si>
  <si>
    <t xml:space="preserve">SONAM </t>
  </si>
  <si>
    <t xml:space="preserve">NEET </t>
  </si>
  <si>
    <t xml:space="preserve">RAMAN </t>
  </si>
  <si>
    <t xml:space="preserve">RIA </t>
  </si>
  <si>
    <t xml:space="preserve">ARYASH </t>
  </si>
  <si>
    <t xml:space="preserve">RAJNISH </t>
  </si>
  <si>
    <t xml:space="preserve">SWINI </t>
  </si>
  <si>
    <t xml:space="preserve">PAL </t>
  </si>
  <si>
    <t xml:space="preserve">SATAKSHI </t>
  </si>
  <si>
    <t xml:space="preserve">RISHI </t>
  </si>
  <si>
    <t>SWEETY</t>
  </si>
  <si>
    <t xml:space="preserve">UJJAIN </t>
  </si>
  <si>
    <t xml:space="preserve">RAJDEV SINGH </t>
  </si>
  <si>
    <t xml:space="preserve">ADWIK </t>
  </si>
  <si>
    <t xml:space="preserve">BANARJI </t>
  </si>
  <si>
    <t xml:space="preserve">ADVAITH DEV </t>
  </si>
  <si>
    <t>MONTHLY ( KID)</t>
  </si>
  <si>
    <t xml:space="preserve">ADITYA SINGH </t>
  </si>
  <si>
    <t xml:space="preserve">MITALI SINGH </t>
  </si>
  <si>
    <t xml:space="preserve">SANVI SINGH </t>
  </si>
  <si>
    <t xml:space="preserve">MONTHLY ( 3 DAY KID) </t>
  </si>
  <si>
    <t xml:space="preserve">ADARSH </t>
  </si>
  <si>
    <t>900 INCL. REG</t>
  </si>
  <si>
    <t xml:space="preserve">MONALISA </t>
  </si>
  <si>
    <t xml:space="preserve">RIDDHIMA </t>
  </si>
  <si>
    <t xml:space="preserve">JIYA </t>
  </si>
  <si>
    <t xml:space="preserve">DAYAL </t>
  </si>
  <si>
    <t xml:space="preserve">VED </t>
  </si>
  <si>
    <t xml:space="preserve">MOMNTHLY ( 3 DAY KID ) </t>
  </si>
  <si>
    <t xml:space="preserve">AARUSG </t>
  </si>
  <si>
    <t xml:space="preserve">BAIG </t>
  </si>
  <si>
    <t xml:space="preserve">ZIDAAN </t>
  </si>
  <si>
    <t xml:space="preserve">PRAKHAR </t>
  </si>
  <si>
    <t xml:space="preserve">BAIBHAVI </t>
  </si>
  <si>
    <t xml:space="preserve">DEO </t>
  </si>
  <si>
    <t xml:space="preserve">VANYA </t>
  </si>
  <si>
    <t xml:space="preserve">TANUSH </t>
  </si>
  <si>
    <t xml:space="preserve">MAHAAM </t>
  </si>
  <si>
    <t xml:space="preserve">ANWAR </t>
  </si>
  <si>
    <t xml:space="preserve">KHANDELIYA </t>
  </si>
  <si>
    <t xml:space="preserve">DARSH </t>
  </si>
  <si>
    <t xml:space="preserve">MONTHLY ( 3 DAY kid) </t>
  </si>
  <si>
    <t xml:space="preserve">SHRIYAN </t>
  </si>
  <si>
    <t xml:space="preserve">SHRISH </t>
  </si>
  <si>
    <t xml:space="preserve">RIVAAN </t>
  </si>
  <si>
    <t xml:space="preserve">JAIVARDHAN </t>
  </si>
  <si>
    <t xml:space="preserve">VAMIKA </t>
  </si>
  <si>
    <t xml:space="preserve">ROY </t>
  </si>
  <si>
    <t xml:space="preserve">DUGU </t>
  </si>
  <si>
    <t>7600 INCL.REG</t>
  </si>
  <si>
    <t xml:space="preserve">MEGHNA </t>
  </si>
  <si>
    <t xml:space="preserve">VICKEY </t>
  </si>
  <si>
    <t xml:space="preserve">PRACHI </t>
  </si>
  <si>
    <t xml:space="preserve">ATRHARVA </t>
  </si>
  <si>
    <t xml:space="preserve">SHARN </t>
  </si>
  <si>
    <t xml:space="preserve">AADWIK </t>
  </si>
  <si>
    <t xml:space="preserve">FAEEZA </t>
  </si>
  <si>
    <t xml:space="preserve">FATIMA </t>
  </si>
  <si>
    <t xml:space="preserve">SANAV </t>
  </si>
  <si>
    <t xml:space="preserve">TRSHITA </t>
  </si>
  <si>
    <t xml:space="preserve">PARIHAR </t>
  </si>
  <si>
    <t xml:space="preserve">SANIDHYA </t>
  </si>
  <si>
    <t xml:space="preserve">ASTITVA </t>
  </si>
  <si>
    <t xml:space="preserve">SWETA </t>
  </si>
  <si>
    <t xml:space="preserve">ANSH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</si>
</sst>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$&quot;* #,##0.00_-;\-&quot;$&quot;* #,##0.00_-;_-&quot;$&quot;* &quot;-&quot;??_-;_-@_-"/>
    <numFmt numFmtId="165" formatCode="[$$-C09]#,##0.00;[Red][$$-C09]#,##0.00"/>
    <numFmt numFmtId="166" formatCode="[$$-1009]#,##0.00;[Red][$$-1009]#,##0.00"/>
    <numFmt numFmtId="167" formatCode="[$-14009]dd/mm/yyyy;@"/>
    <numFmt numFmtId="168" formatCode="0;[Red]0"/>
  </numFmts>
  <fonts count="28" x14ac:knownFonts="1">
    <font>
      <sz val="11"/>
      <color theme="1"/>
      <name val="Calibri"/>
      <family val="2"/>
      <scheme val="minor"/>
    </font>
    <font>
      <b/>
      <sz val="11"/>
      <color rgb="FF595959"/>
      <name val="Calibri"/>
      <family val="2"/>
    </font>
    <font>
      <u/>
      <sz val="11"/>
      <color theme="10"/>
      <name val="Calibri"/>
      <family val="2"/>
      <scheme val="minor"/>
    </font>
    <font>
      <b/>
      <sz val="16"/>
      <color rgb="FF595959"/>
      <name val="Calibri"/>
      <family val="2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E40A1A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4"/>
      <color theme="1"/>
      <name val="Berlin Sans FB"/>
      <family val="2"/>
    </font>
    <font>
      <b/>
      <sz val="12"/>
      <color theme="1"/>
      <name val="Calibri Light"/>
      <family val="1"/>
      <scheme val="major"/>
    </font>
    <font>
      <b/>
      <sz val="11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1"/>
      <color theme="1"/>
      <name val="Calibri Light"/>
      <family val="1"/>
      <scheme val="major"/>
    </font>
    <font>
      <b/>
      <sz val="9"/>
      <color theme="1"/>
      <name val="Calibri Light"/>
      <family val="2"/>
      <scheme val="major"/>
    </font>
    <font>
      <b/>
      <sz val="14"/>
      <color theme="1"/>
      <name val="Calibri Light"/>
      <family val="1"/>
      <scheme val="maj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EEEEEE"/>
        <bgColor rgb="FFFFFFFF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E40A1A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theme="5"/>
        <bgColor indexed="64"/>
      </patternFill>
    </fill>
  </fills>
  <borders count="2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5" fillId="0" borderId="0" applyFont="0" applyFill="0" applyBorder="0" applyAlignment="0" applyProtection="0"/>
  </cellStyleXfs>
  <cellXfs count="381">
    <xf numFmtId="0" fontId="0" fillId="0" borderId="0" xfId="0"/>
    <xf numFmtId="14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1" xfId="0" applyBorder="1"/>
    <xf numFmtId="0" fontId="6" fillId="0" borderId="0" xfId="0" applyFont="1"/>
    <xf numFmtId="0" fontId="4" fillId="0" borderId="1" xfId="0" applyFont="1" applyBorder="1" applyAlignment="1">
      <alignment horizontal="center"/>
    </xf>
    <xf numFmtId="0" fontId="0" fillId="4" borderId="0" xfId="0" applyFill="1"/>
    <xf numFmtId="0" fontId="0" fillId="0" borderId="3" xfId="0" applyBorder="1"/>
    <xf numFmtId="0" fontId="2" fillId="0" borderId="3" xfId="1" applyBorder="1"/>
    <xf numFmtId="14" fontId="0" fillId="0" borderId="3" xfId="0" applyNumberFormat="1" applyBorder="1"/>
    <xf numFmtId="0" fontId="0" fillId="6" borderId="0" xfId="0" applyFill="1"/>
    <xf numFmtId="0" fontId="0" fillId="7" borderId="0" xfId="0" applyFill="1"/>
    <xf numFmtId="0" fontId="0" fillId="9" borderId="0" xfId="0" applyFill="1"/>
    <xf numFmtId="0" fontId="8" fillId="7" borderId="0" xfId="0" applyFont="1" applyFill="1"/>
    <xf numFmtId="0" fontId="8" fillId="0" borderId="0" xfId="0" applyFont="1"/>
    <xf numFmtId="16" fontId="8" fillId="7" borderId="0" xfId="0" applyNumberFormat="1" applyFont="1" applyFill="1"/>
    <xf numFmtId="14" fontId="8" fillId="0" borderId="0" xfId="0" applyNumberFormat="1" applyFont="1"/>
    <xf numFmtId="0" fontId="8" fillId="4" borderId="0" xfId="0" applyFont="1" applyFill="1"/>
    <xf numFmtId="16" fontId="8" fillId="0" borderId="0" xfId="0" applyNumberFormat="1" applyFont="1"/>
    <xf numFmtId="0" fontId="8" fillId="9" borderId="0" xfId="0" applyFont="1" applyFill="1"/>
    <xf numFmtId="0" fontId="8" fillId="6" borderId="0" xfId="0" applyFont="1" applyFill="1"/>
    <xf numFmtId="0" fontId="8" fillId="7" borderId="3" xfId="0" applyFont="1" applyFill="1" applyBorder="1"/>
    <xf numFmtId="0" fontId="8" fillId="0" borderId="3" xfId="0" applyFont="1" applyBorder="1"/>
    <xf numFmtId="164" fontId="9" fillId="7" borderId="3" xfId="2" applyFont="1" applyFill="1" applyBorder="1"/>
    <xf numFmtId="14" fontId="8" fillId="7" borderId="3" xfId="0" applyNumberFormat="1" applyFont="1" applyFill="1" applyBorder="1"/>
    <xf numFmtId="1" fontId="8" fillId="7" borderId="3" xfId="0" applyNumberFormat="1" applyFont="1" applyFill="1" applyBorder="1"/>
    <xf numFmtId="14" fontId="9" fillId="7" borderId="3" xfId="0" applyNumberFormat="1" applyFont="1" applyFill="1" applyBorder="1"/>
    <xf numFmtId="164" fontId="9" fillId="0" borderId="3" xfId="2" applyFont="1" applyBorder="1"/>
    <xf numFmtId="14" fontId="8" fillId="0" borderId="3" xfId="0" applyNumberFormat="1" applyFont="1" applyBorder="1"/>
    <xf numFmtId="1" fontId="8" fillId="0" borderId="3" xfId="0" applyNumberFormat="1" applyFont="1" applyBorder="1"/>
    <xf numFmtId="14" fontId="9" fillId="0" borderId="3" xfId="0" applyNumberFormat="1" applyFont="1" applyBorder="1"/>
    <xf numFmtId="0" fontId="8" fillId="4" borderId="3" xfId="0" applyFont="1" applyFill="1" applyBorder="1"/>
    <xf numFmtId="164" fontId="8" fillId="4" borderId="3" xfId="2" applyFont="1" applyFill="1" applyBorder="1"/>
    <xf numFmtId="14" fontId="8" fillId="4" borderId="3" xfId="0" applyNumberFormat="1" applyFont="1" applyFill="1" applyBorder="1"/>
    <xf numFmtId="1" fontId="8" fillId="4" borderId="3" xfId="0" applyNumberFormat="1" applyFont="1" applyFill="1" applyBorder="1"/>
    <xf numFmtId="14" fontId="9" fillId="4" borderId="3" xfId="0" applyNumberFormat="1" applyFont="1" applyFill="1" applyBorder="1"/>
    <xf numFmtId="164" fontId="9" fillId="4" borderId="3" xfId="2" applyFont="1" applyFill="1" applyBorder="1"/>
    <xf numFmtId="166" fontId="8" fillId="0" borderId="3" xfId="0" applyNumberFormat="1" applyFont="1" applyBorder="1"/>
    <xf numFmtId="165" fontId="8" fillId="0" borderId="3" xfId="0" applyNumberFormat="1" applyFont="1" applyBorder="1"/>
    <xf numFmtId="164" fontId="8" fillId="7" borderId="3" xfId="0" applyNumberFormat="1" applyFont="1" applyFill="1" applyBorder="1"/>
    <xf numFmtId="0" fontId="8" fillId="9" borderId="3" xfId="0" applyFont="1" applyFill="1" applyBorder="1"/>
    <xf numFmtId="165" fontId="8" fillId="9" borderId="3" xfId="0" applyNumberFormat="1" applyFont="1" applyFill="1" applyBorder="1"/>
    <xf numFmtId="164" fontId="9" fillId="9" borderId="3" xfId="2" applyFont="1" applyFill="1" applyBorder="1"/>
    <xf numFmtId="14" fontId="8" fillId="9" borderId="3" xfId="0" applyNumberFormat="1" applyFont="1" applyFill="1" applyBorder="1"/>
    <xf numFmtId="1" fontId="8" fillId="9" borderId="3" xfId="0" applyNumberFormat="1" applyFont="1" applyFill="1" applyBorder="1"/>
    <xf numFmtId="164" fontId="8" fillId="0" borderId="3" xfId="0" applyNumberFormat="1" applyFont="1" applyBorder="1"/>
    <xf numFmtId="0" fontId="8" fillId="6" borderId="3" xfId="0" applyFont="1" applyFill="1" applyBorder="1"/>
    <xf numFmtId="165" fontId="8" fillId="6" borderId="3" xfId="0" applyNumberFormat="1" applyFont="1" applyFill="1" applyBorder="1"/>
    <xf numFmtId="164" fontId="9" fillId="6" borderId="3" xfId="2" applyFont="1" applyFill="1" applyBorder="1"/>
    <xf numFmtId="14" fontId="8" fillId="6" borderId="3" xfId="0" applyNumberFormat="1" applyFont="1" applyFill="1" applyBorder="1"/>
    <xf numFmtId="1" fontId="8" fillId="6" borderId="3" xfId="0" applyNumberFormat="1" applyFont="1" applyFill="1" applyBorder="1"/>
    <xf numFmtId="14" fontId="9" fillId="6" borderId="3" xfId="0" applyNumberFormat="1" applyFont="1" applyFill="1" applyBorder="1"/>
    <xf numFmtId="165" fontId="8" fillId="4" borderId="3" xfId="0" applyNumberFormat="1" applyFont="1" applyFill="1" applyBorder="1"/>
    <xf numFmtId="0" fontId="9" fillId="0" borderId="3" xfId="0" applyFont="1" applyBorder="1"/>
    <xf numFmtId="0" fontId="9" fillId="7" borderId="3" xfId="0" applyFont="1" applyFill="1" applyBorder="1"/>
    <xf numFmtId="1" fontId="9" fillId="7" borderId="3" xfId="0" applyNumberFormat="1" applyFont="1" applyFill="1" applyBorder="1"/>
    <xf numFmtId="0" fontId="9" fillId="7" borderId="0" xfId="0" applyFont="1" applyFill="1"/>
    <xf numFmtId="0" fontId="6" fillId="7" borderId="0" xfId="0" applyFont="1" applyFill="1"/>
    <xf numFmtId="0" fontId="0" fillId="7" borderId="3" xfId="0" applyFill="1" applyBorder="1"/>
    <xf numFmtId="14" fontId="0" fillId="7" borderId="3" xfId="0" applyNumberFormat="1" applyFill="1" applyBorder="1"/>
    <xf numFmtId="14" fontId="6" fillId="7" borderId="3" xfId="0" applyNumberFormat="1" applyFont="1" applyFill="1" applyBorder="1"/>
    <xf numFmtId="164" fontId="6" fillId="7" borderId="3" xfId="2" applyFont="1" applyFill="1" applyBorder="1"/>
    <xf numFmtId="0" fontId="0" fillId="4" borderId="3" xfId="0" applyFill="1" applyBorder="1"/>
    <xf numFmtId="164" fontId="0" fillId="7" borderId="3" xfId="2" applyFont="1" applyFill="1" applyBorder="1"/>
    <xf numFmtId="164" fontId="6" fillId="4" borderId="3" xfId="2" applyFont="1" applyFill="1" applyBorder="1"/>
    <xf numFmtId="14" fontId="0" fillId="4" borderId="3" xfId="0" applyNumberFormat="1" applyFill="1" applyBorder="1"/>
    <xf numFmtId="14" fontId="6" fillId="4" borderId="3" xfId="0" applyNumberFormat="1" applyFont="1" applyFill="1" applyBorder="1"/>
    <xf numFmtId="0" fontId="0" fillId="0" borderId="4" xfId="0" applyBorder="1"/>
    <xf numFmtId="0" fontId="3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textRotation="90"/>
    </xf>
    <xf numFmtId="0" fontId="0" fillId="0" borderId="5" xfId="0" applyBorder="1"/>
    <xf numFmtId="164" fontId="0" fillId="0" borderId="5" xfId="2" applyFont="1" applyBorder="1"/>
    <xf numFmtId="14" fontId="0" fillId="0" borderId="5" xfId="0" applyNumberFormat="1" applyBorder="1"/>
    <xf numFmtId="164" fontId="0" fillId="0" borderId="3" xfId="0" applyNumberFormat="1" applyBorder="1"/>
    <xf numFmtId="164" fontId="9" fillId="7" borderId="3" xfId="0" applyNumberFormat="1" applyFont="1" applyFill="1" applyBorder="1"/>
    <xf numFmtId="0" fontId="10" fillId="7" borderId="3" xfId="0" applyFont="1" applyFill="1" applyBorder="1"/>
    <xf numFmtId="164" fontId="0" fillId="7" borderId="3" xfId="0" applyNumberFormat="1" applyFill="1" applyBorder="1"/>
    <xf numFmtId="0" fontId="0" fillId="6" borderId="3" xfId="0" applyFill="1" applyBorder="1"/>
    <xf numFmtId="16" fontId="0" fillId="0" borderId="3" xfId="0" applyNumberFormat="1" applyBorder="1"/>
    <xf numFmtId="16" fontId="0" fillId="7" borderId="3" xfId="0" applyNumberFormat="1" applyFill="1" applyBorder="1"/>
    <xf numFmtId="0" fontId="0" fillId="11" borderId="0" xfId="0" applyFill="1"/>
    <xf numFmtId="0" fontId="0" fillId="12" borderId="0" xfId="0" applyFill="1"/>
    <xf numFmtId="0" fontId="0" fillId="5" borderId="0" xfId="0" applyFill="1"/>
    <xf numFmtId="0" fontId="0" fillId="8" borderId="0" xfId="0" applyFill="1"/>
    <xf numFmtId="0" fontId="0" fillId="13" borderId="3" xfId="0" applyFill="1" applyBorder="1"/>
    <xf numFmtId="164" fontId="0" fillId="13" borderId="3" xfId="0" applyNumberFormat="1" applyFill="1" applyBorder="1"/>
    <xf numFmtId="164" fontId="6" fillId="13" borderId="3" xfId="2" applyFont="1" applyFill="1" applyBorder="1"/>
    <xf numFmtId="14" fontId="0" fillId="13" borderId="3" xfId="0" applyNumberFormat="1" applyFill="1" applyBorder="1"/>
    <xf numFmtId="0" fontId="0" fillId="13" borderId="0" xfId="0" applyFill="1"/>
    <xf numFmtId="0" fontId="0" fillId="7" borderId="5" xfId="0" applyFill="1" applyBorder="1"/>
    <xf numFmtId="164" fontId="0" fillId="4" borderId="3" xfId="0" applyNumberFormat="1" applyFill="1" applyBorder="1"/>
    <xf numFmtId="0" fontId="0" fillId="0" borderId="3" xfId="0" applyBorder="1" applyAlignment="1">
      <alignment horizontal="center"/>
    </xf>
    <xf numFmtId="16" fontId="0" fillId="4" borderId="3" xfId="0" applyNumberFormat="1" applyFill="1" applyBorder="1"/>
    <xf numFmtId="0" fontId="8" fillId="15" borderId="3" xfId="0" applyFont="1" applyFill="1" applyBorder="1"/>
    <xf numFmtId="0" fontId="0" fillId="16" borderId="0" xfId="0" applyFill="1"/>
    <xf numFmtId="16" fontId="0" fillId="6" borderId="3" xfId="0" applyNumberFormat="1" applyFill="1" applyBorder="1"/>
    <xf numFmtId="164" fontId="0" fillId="6" borderId="3" xfId="0" applyNumberFormat="1" applyFill="1" applyBorder="1"/>
    <xf numFmtId="164" fontId="6" fillId="6" borderId="3" xfId="2" applyFont="1" applyFill="1" applyBorder="1"/>
    <xf numFmtId="14" fontId="0" fillId="6" borderId="3" xfId="0" applyNumberFormat="1" applyFill="1" applyBorder="1"/>
    <xf numFmtId="14" fontId="6" fillId="6" borderId="3" xfId="0" applyNumberFormat="1" applyFont="1" applyFill="1" applyBorder="1"/>
    <xf numFmtId="0" fontId="4" fillId="0" borderId="6" xfId="0" applyFont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18" borderId="0" xfId="0" applyFill="1"/>
    <xf numFmtId="0" fontId="0" fillId="14" borderId="0" xfId="0" applyFill="1"/>
    <xf numFmtId="16" fontId="7" fillId="7" borderId="3" xfId="0" applyNumberFormat="1" applyFont="1" applyFill="1" applyBorder="1"/>
    <xf numFmtId="16" fontId="8" fillId="0" borderId="3" xfId="0" applyNumberFormat="1" applyFont="1" applyBorder="1"/>
    <xf numFmtId="164" fontId="8" fillId="4" borderId="3" xfId="0" applyNumberFormat="1" applyFont="1" applyFill="1" applyBorder="1"/>
    <xf numFmtId="164" fontId="8" fillId="6" borderId="3" xfId="0" applyNumberFormat="1" applyFont="1" applyFill="1" applyBorder="1"/>
    <xf numFmtId="167" fontId="8" fillId="0" borderId="3" xfId="0" applyNumberFormat="1" applyFont="1" applyBorder="1"/>
    <xf numFmtId="16" fontId="8" fillId="6" borderId="3" xfId="0" applyNumberFormat="1" applyFont="1" applyFill="1" applyBorder="1"/>
    <xf numFmtId="16" fontId="8" fillId="4" borderId="3" xfId="0" applyNumberFormat="1" applyFont="1" applyFill="1" applyBorder="1"/>
    <xf numFmtId="16" fontId="8" fillId="7" borderId="3" xfId="0" applyNumberFormat="1" applyFont="1" applyFill="1" applyBorder="1"/>
    <xf numFmtId="16" fontId="9" fillId="0" borderId="3" xfId="0" applyNumberFormat="1" applyFont="1" applyBorder="1"/>
    <xf numFmtId="164" fontId="9" fillId="0" borderId="3" xfId="0" applyNumberFormat="1" applyFont="1" applyBorder="1"/>
    <xf numFmtId="1" fontId="9" fillId="0" borderId="3" xfId="0" applyNumberFormat="1" applyFont="1" applyBorder="1"/>
    <xf numFmtId="0" fontId="9" fillId="0" borderId="0" xfId="0" applyFont="1"/>
    <xf numFmtId="0" fontId="8" fillId="19" borderId="3" xfId="0" applyFont="1" applyFill="1" applyBorder="1"/>
    <xf numFmtId="0" fontId="13" fillId="7" borderId="3" xfId="0" applyFont="1" applyFill="1" applyBorder="1"/>
    <xf numFmtId="14" fontId="13" fillId="7" borderId="3" xfId="0" applyNumberFormat="1" applyFont="1" applyFill="1" applyBorder="1"/>
    <xf numFmtId="1" fontId="13" fillId="7" borderId="3" xfId="0" applyNumberFormat="1" applyFont="1" applyFill="1" applyBorder="1"/>
    <xf numFmtId="0" fontId="13" fillId="7" borderId="0" xfId="0" applyFont="1" applyFill="1"/>
    <xf numFmtId="164" fontId="13" fillId="7" borderId="3" xfId="0" applyNumberFormat="1" applyFont="1" applyFill="1" applyBorder="1"/>
    <xf numFmtId="16" fontId="13" fillId="7" borderId="0" xfId="0" applyNumberFormat="1" applyFont="1" applyFill="1"/>
    <xf numFmtId="0" fontId="14" fillId="7" borderId="0" xfId="0" applyFont="1" applyFill="1"/>
    <xf numFmtId="164" fontId="13" fillId="7" borderId="3" xfId="2" applyFont="1" applyFill="1" applyBorder="1"/>
    <xf numFmtId="0" fontId="13" fillId="20" borderId="3" xfId="0" applyFont="1" applyFill="1" applyBorder="1"/>
    <xf numFmtId="164" fontId="13" fillId="20" borderId="3" xfId="2" applyFont="1" applyFill="1" applyBorder="1"/>
    <xf numFmtId="14" fontId="13" fillId="20" borderId="3" xfId="0" applyNumberFormat="1" applyFont="1" applyFill="1" applyBorder="1"/>
    <xf numFmtId="1" fontId="13" fillId="20" borderId="3" xfId="0" applyNumberFormat="1" applyFont="1" applyFill="1" applyBorder="1"/>
    <xf numFmtId="0" fontId="13" fillId="20" borderId="0" xfId="0" applyFont="1" applyFill="1"/>
    <xf numFmtId="16" fontId="13" fillId="20" borderId="3" xfId="0" applyNumberFormat="1" applyFont="1" applyFill="1" applyBorder="1"/>
    <xf numFmtId="164" fontId="13" fillId="20" borderId="3" xfId="0" applyNumberFormat="1" applyFont="1" applyFill="1" applyBorder="1"/>
    <xf numFmtId="16" fontId="13" fillId="20" borderId="0" xfId="0" applyNumberFormat="1" applyFont="1" applyFill="1"/>
    <xf numFmtId="0" fontId="15" fillId="0" borderId="3" xfId="0" applyFont="1" applyBorder="1"/>
    <xf numFmtId="0" fontId="0" fillId="10" borderId="3" xfId="0" applyFill="1" applyBorder="1"/>
    <xf numFmtId="164" fontId="0" fillId="10" borderId="3" xfId="0" applyNumberFormat="1" applyFill="1" applyBorder="1"/>
    <xf numFmtId="164" fontId="6" fillId="10" borderId="3" xfId="2" applyFont="1" applyFill="1" applyBorder="1"/>
    <xf numFmtId="14" fontId="0" fillId="10" borderId="3" xfId="0" applyNumberFormat="1" applyFill="1" applyBorder="1"/>
    <xf numFmtId="0" fontId="0" fillId="10" borderId="0" xfId="0" applyFill="1"/>
    <xf numFmtId="16" fontId="0" fillId="13" borderId="3" xfId="0" applyNumberFormat="1" applyFill="1" applyBorder="1"/>
    <xf numFmtId="0" fontId="11" fillId="7" borderId="3" xfId="0" applyFont="1" applyFill="1" applyBorder="1"/>
    <xf numFmtId="164" fontId="11" fillId="7" borderId="3" xfId="2" applyFont="1" applyFill="1" applyBorder="1"/>
    <xf numFmtId="164" fontId="11" fillId="0" borderId="3" xfId="0" applyNumberFormat="1" applyFont="1" applyBorder="1"/>
    <xf numFmtId="14" fontId="11" fillId="7" borderId="3" xfId="0" applyNumberFormat="1" applyFont="1" applyFill="1" applyBorder="1"/>
    <xf numFmtId="16" fontId="15" fillId="0" borderId="3" xfId="0" applyNumberFormat="1" applyFont="1" applyBorder="1"/>
    <xf numFmtId="16" fontId="0" fillId="7" borderId="5" xfId="0" applyNumberFormat="1" applyFill="1" applyBorder="1"/>
    <xf numFmtId="164" fontId="0" fillId="7" borderId="5" xfId="0" applyNumberFormat="1" applyFill="1" applyBorder="1"/>
    <xf numFmtId="0" fontId="11" fillId="6" borderId="0" xfId="0" applyFont="1" applyFill="1"/>
    <xf numFmtId="0" fontId="15" fillId="6" borderId="3" xfId="0" applyFont="1" applyFill="1" applyBorder="1"/>
    <xf numFmtId="0" fontId="0" fillId="0" borderId="18" xfId="0" applyBorder="1"/>
    <xf numFmtId="164" fontId="0" fillId="0" borderId="18" xfId="0" applyNumberFormat="1" applyBorder="1"/>
    <xf numFmtId="164" fontId="6" fillId="7" borderId="18" xfId="2" applyFont="1" applyFill="1" applyBorder="1"/>
    <xf numFmtId="14" fontId="0" fillId="7" borderId="18" xfId="0" applyNumberFormat="1" applyFill="1" applyBorder="1"/>
    <xf numFmtId="164" fontId="0" fillId="0" borderId="5" xfId="0" applyNumberFormat="1" applyBorder="1"/>
    <xf numFmtId="164" fontId="6" fillId="7" borderId="5" xfId="2" applyFont="1" applyFill="1" applyBorder="1"/>
    <xf numFmtId="14" fontId="0" fillId="7" borderId="5" xfId="0" applyNumberFormat="1" applyFill="1" applyBorder="1"/>
    <xf numFmtId="16" fontId="0" fillId="10" borderId="3" xfId="0" applyNumberFormat="1" applyFill="1" applyBorder="1"/>
    <xf numFmtId="14" fontId="0" fillId="0" borderId="18" xfId="0" applyNumberFormat="1" applyBorder="1"/>
    <xf numFmtId="16" fontId="13" fillId="7" borderId="3" xfId="0" applyNumberFormat="1" applyFont="1" applyFill="1" applyBorder="1"/>
    <xf numFmtId="0" fontId="15" fillId="7" borderId="18" xfId="0" applyFont="1" applyFill="1" applyBorder="1"/>
    <xf numFmtId="0" fontId="15" fillId="7" borderId="3" xfId="0" applyFont="1" applyFill="1" applyBorder="1"/>
    <xf numFmtId="0" fontId="0" fillId="8" borderId="3" xfId="0" applyFill="1" applyBorder="1"/>
    <xf numFmtId="0" fontId="11" fillId="6" borderId="3" xfId="0" applyFont="1" applyFill="1" applyBorder="1"/>
    <xf numFmtId="0" fontId="6" fillId="0" borderId="3" xfId="0" applyFont="1" applyBorder="1"/>
    <xf numFmtId="16" fontId="11" fillId="6" borderId="3" xfId="0" applyNumberFormat="1" applyFont="1" applyFill="1" applyBorder="1"/>
    <xf numFmtId="164" fontId="11" fillId="6" borderId="3" xfId="0" applyNumberFormat="1" applyFont="1" applyFill="1" applyBorder="1"/>
    <xf numFmtId="14" fontId="11" fillId="6" borderId="3" xfId="0" applyNumberFormat="1" applyFont="1" applyFill="1" applyBorder="1"/>
    <xf numFmtId="164" fontId="0" fillId="7" borderId="18" xfId="0" applyNumberFormat="1" applyFill="1" applyBorder="1"/>
    <xf numFmtId="0" fontId="0" fillId="21" borderId="3" xfId="0" applyFill="1" applyBorder="1"/>
    <xf numFmtId="0" fontId="0" fillId="21" borderId="0" xfId="0" applyFill="1"/>
    <xf numFmtId="14" fontId="6" fillId="21" borderId="3" xfId="0" applyNumberFormat="1" applyFont="1" applyFill="1" applyBorder="1"/>
    <xf numFmtId="16" fontId="0" fillId="21" borderId="3" xfId="0" applyNumberFormat="1" applyFill="1" applyBorder="1"/>
    <xf numFmtId="164" fontId="0" fillId="21" borderId="3" xfId="0" applyNumberFormat="1" applyFill="1" applyBorder="1"/>
    <xf numFmtId="14" fontId="0" fillId="21" borderId="3" xfId="0" applyNumberFormat="1" applyFill="1" applyBorder="1"/>
    <xf numFmtId="17" fontId="15" fillId="7" borderId="18" xfId="0" applyNumberFormat="1" applyFont="1" applyFill="1" applyBorder="1"/>
    <xf numFmtId="16" fontId="15" fillId="6" borderId="3" xfId="0" applyNumberFormat="1" applyFont="1" applyFill="1" applyBorder="1"/>
    <xf numFmtId="16" fontId="15" fillId="7" borderId="3" xfId="0" applyNumberFormat="1" applyFont="1" applyFill="1" applyBorder="1"/>
    <xf numFmtId="164" fontId="0" fillId="8" borderId="3" xfId="0" applyNumberFormat="1" applyFill="1" applyBorder="1"/>
    <xf numFmtId="14" fontId="0" fillId="8" borderId="3" xfId="0" applyNumberFormat="1" applyFill="1" applyBorder="1"/>
    <xf numFmtId="0" fontId="0" fillId="0" borderId="17" xfId="0" applyBorder="1"/>
    <xf numFmtId="164" fontId="0" fillId="0" borderId="3" xfId="2" applyFont="1" applyBorder="1"/>
    <xf numFmtId="164" fontId="6" fillId="0" borderId="3" xfId="2" applyFont="1" applyBorder="1"/>
    <xf numFmtId="164" fontId="0" fillId="4" borderId="3" xfId="2" applyFont="1" applyFill="1" applyBorder="1"/>
    <xf numFmtId="164" fontId="0" fillId="6" borderId="3" xfId="2" applyFont="1" applyFill="1" applyBorder="1"/>
    <xf numFmtId="164" fontId="11" fillId="6" borderId="3" xfId="2" applyFont="1" applyFill="1" applyBorder="1"/>
    <xf numFmtId="0" fontId="16" fillId="0" borderId="0" xfId="0" applyFont="1"/>
    <xf numFmtId="1" fontId="0" fillId="7" borderId="3" xfId="0" applyNumberFormat="1" applyFill="1" applyBorder="1"/>
    <xf numFmtId="16" fontId="0" fillId="7" borderId="0" xfId="0" applyNumberFormat="1" applyFill="1"/>
    <xf numFmtId="1" fontId="0" fillId="0" borderId="3" xfId="0" applyNumberFormat="1" applyBorder="1"/>
    <xf numFmtId="14" fontId="6" fillId="0" borderId="3" xfId="0" applyNumberFormat="1" applyFont="1" applyBorder="1"/>
    <xf numFmtId="16" fontId="0" fillId="0" borderId="0" xfId="0" applyNumberFormat="1"/>
    <xf numFmtId="1" fontId="0" fillId="4" borderId="3" xfId="0" applyNumberFormat="1" applyFill="1" applyBorder="1"/>
    <xf numFmtId="164" fontId="17" fillId="0" borderId="3" xfId="2" applyFont="1" applyBorder="1"/>
    <xf numFmtId="1" fontId="0" fillId="6" borderId="3" xfId="0" applyNumberFormat="1" applyFill="1" applyBorder="1"/>
    <xf numFmtId="0" fontId="6" fillId="7" borderId="3" xfId="0" applyFont="1" applyFill="1" applyBorder="1"/>
    <xf numFmtId="164" fontId="6" fillId="7" borderId="3" xfId="0" applyNumberFormat="1" applyFont="1" applyFill="1" applyBorder="1"/>
    <xf numFmtId="1" fontId="6" fillId="7" borderId="3" xfId="0" applyNumberFormat="1" applyFont="1" applyFill="1" applyBorder="1"/>
    <xf numFmtId="0" fontId="0" fillId="9" borderId="3" xfId="0" applyFill="1" applyBorder="1"/>
    <xf numFmtId="164" fontId="0" fillId="9" borderId="3" xfId="0" applyNumberFormat="1" applyFill="1" applyBorder="1"/>
    <xf numFmtId="164" fontId="6" fillId="9" borderId="3" xfId="2" applyFont="1" applyFill="1" applyBorder="1"/>
    <xf numFmtId="14" fontId="0" fillId="9" borderId="3" xfId="0" applyNumberFormat="1" applyFill="1" applyBorder="1"/>
    <xf numFmtId="1" fontId="0" fillId="9" borderId="3" xfId="0" applyNumberFormat="1" applyFill="1" applyBorder="1"/>
    <xf numFmtId="14" fontId="6" fillId="9" borderId="3" xfId="0" applyNumberFormat="1" applyFont="1" applyFill="1" applyBorder="1"/>
    <xf numFmtId="16" fontId="6" fillId="0" borderId="3" xfId="0" applyNumberFormat="1" applyFont="1" applyBorder="1"/>
    <xf numFmtId="164" fontId="6" fillId="0" borderId="3" xfId="0" applyNumberFormat="1" applyFont="1" applyBorder="1"/>
    <xf numFmtId="1" fontId="6" fillId="0" borderId="3" xfId="0" applyNumberFormat="1" applyFont="1" applyBorder="1"/>
    <xf numFmtId="167" fontId="0" fillId="0" borderId="3" xfId="0" applyNumberFormat="1" applyBorder="1"/>
    <xf numFmtId="0" fontId="0" fillId="15" borderId="3" xfId="0" applyFill="1" applyBorder="1"/>
    <xf numFmtId="1" fontId="11" fillId="6" borderId="3" xfId="0" applyNumberFormat="1" applyFont="1" applyFill="1" applyBorder="1"/>
    <xf numFmtId="14" fontId="6" fillId="13" borderId="3" xfId="0" applyNumberFormat="1" applyFont="1" applyFill="1" applyBorder="1"/>
    <xf numFmtId="0" fontId="0" fillId="7" borderId="18" xfId="0" applyFill="1" applyBorder="1"/>
    <xf numFmtId="14" fontId="6" fillId="7" borderId="18" xfId="0" applyNumberFormat="1" applyFont="1" applyFill="1" applyBorder="1"/>
    <xf numFmtId="0" fontId="0" fillId="18" borderId="3" xfId="0" applyFill="1" applyBorder="1"/>
    <xf numFmtId="16" fontId="0" fillId="18" borderId="3" xfId="0" applyNumberFormat="1" applyFill="1" applyBorder="1"/>
    <xf numFmtId="164" fontId="0" fillId="18" borderId="3" xfId="0" applyNumberFormat="1" applyFill="1" applyBorder="1"/>
    <xf numFmtId="14" fontId="0" fillId="18" borderId="3" xfId="0" applyNumberFormat="1" applyFill="1" applyBorder="1"/>
    <xf numFmtId="14" fontId="6" fillId="18" borderId="3" xfId="0" applyNumberFormat="1" applyFont="1" applyFill="1" applyBorder="1"/>
    <xf numFmtId="14" fontId="6" fillId="8" borderId="3" xfId="0" applyNumberFormat="1" applyFont="1" applyFill="1" applyBorder="1"/>
    <xf numFmtId="167" fontId="0" fillId="7" borderId="3" xfId="0" applyNumberFormat="1" applyFill="1" applyBorder="1"/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2" borderId="3" xfId="0" applyFont="1" applyFill="1" applyBorder="1" applyAlignment="1">
      <alignment horizontal="center" vertical="center"/>
    </xf>
    <xf numFmtId="168" fontId="0" fillId="0" borderId="3" xfId="0" applyNumberFormat="1" applyBorder="1" applyAlignment="1">
      <alignment horizontal="center"/>
    </xf>
    <xf numFmtId="0" fontId="0" fillId="7" borderId="3" xfId="0" applyFill="1" applyBorder="1" applyAlignment="1">
      <alignment horizontal="center" vertical="center"/>
    </xf>
    <xf numFmtId="14" fontId="0" fillId="7" borderId="3" xfId="0" applyNumberForma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" fontId="0" fillId="0" borderId="3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6" fillId="7" borderId="3" xfId="2" applyFont="1" applyFill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8" fontId="0" fillId="7" borderId="3" xfId="0" applyNumberFormat="1" applyFill="1" applyBorder="1" applyAlignment="1">
      <alignment horizontal="center"/>
    </xf>
    <xf numFmtId="168" fontId="0" fillId="0" borderId="3" xfId="0" applyNumberFormat="1" applyBorder="1" applyAlignment="1">
      <alignment horizontal="center" vertical="center"/>
    </xf>
    <xf numFmtId="168" fontId="0" fillId="7" borderId="3" xfId="0" applyNumberForma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7" borderId="3" xfId="0" applyFill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6" fillId="7" borderId="3" xfId="2" applyFont="1" applyFill="1" applyBorder="1" applyAlignment="1">
      <alignment horizontal="center"/>
    </xf>
    <xf numFmtId="14" fontId="0" fillId="7" borderId="3" xfId="0" applyNumberFormat="1" applyFill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9" borderId="3" xfId="0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23" borderId="1" xfId="0" applyFont="1" applyFill="1" applyBorder="1" applyAlignment="1">
      <alignment horizontal="center"/>
    </xf>
    <xf numFmtId="0" fontId="0" fillId="23" borderId="1" xfId="0" applyFill="1" applyBorder="1"/>
    <xf numFmtId="0" fontId="20" fillId="7" borderId="3" xfId="0" applyFont="1" applyFill="1" applyBorder="1" applyAlignment="1">
      <alignment horizontal="center"/>
    </xf>
    <xf numFmtId="0" fontId="21" fillId="7" borderId="3" xfId="0" applyFont="1" applyFill="1" applyBorder="1" applyAlignment="1">
      <alignment horizontal="center"/>
    </xf>
    <xf numFmtId="0" fontId="0" fillId="24" borderId="3" xfId="0" applyFill="1" applyBorder="1" applyAlignment="1">
      <alignment horizontal="center" vertical="center"/>
    </xf>
    <xf numFmtId="14" fontId="0" fillId="24" borderId="3" xfId="0" applyNumberFormat="1" applyFill="1" applyBorder="1" applyAlignment="1">
      <alignment horizontal="center" vertical="center"/>
    </xf>
    <xf numFmtId="168" fontId="0" fillId="24" borderId="3" xfId="0" applyNumberFormat="1" applyFill="1" applyBorder="1" applyAlignment="1">
      <alignment horizontal="center"/>
    </xf>
    <xf numFmtId="164" fontId="0" fillId="24" borderId="3" xfId="0" applyNumberFormat="1" applyFill="1" applyBorder="1" applyAlignment="1">
      <alignment horizontal="center" vertical="center"/>
    </xf>
    <xf numFmtId="164" fontId="6" fillId="24" borderId="3" xfId="2" applyFont="1" applyFill="1" applyBorder="1" applyAlignment="1">
      <alignment horizontal="center" vertical="center"/>
    </xf>
    <xf numFmtId="0" fontId="0" fillId="24" borderId="3" xfId="0" applyFill="1" applyBorder="1" applyAlignment="1">
      <alignment horizontal="center"/>
    </xf>
    <xf numFmtId="0" fontId="0" fillId="24" borderId="0" xfId="0" applyFill="1"/>
    <xf numFmtId="168" fontId="0" fillId="24" borderId="3" xfId="0" applyNumberFormat="1" applyFill="1" applyBorder="1" applyAlignment="1">
      <alignment horizontal="center" vertical="center"/>
    </xf>
    <xf numFmtId="14" fontId="0" fillId="24" borderId="3" xfId="0" applyNumberFormat="1" applyFill="1" applyBorder="1" applyAlignment="1">
      <alignment horizontal="center"/>
    </xf>
    <xf numFmtId="164" fontId="0" fillId="24" borderId="3" xfId="0" applyNumberFormat="1" applyFill="1" applyBorder="1" applyAlignment="1">
      <alignment horizontal="center"/>
    </xf>
    <xf numFmtId="164" fontId="6" fillId="24" borderId="3" xfId="2" applyFont="1" applyFill="1" applyBorder="1" applyAlignment="1">
      <alignment horizontal="center"/>
    </xf>
    <xf numFmtId="164" fontId="0" fillId="24" borderId="3" xfId="0" applyNumberFormat="1" applyFill="1" applyBorder="1"/>
    <xf numFmtId="164" fontId="6" fillId="24" borderId="3" xfId="2" applyFont="1" applyFill="1" applyBorder="1"/>
    <xf numFmtId="14" fontId="0" fillId="24" borderId="3" xfId="0" applyNumberFormat="1" applyFill="1" applyBorder="1"/>
    <xf numFmtId="0" fontId="0" fillId="24" borderId="3" xfId="0" applyFill="1" applyBorder="1"/>
    <xf numFmtId="16" fontId="0" fillId="0" borderId="3" xfId="0" applyNumberFormat="1" applyBorder="1" applyAlignment="1">
      <alignment horizontal="center"/>
    </xf>
    <xf numFmtId="0" fontId="0" fillId="25" borderId="3" xfId="0" applyFill="1" applyBorder="1" applyAlignment="1">
      <alignment horizontal="center" vertical="center"/>
    </xf>
    <xf numFmtId="14" fontId="0" fillId="25" borderId="3" xfId="0" applyNumberFormat="1" applyFill="1" applyBorder="1" applyAlignment="1">
      <alignment horizontal="center" vertical="center"/>
    </xf>
    <xf numFmtId="168" fontId="0" fillId="25" borderId="3" xfId="0" applyNumberFormat="1" applyFill="1" applyBorder="1" applyAlignment="1">
      <alignment horizontal="center" vertical="center"/>
    </xf>
    <xf numFmtId="0" fontId="0" fillId="25" borderId="3" xfId="0" applyFill="1" applyBorder="1" applyAlignment="1">
      <alignment horizontal="center"/>
    </xf>
    <xf numFmtId="0" fontId="0" fillId="25" borderId="0" xfId="0" applyFill="1"/>
    <xf numFmtId="14" fontId="0" fillId="25" borderId="3" xfId="0" applyNumberFormat="1" applyFill="1" applyBorder="1"/>
    <xf numFmtId="14" fontId="0" fillId="25" borderId="3" xfId="0" applyNumberFormat="1" applyFill="1" applyBorder="1" applyAlignment="1">
      <alignment horizontal="center"/>
    </xf>
    <xf numFmtId="164" fontId="0" fillId="25" borderId="3" xfId="0" applyNumberFormat="1" applyFill="1" applyBorder="1"/>
    <xf numFmtId="164" fontId="6" fillId="25" borderId="3" xfId="2" applyFont="1" applyFill="1" applyBorder="1"/>
    <xf numFmtId="0" fontId="0" fillId="25" borderId="3" xfId="0" applyFill="1" applyBorder="1"/>
    <xf numFmtId="0" fontId="0" fillId="6" borderId="3" xfId="0" applyFill="1" applyBorder="1" applyAlignment="1">
      <alignment horizontal="center" vertical="center"/>
    </xf>
    <xf numFmtId="14" fontId="0" fillId="6" borderId="3" xfId="0" applyNumberFormat="1" applyFill="1" applyBorder="1" applyAlignment="1">
      <alignment horizontal="center" vertical="center"/>
    </xf>
    <xf numFmtId="168" fontId="0" fillId="6" borderId="3" xfId="0" applyNumberFormat="1" applyFill="1" applyBorder="1" applyAlignment="1">
      <alignment horizontal="center"/>
    </xf>
    <xf numFmtId="164" fontId="0" fillId="6" borderId="3" xfId="0" applyNumberFormat="1" applyFill="1" applyBorder="1" applyAlignment="1">
      <alignment horizontal="center" vertical="center"/>
    </xf>
    <xf numFmtId="164" fontId="6" fillId="6" borderId="3" xfId="2" applyFont="1" applyFill="1" applyBorder="1" applyAlignment="1">
      <alignment horizontal="center" vertical="center"/>
    </xf>
    <xf numFmtId="0" fontId="0" fillId="8" borderId="3" xfId="0" applyFill="1" applyBorder="1" applyAlignment="1">
      <alignment horizontal="center"/>
    </xf>
    <xf numFmtId="0" fontId="3" fillId="2" borderId="19" xfId="0" applyFont="1" applyFill="1" applyBorder="1" applyAlignment="1">
      <alignment horizontal="center" vertical="center"/>
    </xf>
    <xf numFmtId="0" fontId="0" fillId="26" borderId="3" xfId="0" applyFill="1" applyBorder="1" applyAlignment="1">
      <alignment horizontal="center"/>
    </xf>
    <xf numFmtId="0" fontId="0" fillId="26" borderId="3" xfId="0" applyFill="1" applyBorder="1" applyAlignment="1">
      <alignment horizontal="center" vertical="center"/>
    </xf>
    <xf numFmtId="14" fontId="0" fillId="26" borderId="3" xfId="0" applyNumberFormat="1" applyFill="1" applyBorder="1"/>
    <xf numFmtId="168" fontId="0" fillId="26" borderId="3" xfId="0" applyNumberFormat="1" applyFill="1" applyBorder="1" applyAlignment="1">
      <alignment horizontal="center"/>
    </xf>
    <xf numFmtId="164" fontId="0" fillId="26" borderId="3" xfId="0" applyNumberFormat="1" applyFill="1" applyBorder="1"/>
    <xf numFmtId="164" fontId="6" fillId="26" borderId="3" xfId="2" applyFont="1" applyFill="1" applyBorder="1"/>
    <xf numFmtId="0" fontId="0" fillId="26" borderId="3" xfId="0" applyFill="1" applyBorder="1"/>
    <xf numFmtId="0" fontId="0" fillId="26" borderId="0" xfId="0" applyFill="1"/>
    <xf numFmtId="0" fontId="0" fillId="26" borderId="17" xfId="0" applyFill="1" applyBorder="1" applyAlignment="1">
      <alignment horizontal="center"/>
    </xf>
    <xf numFmtId="14" fontId="0" fillId="26" borderId="3" xfId="0" applyNumberFormat="1" applyFill="1" applyBorder="1" applyAlignment="1">
      <alignment horizontal="center"/>
    </xf>
    <xf numFmtId="164" fontId="0" fillId="26" borderId="3" xfId="0" applyNumberFormat="1" applyFill="1" applyBorder="1" applyAlignment="1">
      <alignment horizontal="center"/>
    </xf>
    <xf numFmtId="164" fontId="6" fillId="26" borderId="3" xfId="2" applyFont="1" applyFill="1" applyBorder="1" applyAlignment="1">
      <alignment horizontal="center"/>
    </xf>
    <xf numFmtId="14" fontId="0" fillId="27" borderId="3" xfId="0" applyNumberFormat="1" applyFill="1" applyBorder="1"/>
    <xf numFmtId="0" fontId="0" fillId="7" borderId="17" xfId="0" applyFill="1" applyBorder="1" applyAlignment="1">
      <alignment horizontal="center"/>
    </xf>
    <xf numFmtId="168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28" borderId="3" xfId="0" applyFill="1" applyBorder="1" applyAlignment="1">
      <alignment horizontal="center"/>
    </xf>
    <xf numFmtId="0" fontId="22" fillId="24" borderId="3" xfId="0" applyFont="1" applyFill="1" applyBorder="1" applyAlignment="1">
      <alignment horizontal="center"/>
    </xf>
    <xf numFmtId="0" fontId="23" fillId="7" borderId="3" xfId="0" applyFont="1" applyFill="1" applyBorder="1" applyAlignment="1">
      <alignment horizontal="center"/>
    </xf>
    <xf numFmtId="14" fontId="0" fillId="29" borderId="3" xfId="0" applyNumberFormat="1" applyFill="1" applyBorder="1"/>
    <xf numFmtId="14" fontId="0" fillId="30" borderId="3" xfId="0" applyNumberFormat="1" applyFill="1" applyBorder="1" applyAlignment="1">
      <alignment horizontal="center"/>
    </xf>
    <xf numFmtId="164" fontId="0" fillId="7" borderId="3" xfId="0" applyNumberFormat="1" applyFill="1" applyBorder="1" applyAlignment="1">
      <alignment horizontal="center" vertical="center"/>
    </xf>
    <xf numFmtId="0" fontId="0" fillId="27" borderId="3" xfId="0" applyFill="1" applyBorder="1" applyAlignment="1">
      <alignment horizontal="center" vertical="center"/>
    </xf>
    <xf numFmtId="0" fontId="0" fillId="27" borderId="3" xfId="0" applyFill="1" applyBorder="1" applyAlignment="1">
      <alignment horizontal="center"/>
    </xf>
    <xf numFmtId="168" fontId="0" fillId="27" borderId="3" xfId="0" applyNumberFormat="1" applyFill="1" applyBorder="1" applyAlignment="1">
      <alignment horizontal="center"/>
    </xf>
    <xf numFmtId="164" fontId="0" fillId="27" borderId="3" xfId="0" applyNumberFormat="1" applyFill="1" applyBorder="1"/>
    <xf numFmtId="164" fontId="6" fillId="27" borderId="3" xfId="2" applyFont="1" applyFill="1" applyBorder="1"/>
    <xf numFmtId="0" fontId="0" fillId="27" borderId="3" xfId="0" applyFill="1" applyBorder="1"/>
    <xf numFmtId="0" fontId="0" fillId="27" borderId="0" xfId="0" applyFill="1"/>
    <xf numFmtId="168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center" vertical="center"/>
    </xf>
    <xf numFmtId="168" fontId="0" fillId="8" borderId="3" xfId="0" applyNumberFormat="1" applyFill="1" applyBorder="1" applyAlignment="1">
      <alignment horizontal="center"/>
    </xf>
    <xf numFmtId="164" fontId="6" fillId="8" borderId="3" xfId="2" applyFont="1" applyFill="1" applyBorder="1"/>
    <xf numFmtId="0" fontId="0" fillId="0" borderId="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29" borderId="3" xfId="0" applyFill="1" applyBorder="1" applyAlignment="1">
      <alignment horizontal="center"/>
    </xf>
    <xf numFmtId="0" fontId="0" fillId="18" borderId="3" xfId="0" applyFill="1" applyBorder="1" applyAlignment="1">
      <alignment horizontal="center" vertical="center"/>
    </xf>
    <xf numFmtId="0" fontId="0" fillId="18" borderId="3" xfId="0" applyFill="1" applyBorder="1" applyAlignment="1">
      <alignment horizontal="center"/>
    </xf>
    <xf numFmtId="168" fontId="0" fillId="18" borderId="3" xfId="0" applyNumberFormat="1" applyFill="1" applyBorder="1" applyAlignment="1">
      <alignment horizontal="center"/>
    </xf>
    <xf numFmtId="164" fontId="6" fillId="18" borderId="3" xfId="2" applyFont="1" applyFill="1" applyBorder="1"/>
    <xf numFmtId="0" fontId="24" fillId="7" borderId="20" xfId="0" applyFont="1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24" fillId="24" borderId="20" xfId="0" applyFont="1" applyFill="1" applyBorder="1" applyAlignment="1">
      <alignment horizontal="center" vertical="center"/>
    </xf>
    <xf numFmtId="0" fontId="0" fillId="24" borderId="21" xfId="0" applyFill="1" applyBorder="1" applyAlignment="1">
      <alignment horizontal="center" vertical="center"/>
    </xf>
    <xf numFmtId="0" fontId="25" fillId="7" borderId="3" xfId="0" applyFont="1" applyFill="1" applyBorder="1" applyAlignment="1">
      <alignment horizontal="center"/>
    </xf>
    <xf numFmtId="14" fontId="0" fillId="29" borderId="3" xfId="0" applyNumberFormat="1" applyFill="1" applyBorder="1" applyAlignment="1">
      <alignment horizontal="center"/>
    </xf>
    <xf numFmtId="14" fontId="0" fillId="6" borderId="3" xfId="0" applyNumberFormat="1" applyFill="1" applyBorder="1" applyAlignment="1">
      <alignment horizontal="center"/>
    </xf>
    <xf numFmtId="164" fontId="0" fillId="6" borderId="3" xfId="0" applyNumberFormat="1" applyFill="1" applyBorder="1" applyAlignment="1">
      <alignment horizontal="center"/>
    </xf>
    <xf numFmtId="164" fontId="6" fillId="6" borderId="3" xfId="2" applyFont="1" applyFill="1" applyBorder="1" applyAlignment="1">
      <alignment horizontal="center"/>
    </xf>
    <xf numFmtId="14" fontId="0" fillId="29" borderId="3" xfId="0" applyNumberFormat="1" applyFill="1" applyBorder="1" applyAlignment="1">
      <alignment horizontal="center" vertical="center"/>
    </xf>
    <xf numFmtId="14" fontId="0" fillId="27" borderId="3" xfId="0" applyNumberFormat="1" applyFill="1" applyBorder="1" applyAlignment="1">
      <alignment horizontal="center" vertical="center"/>
    </xf>
    <xf numFmtId="14" fontId="0" fillId="31" borderId="3" xfId="0" applyNumberFormat="1" applyFill="1" applyBorder="1" applyAlignment="1">
      <alignment horizontal="center" vertical="center"/>
    </xf>
    <xf numFmtId="14" fontId="0" fillId="27" borderId="3" xfId="0" applyNumberFormat="1" applyFill="1" applyBorder="1" applyAlignment="1">
      <alignment horizontal="center"/>
    </xf>
    <xf numFmtId="14" fontId="0" fillId="27" borderId="0" xfId="0" applyNumberFormat="1" applyFill="1" applyAlignment="1">
      <alignment horizontal="center"/>
    </xf>
    <xf numFmtId="0" fontId="0" fillId="20" borderId="3" xfId="0" applyFill="1" applyBorder="1" applyAlignment="1">
      <alignment horizontal="center" vertical="center"/>
    </xf>
    <xf numFmtId="14" fontId="0" fillId="20" borderId="3" xfId="0" applyNumberFormat="1" applyFill="1" applyBorder="1"/>
    <xf numFmtId="0" fontId="0" fillId="20" borderId="3" xfId="0" applyFill="1" applyBorder="1" applyAlignment="1">
      <alignment horizontal="center"/>
    </xf>
    <xf numFmtId="168" fontId="0" fillId="20" borderId="3" xfId="0" applyNumberFormat="1" applyFill="1" applyBorder="1" applyAlignment="1">
      <alignment horizontal="center"/>
    </xf>
    <xf numFmtId="164" fontId="0" fillId="20" borderId="3" xfId="0" applyNumberFormat="1" applyFill="1" applyBorder="1"/>
    <xf numFmtId="164" fontId="6" fillId="20" borderId="3" xfId="2" applyFont="1" applyFill="1" applyBorder="1"/>
    <xf numFmtId="0" fontId="0" fillId="20" borderId="3" xfId="0" applyFill="1" applyBorder="1"/>
    <xf numFmtId="0" fontId="0" fillId="20" borderId="0" xfId="0" applyFill="1"/>
    <xf numFmtId="0" fontId="26" fillId="7" borderId="3" xfId="0" applyFont="1" applyFill="1" applyBorder="1" applyAlignment="1">
      <alignment horizontal="center" vertical="center"/>
    </xf>
    <xf numFmtId="0" fontId="26" fillId="7" borderId="18" xfId="0" applyFont="1" applyFill="1" applyBorder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14" fontId="0" fillId="32" borderId="3" xfId="0" applyNumberFormat="1" applyFill="1" applyBorder="1"/>
    <xf numFmtId="164" fontId="6" fillId="7" borderId="18" xfId="2" applyFont="1" applyFill="1" applyBorder="1" applyAlignment="1">
      <alignment wrapText="1"/>
    </xf>
    <xf numFmtId="164" fontId="6" fillId="7" borderId="5" xfId="2" applyFont="1" applyFill="1" applyBorder="1" applyAlignment="1">
      <alignment wrapText="1"/>
    </xf>
    <xf numFmtId="164" fontId="6" fillId="7" borderId="18" xfId="2" applyFont="1" applyFill="1" applyBorder="1" applyAlignment="1">
      <alignment wrapText="1"/>
    </xf>
    <xf numFmtId="164" fontId="6" fillId="7" borderId="5" xfId="2" applyFont="1" applyFill="1" applyBorder="1" applyAlignment="1">
      <alignment wrapText="1"/>
    </xf>
    <xf numFmtId="0" fontId="3" fillId="3" borderId="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9" fillId="23" borderId="0" xfId="0" applyFont="1" applyFill="1" applyAlignment="1">
      <alignment horizontal="left" indent="79"/>
    </xf>
    <xf numFmtId="0" fontId="4" fillId="0" borderId="1" xfId="0" applyFont="1" applyBorder="1" applyAlignment="1">
      <alignment horizontal="center"/>
    </xf>
    <xf numFmtId="0" fontId="12" fillId="17" borderId="9" xfId="0" applyFont="1" applyFill="1" applyBorder="1" applyAlignment="1">
      <alignment horizontal="center" vertical="center"/>
    </xf>
    <xf numFmtId="0" fontId="4" fillId="17" borderId="10" xfId="0" applyFont="1" applyFill="1" applyBorder="1" applyAlignment="1">
      <alignment horizontal="center" vertical="center"/>
    </xf>
    <xf numFmtId="0" fontId="4" fillId="17" borderId="11" xfId="0" applyFont="1" applyFill="1" applyBorder="1" applyAlignment="1">
      <alignment horizontal="center" vertical="center"/>
    </xf>
    <xf numFmtId="0" fontId="4" fillId="17" borderId="12" xfId="0" applyFont="1" applyFill="1" applyBorder="1" applyAlignment="1">
      <alignment horizontal="center" vertical="center"/>
    </xf>
    <xf numFmtId="0" fontId="4" fillId="17" borderId="0" xfId="0" applyFont="1" applyFill="1" applyAlignment="1">
      <alignment horizontal="center" vertical="center"/>
    </xf>
    <xf numFmtId="0" fontId="4" fillId="17" borderId="13" xfId="0" applyFont="1" applyFill="1" applyBorder="1" applyAlignment="1">
      <alignment horizontal="center" vertical="center"/>
    </xf>
    <xf numFmtId="0" fontId="4" fillId="17" borderId="14" xfId="0" applyFont="1" applyFill="1" applyBorder="1" applyAlignment="1">
      <alignment horizontal="center" vertical="center"/>
    </xf>
    <xf numFmtId="0" fontId="4" fillId="17" borderId="15" xfId="0" applyFont="1" applyFill="1" applyBorder="1" applyAlignment="1">
      <alignment horizontal="center" vertical="center"/>
    </xf>
    <xf numFmtId="0" fontId="4" fillId="17" borderId="16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64" fontId="0" fillId="7" borderId="3" xfId="0" applyNumberFormat="1" applyFill="1" applyBorder="1" applyAlignment="1">
      <alignment horizontal="center"/>
    </xf>
    <xf numFmtId="0" fontId="27" fillId="7" borderId="3" xfId="0" applyFont="1" applyFill="1" applyBorder="1"/>
    <xf numFmtId="14" fontId="27" fillId="7" borderId="3" xfId="0" applyNumberFormat="1" applyFont="1" applyFill="1" applyBorder="1"/>
    <xf numFmtId="0" fontId="27" fillId="7" borderId="3" xfId="0" applyFont="1" applyFill="1" applyBorder="1" applyAlignment="1">
      <alignment horizontal="center"/>
    </xf>
    <xf numFmtId="168" fontId="27" fillId="7" borderId="3" xfId="0" applyNumberFormat="1" applyFont="1" applyFill="1" applyBorder="1" applyAlignment="1">
      <alignment horizontal="center"/>
    </xf>
    <xf numFmtId="164" fontId="27" fillId="7" borderId="3" xfId="0" applyNumberFormat="1" applyFont="1" applyFill="1" applyBorder="1"/>
    <xf numFmtId="164" fontId="27" fillId="7" borderId="3" xfId="2" applyFont="1" applyFill="1" applyBorder="1"/>
    <xf numFmtId="0" fontId="27" fillId="7" borderId="0" xfId="0" applyFont="1" applyFill="1"/>
  </cellXfs>
  <cellStyles count="3">
    <cellStyle name="Currency" xfId="2" builtinId="4"/>
    <cellStyle name="Hyperlink" xfId="1" builtinId="8"/>
    <cellStyle name="Normal" xfId="0" builtinId="0"/>
  </cellStyles>
  <dxfs count="20">
    <dxf>
      <font>
        <color rgb="FFC00000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FF0000"/>
      <color rgb="FFFFC7CE"/>
      <color rgb="FFFF3300"/>
      <color rgb="FF99FF66"/>
      <color rgb="FFFF6600"/>
      <color rgb="FFFF99FF"/>
      <color rgb="FF25ADAA"/>
      <color rgb="FF6600FF"/>
      <color rgb="FFFF3399"/>
      <color rgb="FFE40A1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xpirationreminder.net/?utm_source=leadpage&amp;utm_medium=excelleadpage&amp;utm_campaign=exceltemplateclubmembershipdatabase" TargetMode="External"/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xpirationreminder.net/?utm_source=leadpage&amp;utm_medium=excelleadpage&amp;utm_campaign=exceltemplateclubmembershipdatabase" TargetMode="Externa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xpirationreminder.net/?utm_source=leadpage&amp;utm_medium=excelleadpage&amp;utm_campaign=exceltemplateclubmembershipdatabase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742950</xdr:colOff>
      <xdr:row>2</xdr:row>
      <xdr:rowOff>123825</xdr:rowOff>
    </xdr:from>
    <xdr:to>
      <xdr:col>3</xdr:col>
      <xdr:colOff>1130427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6425" y="542925"/>
          <a:ext cx="387477" cy="0"/>
        </a:xfrm>
        <a:prstGeom prst="rect">
          <a:avLst/>
        </a:prstGeom>
      </xdr:spPr>
    </xdr:pic>
    <xdr:clientData/>
  </xdr:twoCellAnchor>
  <xdr:twoCellAnchor>
    <xdr:from>
      <xdr:col>4</xdr:col>
      <xdr:colOff>933449</xdr:colOff>
      <xdr:row>0</xdr:row>
      <xdr:rowOff>114298</xdr:rowOff>
    </xdr:from>
    <xdr:to>
      <xdr:col>5</xdr:col>
      <xdr:colOff>0</xdr:colOff>
      <xdr:row>3</xdr:row>
      <xdr:rowOff>38100</xdr:rowOff>
    </xdr:to>
    <xdr:sp macro="" textlink="">
      <xdr:nvSpPr>
        <xdr:cNvPr id="3" name="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3857624" y="114298"/>
          <a:ext cx="571501" cy="428627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800" b="1">
            <a:solidFill>
              <a:schemeClr val="bg1"/>
            </a:solidFill>
          </a:endParaRPr>
        </a:p>
        <a:p>
          <a:pPr algn="l"/>
          <a:r>
            <a:rPr lang="en-CA" sz="2000" b="1">
              <a:solidFill>
                <a:schemeClr val="bg1"/>
              </a:solidFill>
            </a:rPr>
            <a:t>Track</a:t>
          </a:r>
          <a:r>
            <a:rPr lang="en-CA" sz="2000" b="1" baseline="0">
              <a:solidFill>
                <a:schemeClr val="bg1"/>
              </a:solidFill>
            </a:rPr>
            <a:t> &amp; Notify</a:t>
          </a:r>
        </a:p>
        <a:p>
          <a:pPr algn="l"/>
          <a:r>
            <a:rPr lang="en-CA" sz="1100" baseline="0">
              <a:solidFill>
                <a:schemeClr val="bg1"/>
              </a:solidFill>
            </a:rPr>
            <a:t>Send reminders to contacts</a:t>
          </a:r>
          <a:endParaRPr lang="en-CA" sz="1100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933449</xdr:colOff>
      <xdr:row>0</xdr:row>
      <xdr:rowOff>114298</xdr:rowOff>
    </xdr:from>
    <xdr:to>
      <xdr:col>5</xdr:col>
      <xdr:colOff>0</xdr:colOff>
      <xdr:row>4</xdr:row>
      <xdr:rowOff>38100</xdr:rowOff>
    </xdr:to>
    <xdr:sp macro="" textlink="">
      <xdr:nvSpPr>
        <xdr:cNvPr id="4" name="Rectangl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857624" y="114298"/>
          <a:ext cx="571501" cy="428627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800" b="1">
            <a:solidFill>
              <a:schemeClr val="bg1"/>
            </a:solidFill>
          </a:endParaRPr>
        </a:p>
        <a:p>
          <a:pPr algn="l"/>
          <a:r>
            <a:rPr lang="en-CA" sz="2000" b="1">
              <a:solidFill>
                <a:schemeClr val="bg1"/>
              </a:solidFill>
            </a:rPr>
            <a:t>Track</a:t>
          </a:r>
          <a:r>
            <a:rPr lang="en-CA" sz="2000" b="1" baseline="0">
              <a:solidFill>
                <a:schemeClr val="bg1"/>
              </a:solidFill>
            </a:rPr>
            <a:t> &amp; Notify</a:t>
          </a:r>
        </a:p>
        <a:p>
          <a:pPr algn="l"/>
          <a:r>
            <a:rPr lang="en-CA" sz="1100" baseline="0">
              <a:solidFill>
                <a:schemeClr val="bg1"/>
              </a:solidFill>
            </a:rPr>
            <a:t>Send reminders to contacts</a:t>
          </a:r>
          <a:endParaRPr lang="en-CA" sz="1100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933449</xdr:colOff>
      <xdr:row>0</xdr:row>
      <xdr:rowOff>114298</xdr:rowOff>
    </xdr:from>
    <xdr:to>
      <xdr:col>5</xdr:col>
      <xdr:colOff>0</xdr:colOff>
      <xdr:row>4</xdr:row>
      <xdr:rowOff>38100</xdr:rowOff>
    </xdr:to>
    <xdr:sp macro="" textlink="">
      <xdr:nvSpPr>
        <xdr:cNvPr id="5" name="Rectangle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3857624" y="114298"/>
          <a:ext cx="571501" cy="428627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800" b="1">
            <a:solidFill>
              <a:schemeClr val="bg1"/>
            </a:solidFill>
          </a:endParaRPr>
        </a:p>
        <a:p>
          <a:pPr algn="l"/>
          <a:r>
            <a:rPr lang="en-CA" sz="2000" b="1">
              <a:solidFill>
                <a:schemeClr val="bg1"/>
              </a:solidFill>
            </a:rPr>
            <a:t>Track</a:t>
          </a:r>
          <a:r>
            <a:rPr lang="en-CA" sz="2000" b="1" baseline="0">
              <a:solidFill>
                <a:schemeClr val="bg1"/>
              </a:solidFill>
            </a:rPr>
            <a:t> &amp; Notify</a:t>
          </a:r>
        </a:p>
        <a:p>
          <a:pPr algn="l"/>
          <a:r>
            <a:rPr lang="en-CA" sz="1100" baseline="0">
              <a:solidFill>
                <a:schemeClr val="bg1"/>
              </a:solidFill>
            </a:rPr>
            <a:t>Send reminders to contacts</a:t>
          </a:r>
          <a:endParaRPr lang="en-CA" sz="1100">
            <a:solidFill>
              <a:schemeClr val="bg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933449</xdr:colOff>
      <xdr:row>0</xdr:row>
      <xdr:rowOff>114298</xdr:rowOff>
    </xdr:from>
    <xdr:to>
      <xdr:col>4</xdr:col>
      <xdr:colOff>933450</xdr:colOff>
      <xdr:row>4</xdr:row>
      <xdr:rowOff>38100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3248024" y="114298"/>
          <a:ext cx="933451" cy="409577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800" b="1">
            <a:solidFill>
              <a:schemeClr val="bg1"/>
            </a:solidFill>
          </a:endParaRPr>
        </a:p>
        <a:p>
          <a:pPr algn="l"/>
          <a:r>
            <a:rPr lang="en-CA" sz="2000" b="1">
              <a:solidFill>
                <a:schemeClr val="bg1"/>
              </a:solidFill>
            </a:rPr>
            <a:t>Track</a:t>
          </a:r>
          <a:r>
            <a:rPr lang="en-CA" sz="2000" b="1" baseline="0">
              <a:solidFill>
                <a:schemeClr val="bg1"/>
              </a:solidFill>
            </a:rPr>
            <a:t> &amp; Notify</a:t>
          </a:r>
        </a:p>
        <a:p>
          <a:pPr algn="l"/>
          <a:r>
            <a:rPr lang="en-CA" sz="1100" baseline="0">
              <a:solidFill>
                <a:schemeClr val="bg1"/>
              </a:solidFill>
            </a:rPr>
            <a:t>Send reminders to contacts</a:t>
          </a:r>
          <a:endParaRPr lang="en-CA" sz="1100">
            <a:solidFill>
              <a:schemeClr val="bg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933449</xdr:colOff>
      <xdr:row>0</xdr:row>
      <xdr:rowOff>114298</xdr:rowOff>
    </xdr:from>
    <xdr:to>
      <xdr:col>3</xdr:col>
      <xdr:colOff>933450</xdr:colOff>
      <xdr:row>4</xdr:row>
      <xdr:rowOff>38100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057650" y="114298"/>
          <a:ext cx="933450" cy="809627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800" b="1">
            <a:solidFill>
              <a:schemeClr val="bg1"/>
            </a:solidFill>
          </a:endParaRPr>
        </a:p>
        <a:p>
          <a:pPr algn="l"/>
          <a:r>
            <a:rPr lang="en-CA" sz="2000" b="1">
              <a:solidFill>
                <a:schemeClr val="bg1"/>
              </a:solidFill>
            </a:rPr>
            <a:t>Track</a:t>
          </a:r>
          <a:r>
            <a:rPr lang="en-CA" sz="2000" b="1" baseline="0">
              <a:solidFill>
                <a:schemeClr val="bg1"/>
              </a:solidFill>
            </a:rPr>
            <a:t> &amp; Notify</a:t>
          </a:r>
        </a:p>
        <a:p>
          <a:pPr algn="l"/>
          <a:r>
            <a:rPr lang="en-CA" sz="1100" baseline="0">
              <a:solidFill>
                <a:schemeClr val="bg1"/>
              </a:solidFill>
            </a:rPr>
            <a:t>Send reminders to contacts</a:t>
          </a:r>
          <a:endParaRPr lang="en-CA" sz="1100">
            <a:solidFill>
              <a:schemeClr val="bg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39"/>
  <sheetViews>
    <sheetView workbookViewId="0">
      <selection activeCell="A12" sqref="A12"/>
    </sheetView>
  </sheetViews>
  <sheetFormatPr defaultRowHeight="14.5" x14ac:dyDescent="0.35"/>
  <cols>
    <col min="1" max="1" width="26.1796875" customWidth="1"/>
    <col min="2" max="2" width="17.54296875" bestFit="1" customWidth="1"/>
    <col min="3" max="3" width="15.54296875" customWidth="1"/>
  </cols>
  <sheetData>
    <row r="2" spans="1:3" x14ac:dyDescent="0.35">
      <c r="A2" s="69" t="s">
        <v>16</v>
      </c>
      <c r="B2" s="93" t="s">
        <v>28</v>
      </c>
      <c r="C2" s="93" t="s">
        <v>66</v>
      </c>
    </row>
    <row r="3" spans="1:3" x14ac:dyDescent="0.35">
      <c r="A3" s="7" t="s">
        <v>50</v>
      </c>
      <c r="B3" s="7">
        <v>1</v>
      </c>
      <c r="C3" s="7">
        <f>30*B3</f>
        <v>30</v>
      </c>
    </row>
    <row r="4" spans="1:3" x14ac:dyDescent="0.35">
      <c r="A4" s="7" t="s">
        <v>18</v>
      </c>
      <c r="B4" s="7">
        <v>3</v>
      </c>
      <c r="C4" s="7">
        <f t="shared" ref="C4:C10" si="0">30*B4</f>
        <v>90</v>
      </c>
    </row>
    <row r="5" spans="1:3" x14ac:dyDescent="0.35">
      <c r="A5" s="7" t="s">
        <v>19</v>
      </c>
      <c r="B5" s="7">
        <v>6</v>
      </c>
      <c r="C5" s="7">
        <f t="shared" si="0"/>
        <v>180</v>
      </c>
    </row>
    <row r="6" spans="1:3" x14ac:dyDescent="0.35">
      <c r="A6" s="7" t="s">
        <v>20</v>
      </c>
      <c r="B6" s="7">
        <v>12</v>
      </c>
      <c r="C6" s="7">
        <f t="shared" si="0"/>
        <v>360</v>
      </c>
    </row>
    <row r="7" spans="1:3" x14ac:dyDescent="0.35">
      <c r="A7" s="7" t="s">
        <v>21</v>
      </c>
      <c r="B7" s="7">
        <v>1</v>
      </c>
      <c r="C7" s="7">
        <f t="shared" si="0"/>
        <v>30</v>
      </c>
    </row>
    <row r="8" spans="1:3" x14ac:dyDescent="0.35">
      <c r="A8" s="7" t="s">
        <v>22</v>
      </c>
      <c r="B8" s="7">
        <v>3</v>
      </c>
      <c r="C8" s="7">
        <f t="shared" si="0"/>
        <v>90</v>
      </c>
    </row>
    <row r="9" spans="1:3" x14ac:dyDescent="0.35">
      <c r="A9" s="7" t="s">
        <v>23</v>
      </c>
      <c r="B9" s="7">
        <v>6</v>
      </c>
      <c r="C9" s="7">
        <f t="shared" si="0"/>
        <v>180</v>
      </c>
    </row>
    <row r="10" spans="1:3" x14ac:dyDescent="0.35">
      <c r="A10" s="7" t="s">
        <v>24</v>
      </c>
      <c r="B10" s="7">
        <v>12</v>
      </c>
      <c r="C10" s="7">
        <f t="shared" si="0"/>
        <v>360</v>
      </c>
    </row>
    <row r="11" spans="1:3" x14ac:dyDescent="0.35">
      <c r="A11" s="7" t="s">
        <v>43</v>
      </c>
      <c r="B11" s="7">
        <v>2</v>
      </c>
      <c r="C11" s="7">
        <f t="shared" ref="C11:C19" si="1">30*B11</f>
        <v>60</v>
      </c>
    </row>
    <row r="12" spans="1:3" x14ac:dyDescent="0.35">
      <c r="A12" s="7" t="s">
        <v>39</v>
      </c>
      <c r="B12" s="7">
        <v>1</v>
      </c>
      <c r="C12" s="7">
        <f t="shared" si="1"/>
        <v>30</v>
      </c>
    </row>
    <row r="13" spans="1:3" x14ac:dyDescent="0.35">
      <c r="A13" s="7" t="s">
        <v>36</v>
      </c>
      <c r="B13" s="7">
        <v>3</v>
      </c>
      <c r="C13" s="7">
        <f t="shared" si="1"/>
        <v>90</v>
      </c>
    </row>
    <row r="14" spans="1:3" x14ac:dyDescent="0.35">
      <c r="A14" s="7" t="s">
        <v>37</v>
      </c>
      <c r="B14" s="7">
        <v>6</v>
      </c>
      <c r="C14" s="7">
        <f t="shared" si="1"/>
        <v>180</v>
      </c>
    </row>
    <row r="15" spans="1:3" x14ac:dyDescent="0.35">
      <c r="A15" s="7" t="s">
        <v>38</v>
      </c>
      <c r="B15" s="7">
        <v>12</v>
      </c>
      <c r="C15" s="7">
        <f t="shared" si="1"/>
        <v>360</v>
      </c>
    </row>
    <row r="16" spans="1:3" x14ac:dyDescent="0.35">
      <c r="A16" s="7" t="s">
        <v>41</v>
      </c>
      <c r="B16" s="7">
        <v>3</v>
      </c>
      <c r="C16" s="7">
        <f t="shared" si="1"/>
        <v>90</v>
      </c>
    </row>
    <row r="17" spans="1:3" x14ac:dyDescent="0.35">
      <c r="A17" s="7" t="s">
        <v>49</v>
      </c>
      <c r="B17" s="7">
        <v>2</v>
      </c>
      <c r="C17" s="7">
        <f t="shared" si="1"/>
        <v>60</v>
      </c>
    </row>
    <row r="18" spans="1:3" x14ac:dyDescent="0.35">
      <c r="A18" s="7" t="s">
        <v>53</v>
      </c>
      <c r="B18" s="7">
        <v>1</v>
      </c>
      <c r="C18" s="7">
        <f t="shared" si="1"/>
        <v>30</v>
      </c>
    </row>
    <row r="19" spans="1:3" x14ac:dyDescent="0.35">
      <c r="A19" s="7" t="s">
        <v>65</v>
      </c>
      <c r="B19" s="7">
        <v>3</v>
      </c>
      <c r="C19" s="7">
        <f t="shared" si="1"/>
        <v>90</v>
      </c>
    </row>
    <row r="20" spans="1:3" x14ac:dyDescent="0.35">
      <c r="A20" s="183" t="s">
        <v>72</v>
      </c>
      <c r="B20" s="183">
        <v>1</v>
      </c>
      <c r="C20" s="183">
        <v>30</v>
      </c>
    </row>
    <row r="21" spans="1:3" x14ac:dyDescent="0.35">
      <c r="A21" s="183" t="s">
        <v>71</v>
      </c>
      <c r="B21" s="183">
        <v>3</v>
      </c>
      <c r="C21">
        <v>90</v>
      </c>
    </row>
    <row r="39" spans="6:6" x14ac:dyDescent="0.35">
      <c r="F39">
        <f>'Membership Level'!A1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353"/>
  <sheetViews>
    <sheetView tabSelected="1" zoomScale="83" zoomScaleNormal="103" workbookViewId="0">
      <pane ySplit="8" topLeftCell="A934" activePane="bottomLeft" state="frozen"/>
      <selection pane="bottomLeft" activeCell="F31" sqref="F31"/>
    </sheetView>
  </sheetViews>
  <sheetFormatPr defaultRowHeight="14.5" x14ac:dyDescent="0.35"/>
  <cols>
    <col min="1" max="1" width="13.81640625" customWidth="1"/>
    <col min="2" max="2" width="10.7265625" customWidth="1"/>
    <col min="3" max="3" width="17" bestFit="1" customWidth="1"/>
    <col min="4" max="4" width="37.453125" customWidth="1"/>
    <col min="5" max="5" width="16.26953125" bestFit="1" customWidth="1"/>
    <col min="6" max="6" width="20.54296875" customWidth="1"/>
    <col min="7" max="7" width="20.7265625" customWidth="1"/>
    <col min="8" max="8" width="16.26953125" customWidth="1"/>
    <col min="9" max="9" width="11.26953125" customWidth="1"/>
    <col min="10" max="10" width="12.81640625" customWidth="1"/>
    <col min="11" max="11" width="11.54296875" bestFit="1" customWidth="1"/>
    <col min="12" max="12" width="11.1796875" customWidth="1"/>
    <col min="13" max="13" width="5.81640625" hidden="1" customWidth="1"/>
  </cols>
  <sheetData>
    <row r="1" spans="1:13" x14ac:dyDescent="0.35">
      <c r="C1" s="3"/>
      <c r="D1" s="252"/>
      <c r="E1" s="252"/>
      <c r="F1" s="3"/>
      <c r="G1" s="3"/>
      <c r="H1" s="3"/>
      <c r="I1" s="3"/>
      <c r="J1" s="3"/>
      <c r="K1" s="3"/>
      <c r="L1" s="3"/>
      <c r="M1" s="3"/>
    </row>
    <row r="2" spans="1:13" ht="18" customHeight="1" x14ac:dyDescent="0.55000000000000004">
      <c r="C2" s="3"/>
      <c r="D2" s="251" t="s">
        <v>17</v>
      </c>
      <c r="E2" s="251">
        <v>-2026</v>
      </c>
      <c r="F2" s="5"/>
      <c r="G2" s="5"/>
      <c r="H2" s="5"/>
      <c r="I2" s="5"/>
      <c r="J2" s="5"/>
      <c r="K2" s="3"/>
      <c r="L2" s="3"/>
      <c r="M2" s="3"/>
    </row>
    <row r="3" spans="1:13" ht="9.75" customHeight="1" x14ac:dyDescent="0.35"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idden="1" x14ac:dyDescent="0.35"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idden="1" x14ac:dyDescent="0.35">
      <c r="C5" s="3">
        <f>3300*30/100</f>
        <v>990</v>
      </c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idden="1" x14ac:dyDescent="0.35"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</row>
    <row r="7" spans="1:13" ht="27.75" customHeight="1" x14ac:dyDescent="0.35">
      <c r="A7" s="359" t="s">
        <v>10</v>
      </c>
      <c r="B7" s="359"/>
      <c r="C7" s="359"/>
      <c r="D7" s="359"/>
      <c r="E7" s="359"/>
      <c r="F7" s="358" t="s">
        <v>14</v>
      </c>
      <c r="G7" s="358"/>
      <c r="H7" s="358"/>
      <c r="I7" s="358"/>
      <c r="J7" s="358"/>
      <c r="K7" s="358"/>
      <c r="L7" s="358"/>
      <c r="M7" s="287" t="s">
        <v>9</v>
      </c>
    </row>
    <row r="8" spans="1:13" ht="48" customHeight="1" x14ac:dyDescent="0.35">
      <c r="A8" s="249" t="s">
        <v>93</v>
      </c>
      <c r="B8" s="249" t="s">
        <v>94</v>
      </c>
      <c r="C8" s="225" t="s">
        <v>11</v>
      </c>
      <c r="D8" s="69" t="s">
        <v>12</v>
      </c>
      <c r="E8" s="223" t="s">
        <v>90</v>
      </c>
      <c r="F8" s="70" t="s">
        <v>15</v>
      </c>
      <c r="G8" s="69" t="s">
        <v>66</v>
      </c>
      <c r="H8" s="70" t="s">
        <v>25</v>
      </c>
      <c r="I8" s="70" t="s">
        <v>26</v>
      </c>
      <c r="J8" s="70" t="s">
        <v>27</v>
      </c>
      <c r="K8" s="70" t="s">
        <v>0</v>
      </c>
      <c r="L8" s="70" t="s">
        <v>1</v>
      </c>
      <c r="M8" s="71" t="s">
        <v>2</v>
      </c>
    </row>
    <row r="9" spans="1:13" x14ac:dyDescent="0.35">
      <c r="A9" s="227" t="s">
        <v>96</v>
      </c>
      <c r="B9" s="228">
        <v>46057</v>
      </c>
      <c r="C9" s="229" t="s">
        <v>88</v>
      </c>
      <c r="D9" s="229" t="s">
        <v>89</v>
      </c>
      <c r="E9" s="226" t="s">
        <v>601</v>
      </c>
      <c r="F9" s="229" t="str">
        <f>'Membership Level'!A12</f>
        <v>Swimming Moth</v>
      </c>
      <c r="G9" s="230"/>
      <c r="H9" s="231">
        <v>4400</v>
      </c>
      <c r="I9" s="231">
        <v>4400</v>
      </c>
      <c r="J9" s="232">
        <f>H9-I9</f>
        <v>0</v>
      </c>
      <c r="K9" s="233">
        <v>46057</v>
      </c>
      <c r="L9" s="228">
        <f>DATE(YEAR(K9),MONTH(K9)+VLOOKUP($F9,'Membership Level'!$A$3:$B$15,2,FALSE),DAY(K9))</f>
        <v>46085</v>
      </c>
      <c r="M9" s="227">
        <v>3</v>
      </c>
    </row>
    <row r="10" spans="1:13" s="261" customFormat="1" x14ac:dyDescent="0.35">
      <c r="A10" s="255" t="s">
        <v>97</v>
      </c>
      <c r="B10" s="256">
        <v>46067</v>
      </c>
      <c r="C10" s="255" t="s">
        <v>86</v>
      </c>
      <c r="D10" s="255" t="s">
        <v>69</v>
      </c>
      <c r="E10" s="257">
        <v>9113785019</v>
      </c>
      <c r="F10" s="255" t="str">
        <f>'Membership Level'!A14</f>
        <v>Swimming HY</v>
      </c>
      <c r="G10" s="255" t="s">
        <v>237</v>
      </c>
      <c r="H10" s="258">
        <v>18000</v>
      </c>
      <c r="I10" s="258">
        <v>18000</v>
      </c>
      <c r="J10" s="259">
        <f t="shared" ref="J10:J73" si="0">H10-I10</f>
        <v>0</v>
      </c>
      <c r="K10" s="256">
        <v>46070</v>
      </c>
      <c r="L10" s="256">
        <f>DATE(YEAR(K10),MONTH(K10)+VLOOKUP($F10,'Membership Level'!$A$3:$B$15,2,FALSE),DAY(K10))</f>
        <v>46251</v>
      </c>
      <c r="M10" s="255">
        <v>3</v>
      </c>
    </row>
    <row r="11" spans="1:13" x14ac:dyDescent="0.35">
      <c r="A11" s="227" t="s">
        <v>98</v>
      </c>
      <c r="B11" s="228">
        <v>46069</v>
      </c>
      <c r="C11" s="229" t="s">
        <v>32</v>
      </c>
      <c r="D11" s="229" t="s">
        <v>78</v>
      </c>
      <c r="E11" s="226">
        <v>9711983243</v>
      </c>
      <c r="F11" s="229" t="str">
        <f>'Membership Level'!A12</f>
        <v>Swimming Moth</v>
      </c>
      <c r="G11" s="229" t="s">
        <v>87</v>
      </c>
      <c r="H11" s="231">
        <v>2500</v>
      </c>
      <c r="I11" s="231">
        <v>2500</v>
      </c>
      <c r="J11" s="232">
        <f t="shared" si="0"/>
        <v>0</v>
      </c>
      <c r="K11" s="233">
        <v>46070</v>
      </c>
      <c r="L11" s="228">
        <f>DATE(YEAR(K11),MONTH(K11)+VLOOKUP($F11,'Membership Level'!$A$3:$B$15,2,FALSE),DAY(K11))</f>
        <v>46098</v>
      </c>
      <c r="M11" s="227">
        <v>3</v>
      </c>
    </row>
    <row r="12" spans="1:13" s="11" customFormat="1" x14ac:dyDescent="0.35">
      <c r="A12" s="227" t="s">
        <v>99</v>
      </c>
      <c r="B12" s="228">
        <v>46069</v>
      </c>
      <c r="C12" s="229" t="s">
        <v>30</v>
      </c>
      <c r="D12" s="229" t="s">
        <v>91</v>
      </c>
      <c r="E12" s="226">
        <v>8552081564</v>
      </c>
      <c r="F12" s="229" t="str">
        <f>'Membership Level'!A12</f>
        <v>Swimming Moth</v>
      </c>
      <c r="G12" s="230" t="s">
        <v>87</v>
      </c>
      <c r="H12" s="231">
        <v>2500</v>
      </c>
      <c r="I12" s="231">
        <v>2500</v>
      </c>
      <c r="J12" s="232">
        <f t="shared" si="0"/>
        <v>0</v>
      </c>
      <c r="K12" s="233">
        <v>46070</v>
      </c>
      <c r="L12" s="228">
        <f>DATE(YEAR(K12),MONTH(K12)+VLOOKUP($F12,'Membership Level'!$A$3:$B$15,2,FALSE),DAY(K12))</f>
        <v>46098</v>
      </c>
      <c r="M12" s="227">
        <v>3</v>
      </c>
    </row>
    <row r="13" spans="1:13" x14ac:dyDescent="0.35">
      <c r="A13" s="227" t="s">
        <v>270</v>
      </c>
      <c r="B13" s="228">
        <v>46069</v>
      </c>
      <c r="C13" s="229" t="s">
        <v>30</v>
      </c>
      <c r="D13" s="229" t="s">
        <v>33</v>
      </c>
      <c r="E13" s="226">
        <v>8757640445</v>
      </c>
      <c r="F13" s="229" t="str">
        <f>'Membership Level'!A12</f>
        <v>Swimming Moth</v>
      </c>
      <c r="G13" s="229"/>
      <c r="H13" s="231">
        <v>4400</v>
      </c>
      <c r="I13" s="231">
        <v>4400</v>
      </c>
      <c r="J13" s="232">
        <f t="shared" si="0"/>
        <v>0</v>
      </c>
      <c r="K13" s="233">
        <v>46070</v>
      </c>
      <c r="L13" s="228">
        <f>DATE(YEAR(K13),MONTH(K13)+VLOOKUP($F13,'Membership Level'!$A$3:$B$15,2,FALSE),DAY(K13))</f>
        <v>46098</v>
      </c>
      <c r="M13" s="227">
        <v>3</v>
      </c>
    </row>
    <row r="14" spans="1:13" x14ac:dyDescent="0.35">
      <c r="A14" s="227" t="s">
        <v>100</v>
      </c>
      <c r="B14" s="228">
        <v>46069</v>
      </c>
      <c r="C14" s="229" t="s">
        <v>77</v>
      </c>
      <c r="D14" s="229"/>
      <c r="E14" s="226">
        <v>7903400253</v>
      </c>
      <c r="F14" s="229" t="str">
        <f>'Membership Level'!A12</f>
        <v>Swimming Moth</v>
      </c>
      <c r="G14" s="229"/>
      <c r="H14" s="231">
        <v>4400</v>
      </c>
      <c r="I14" s="231">
        <v>4400</v>
      </c>
      <c r="J14" s="232">
        <f t="shared" si="0"/>
        <v>0</v>
      </c>
      <c r="K14" s="233">
        <v>46070</v>
      </c>
      <c r="L14" s="228">
        <f>DATE(YEAR(K14),MONTH(K14)+VLOOKUP($F14,'Membership Level'!$A$3:$B$15,2,FALSE),DAY(K14))</f>
        <v>46098</v>
      </c>
      <c r="M14" s="227">
        <v>3</v>
      </c>
    </row>
    <row r="15" spans="1:13" x14ac:dyDescent="0.35">
      <c r="A15" s="227" t="s">
        <v>95</v>
      </c>
      <c r="B15" s="228">
        <v>46070</v>
      </c>
      <c r="C15" s="229" t="s">
        <v>372</v>
      </c>
      <c r="D15" s="229" t="s">
        <v>92</v>
      </c>
      <c r="E15" s="226">
        <v>9999014349</v>
      </c>
      <c r="F15" s="229" t="str">
        <f>'Membership Level'!A12</f>
        <v>Swimming Moth</v>
      </c>
      <c r="G15" s="229" t="s">
        <v>248</v>
      </c>
      <c r="H15" s="231">
        <v>4400</v>
      </c>
      <c r="I15" s="231">
        <v>4400</v>
      </c>
      <c r="J15" s="232">
        <f t="shared" si="0"/>
        <v>0</v>
      </c>
      <c r="K15" s="337">
        <v>46143</v>
      </c>
      <c r="L15" s="337">
        <f>DATE(YEAR(K15),MONTH(K15)+VLOOKUP($F15,'Membership Level'!$A$3:$B$15,2,FALSE),DAY(K15))</f>
        <v>46174</v>
      </c>
      <c r="M15" s="227">
        <v>3</v>
      </c>
    </row>
    <row r="16" spans="1:13" s="261" customFormat="1" x14ac:dyDescent="0.35">
      <c r="A16" s="255" t="s">
        <v>101</v>
      </c>
      <c r="B16" s="256">
        <v>46070</v>
      </c>
      <c r="C16" s="255" t="s">
        <v>48</v>
      </c>
      <c r="D16" s="255" t="s">
        <v>200</v>
      </c>
      <c r="E16" s="257">
        <v>9999467539</v>
      </c>
      <c r="F16" s="255" t="str">
        <f>'Membership Level'!A13</f>
        <v>Swimming Qty</v>
      </c>
      <c r="G16" s="255" t="s">
        <v>236</v>
      </c>
      <c r="H16" s="258">
        <v>11500</v>
      </c>
      <c r="I16" s="258">
        <v>11500</v>
      </c>
      <c r="J16" s="259">
        <f t="shared" si="0"/>
        <v>0</v>
      </c>
      <c r="K16" s="256">
        <v>46070</v>
      </c>
      <c r="L16" s="256">
        <f>DATE(YEAR(K16),MONTH(K16)+VLOOKUP($F16,'Membership Level'!$A$3:$B$15,2,FALSE),DAY(K16))</f>
        <v>46159</v>
      </c>
      <c r="M16" s="255"/>
    </row>
    <row r="17" spans="1:13" x14ac:dyDescent="0.35">
      <c r="A17" s="227" t="s">
        <v>102</v>
      </c>
      <c r="B17" s="240">
        <v>46070</v>
      </c>
      <c r="C17" s="229" t="s">
        <v>31</v>
      </c>
      <c r="D17" s="229" t="s">
        <v>201</v>
      </c>
      <c r="E17" s="226">
        <v>9304880904</v>
      </c>
      <c r="F17" s="229" t="str">
        <f>'Membership Level'!A12</f>
        <v>Swimming Moth</v>
      </c>
      <c r="G17" s="229"/>
      <c r="H17" s="231">
        <v>4000</v>
      </c>
      <c r="I17" s="231">
        <v>4000</v>
      </c>
      <c r="J17" s="232">
        <f t="shared" si="0"/>
        <v>0</v>
      </c>
      <c r="K17" s="233">
        <v>46070</v>
      </c>
      <c r="L17" s="228">
        <f>DATE(YEAR(K17),MONTH(K17)+VLOOKUP($F17,'Membership Level'!$A$3:$B$15,2,FALSE),DAY(K17))</f>
        <v>46098</v>
      </c>
      <c r="M17" s="227">
        <v>3</v>
      </c>
    </row>
    <row r="18" spans="1:13" x14ac:dyDescent="0.35">
      <c r="A18" s="227" t="s">
        <v>103</v>
      </c>
      <c r="B18" s="228">
        <v>46071</v>
      </c>
      <c r="C18" s="229" t="s">
        <v>30</v>
      </c>
      <c r="D18" s="229" t="s">
        <v>225</v>
      </c>
      <c r="E18" s="226">
        <v>7676011492</v>
      </c>
      <c r="F18" s="229" t="str">
        <f>'Membership Level'!A12</f>
        <v>Swimming Moth</v>
      </c>
      <c r="G18" s="229"/>
      <c r="H18" s="231">
        <v>4000</v>
      </c>
      <c r="I18" s="231">
        <v>4000</v>
      </c>
      <c r="J18" s="232">
        <f t="shared" si="0"/>
        <v>0</v>
      </c>
      <c r="K18" s="233">
        <v>46071</v>
      </c>
      <c r="L18" s="228">
        <f>DATE(YEAR(K18),MONTH(K18)+VLOOKUP($F18,'Membership Level'!$A$3:$B$15,2,FALSE),DAY(K18))</f>
        <v>46099</v>
      </c>
      <c r="M18" s="227">
        <v>3</v>
      </c>
    </row>
    <row r="19" spans="1:13" x14ac:dyDescent="0.35">
      <c r="A19" s="227" t="s">
        <v>104</v>
      </c>
      <c r="B19" s="228">
        <v>46071</v>
      </c>
      <c r="C19" s="229" t="s">
        <v>202</v>
      </c>
      <c r="D19" s="229" t="s">
        <v>203</v>
      </c>
      <c r="E19" s="226">
        <v>8578000035</v>
      </c>
      <c r="F19" s="229" t="str">
        <f>'Membership Level'!A12</f>
        <v>Swimming Moth</v>
      </c>
      <c r="G19" s="229"/>
      <c r="H19" s="231">
        <v>4000</v>
      </c>
      <c r="I19" s="231">
        <v>4000</v>
      </c>
      <c r="J19" s="232">
        <f t="shared" si="0"/>
        <v>0</v>
      </c>
      <c r="K19" s="337">
        <v>46130</v>
      </c>
      <c r="L19" s="337">
        <v>46160</v>
      </c>
      <c r="M19" s="227">
        <v>3</v>
      </c>
    </row>
    <row r="20" spans="1:13" x14ac:dyDescent="0.35">
      <c r="A20" s="227" t="s">
        <v>105</v>
      </c>
      <c r="B20" s="228">
        <v>46071</v>
      </c>
      <c r="C20" s="229" t="s">
        <v>204</v>
      </c>
      <c r="D20" s="229" t="s">
        <v>205</v>
      </c>
      <c r="E20" s="226">
        <v>6203439924</v>
      </c>
      <c r="F20" s="229" t="str">
        <f>'Membership Level'!A12</f>
        <v>Swimming Moth</v>
      </c>
      <c r="G20" s="229"/>
      <c r="H20" s="231">
        <v>4000</v>
      </c>
      <c r="I20" s="231">
        <v>4000</v>
      </c>
      <c r="J20" s="232">
        <f t="shared" si="0"/>
        <v>0</v>
      </c>
      <c r="K20" s="233">
        <v>46071</v>
      </c>
      <c r="L20" s="228">
        <v>46099</v>
      </c>
      <c r="M20" s="229"/>
    </row>
    <row r="21" spans="1:13" x14ac:dyDescent="0.35">
      <c r="A21" s="227" t="s">
        <v>106</v>
      </c>
      <c r="B21" s="228">
        <v>46072</v>
      </c>
      <c r="C21" s="229" t="s">
        <v>202</v>
      </c>
      <c r="D21" s="229" t="s">
        <v>206</v>
      </c>
      <c r="E21" s="226">
        <v>8169375056</v>
      </c>
      <c r="F21" s="229" t="str">
        <f>'Membership Level'!A12</f>
        <v>Swimming Moth</v>
      </c>
      <c r="G21" s="229" t="s">
        <v>248</v>
      </c>
      <c r="H21" s="231">
        <v>4400</v>
      </c>
      <c r="I21" s="231">
        <v>4400</v>
      </c>
      <c r="J21" s="232">
        <f t="shared" si="0"/>
        <v>0</v>
      </c>
      <c r="K21" s="233">
        <v>46071</v>
      </c>
      <c r="L21" s="228">
        <v>46100</v>
      </c>
      <c r="M21" s="227">
        <v>3</v>
      </c>
    </row>
    <row r="22" spans="1:13" x14ac:dyDescent="0.35">
      <c r="A22" s="227" t="s">
        <v>107</v>
      </c>
      <c r="B22" s="228">
        <v>46072</v>
      </c>
      <c r="C22" s="229"/>
      <c r="D22" s="229" t="s">
        <v>207</v>
      </c>
      <c r="E22" s="226">
        <v>9674155448</v>
      </c>
      <c r="F22" s="229" t="str">
        <f>'Membership Level'!A12</f>
        <v>Swimming Moth</v>
      </c>
      <c r="G22" s="229"/>
      <c r="H22" s="231">
        <v>4400</v>
      </c>
      <c r="I22" s="231">
        <v>4400</v>
      </c>
      <c r="J22" s="232">
        <f t="shared" si="0"/>
        <v>0</v>
      </c>
      <c r="K22" s="233">
        <v>46072</v>
      </c>
      <c r="L22" s="228">
        <f>DATE(YEAR(K22),MONTH(K22)+VLOOKUP($F22,'Membership Level'!$A$3:$B$15,2,FALSE),DAY(K22))</f>
        <v>46100</v>
      </c>
      <c r="M22" s="227">
        <v>3</v>
      </c>
    </row>
    <row r="23" spans="1:13" s="261" customFormat="1" x14ac:dyDescent="0.35">
      <c r="A23" s="255" t="s">
        <v>108</v>
      </c>
      <c r="B23" s="256">
        <v>46072</v>
      </c>
      <c r="C23" s="255" t="s">
        <v>222</v>
      </c>
      <c r="D23" s="255" t="s">
        <v>223</v>
      </c>
      <c r="E23" s="257">
        <v>8886990845</v>
      </c>
      <c r="F23" s="255" t="str">
        <f>'Membership Level'!A14</f>
        <v>Swimming HY</v>
      </c>
      <c r="G23" s="255" t="s">
        <v>237</v>
      </c>
      <c r="H23" s="258">
        <v>16000</v>
      </c>
      <c r="I23" s="258">
        <v>16000</v>
      </c>
      <c r="J23" s="259">
        <f t="shared" si="0"/>
        <v>0</v>
      </c>
      <c r="K23" s="256">
        <v>46072</v>
      </c>
      <c r="L23" s="256">
        <v>46253</v>
      </c>
      <c r="M23" s="255">
        <v>3</v>
      </c>
    </row>
    <row r="24" spans="1:13" x14ac:dyDescent="0.35">
      <c r="A24" s="227" t="s">
        <v>109</v>
      </c>
      <c r="B24" s="228">
        <v>46071</v>
      </c>
      <c r="C24" s="229" t="s">
        <v>202</v>
      </c>
      <c r="D24" s="229" t="s">
        <v>226</v>
      </c>
      <c r="E24" s="226">
        <v>7676011492</v>
      </c>
      <c r="F24" s="229" t="str">
        <f>'Membership Level'!A12</f>
        <v>Swimming Moth</v>
      </c>
      <c r="G24" s="229" t="s">
        <v>227</v>
      </c>
      <c r="H24" s="231">
        <v>3000</v>
      </c>
      <c r="I24" s="231">
        <v>3000</v>
      </c>
      <c r="J24" s="232">
        <f t="shared" si="0"/>
        <v>0</v>
      </c>
      <c r="K24" s="337">
        <v>46160</v>
      </c>
      <c r="L24" s="337">
        <f>DATE(YEAR(K24),MONTH(K24)+VLOOKUP($F24,'Membership Level'!$A$3:$B$15,2,FALSE),DAY(K24))</f>
        <v>46191</v>
      </c>
      <c r="M24" s="227">
        <v>3</v>
      </c>
    </row>
    <row r="25" spans="1:13" x14ac:dyDescent="0.35">
      <c r="A25" s="227" t="s">
        <v>110</v>
      </c>
      <c r="B25" s="228">
        <v>46073</v>
      </c>
      <c r="C25" s="229" t="s">
        <v>228</v>
      </c>
      <c r="D25" s="229" t="s">
        <v>229</v>
      </c>
      <c r="E25" s="226">
        <v>9548107173</v>
      </c>
      <c r="F25" s="229" t="str">
        <f>'Membership Level'!A12</f>
        <v>Swimming Moth</v>
      </c>
      <c r="G25" s="229" t="s">
        <v>230</v>
      </c>
      <c r="H25" s="231">
        <v>2500</v>
      </c>
      <c r="I25" s="231">
        <v>2500</v>
      </c>
      <c r="J25" s="232">
        <f t="shared" si="0"/>
        <v>0</v>
      </c>
      <c r="K25" s="233">
        <v>46073</v>
      </c>
      <c r="L25" s="228">
        <f>DATE(YEAR(K25),MONTH(K25)+VLOOKUP($F25,'Membership Level'!$A$3:$B$15,2,FALSE),DAY(K25))</f>
        <v>46101</v>
      </c>
      <c r="M25" s="229"/>
    </row>
    <row r="26" spans="1:13" x14ac:dyDescent="0.35">
      <c r="A26" s="227" t="s">
        <v>111</v>
      </c>
      <c r="B26" s="228">
        <v>46074</v>
      </c>
      <c r="C26" s="229" t="s">
        <v>231</v>
      </c>
      <c r="D26" s="229" t="s">
        <v>232</v>
      </c>
      <c r="E26" s="226">
        <v>9304716545</v>
      </c>
      <c r="F26" s="229" t="str">
        <f>'Membership Level'!A12</f>
        <v>Swimming Moth</v>
      </c>
      <c r="G26" s="229" t="s">
        <v>227</v>
      </c>
      <c r="H26" s="231">
        <v>3300</v>
      </c>
      <c r="I26" s="231">
        <v>3300</v>
      </c>
      <c r="J26" s="232" t="s">
        <v>224</v>
      </c>
      <c r="K26" s="337">
        <v>46102</v>
      </c>
      <c r="L26" s="337">
        <f>DATE(YEAR(K26),MONTH(K26)+VLOOKUP($F26,'Membership Level'!$A$3:$B$15,2,FALSE),DAY(K26))</f>
        <v>46133</v>
      </c>
      <c r="M26" s="229"/>
    </row>
    <row r="27" spans="1:13" x14ac:dyDescent="0.35">
      <c r="A27" s="227" t="s">
        <v>112</v>
      </c>
      <c r="B27" s="228">
        <v>46074</v>
      </c>
      <c r="C27" s="229" t="s">
        <v>233</v>
      </c>
      <c r="D27" s="229" t="s">
        <v>234</v>
      </c>
      <c r="E27" s="226">
        <v>9471006930</v>
      </c>
      <c r="F27" s="229" t="str">
        <f>'Membership Level'!A12</f>
        <v>Swimming Moth</v>
      </c>
      <c r="G27" s="229" t="s">
        <v>227</v>
      </c>
      <c r="H27" s="231">
        <v>3300</v>
      </c>
      <c r="I27" s="231">
        <v>3300</v>
      </c>
      <c r="J27" s="232">
        <f t="shared" si="0"/>
        <v>0</v>
      </c>
      <c r="K27" s="337">
        <v>46102</v>
      </c>
      <c r="L27" s="337">
        <f>DATE(YEAR(K27),MONTH(K27)+VLOOKUP($F27,'Membership Level'!$A$3:$B$15,2,FALSE),DAY(K27))</f>
        <v>46133</v>
      </c>
      <c r="M27" s="227">
        <v>3</v>
      </c>
    </row>
    <row r="28" spans="1:13" x14ac:dyDescent="0.35">
      <c r="A28" s="227" t="s">
        <v>113</v>
      </c>
      <c r="B28" s="228">
        <v>46074</v>
      </c>
      <c r="C28" s="229"/>
      <c r="D28" s="229" t="s">
        <v>235</v>
      </c>
      <c r="E28" s="226">
        <v>9073139001</v>
      </c>
      <c r="F28" s="229" t="str">
        <f>'Membership Level'!A12</f>
        <v>Swimming Moth</v>
      </c>
      <c r="G28" s="229" t="s">
        <v>227</v>
      </c>
      <c r="H28" s="231">
        <v>3000</v>
      </c>
      <c r="I28" s="231">
        <v>3000</v>
      </c>
      <c r="J28" s="232">
        <f t="shared" si="0"/>
        <v>0</v>
      </c>
      <c r="K28" s="233">
        <v>46074</v>
      </c>
      <c r="L28" s="228">
        <f>DATE(YEAR(K28),MONTH(K28)+VLOOKUP($F28,'Membership Level'!$A$3:$B$15,2,FALSE),DAY(K28))</f>
        <v>46102</v>
      </c>
      <c r="M28" s="227">
        <v>3</v>
      </c>
    </row>
    <row r="29" spans="1:13" s="10" customFormat="1" x14ac:dyDescent="0.35">
      <c r="A29" s="281" t="s">
        <v>114</v>
      </c>
      <c r="B29" s="282">
        <v>46074</v>
      </c>
      <c r="C29" s="281" t="s">
        <v>241</v>
      </c>
      <c r="D29" s="281" t="s">
        <v>240</v>
      </c>
      <c r="E29" s="283">
        <v>9279086474</v>
      </c>
      <c r="F29" s="281" t="str">
        <f>'Membership Level'!A13</f>
        <v>Swimming Qty</v>
      </c>
      <c r="G29" s="281" t="s">
        <v>238</v>
      </c>
      <c r="H29" s="284">
        <v>24700</v>
      </c>
      <c r="I29" s="284">
        <v>24700</v>
      </c>
      <c r="J29" s="285">
        <f t="shared" si="0"/>
        <v>0</v>
      </c>
      <c r="K29" s="282">
        <v>46074</v>
      </c>
      <c r="L29" s="282">
        <f>DATE(YEAR(K29),MONTH(K29)+VLOOKUP($F29,'Membership Level'!$A$3:$B$15,2,FALSE),DAY(K29))</f>
        <v>46163</v>
      </c>
      <c r="M29" s="281">
        <v>3</v>
      </c>
    </row>
    <row r="30" spans="1:13" x14ac:dyDescent="0.35">
      <c r="A30" s="227" t="s">
        <v>115</v>
      </c>
      <c r="B30" s="228">
        <v>46074</v>
      </c>
      <c r="C30" s="229" t="s">
        <v>239</v>
      </c>
      <c r="D30" s="229" t="s">
        <v>242</v>
      </c>
      <c r="E30" s="226">
        <v>7306597482</v>
      </c>
      <c r="F30" s="229" t="str">
        <f>'Membership Level'!A12</f>
        <v>Swimming Moth</v>
      </c>
      <c r="G30" s="229" t="s">
        <v>230</v>
      </c>
      <c r="H30" s="231">
        <v>2500</v>
      </c>
      <c r="I30" s="231">
        <v>2500</v>
      </c>
      <c r="J30" s="232">
        <f t="shared" si="0"/>
        <v>0</v>
      </c>
      <c r="K30" s="337">
        <v>46133</v>
      </c>
      <c r="L30" s="337">
        <f>DATE(YEAR(K30),MONTH(K30)+VLOOKUP($F30,'Membership Level'!$A$3:$B$15,2,FALSE),DAY(K30))</f>
        <v>46163</v>
      </c>
      <c r="M30" s="227">
        <v>3</v>
      </c>
    </row>
    <row r="31" spans="1:13" s="261" customFormat="1" x14ac:dyDescent="0.35">
      <c r="A31" s="255" t="s">
        <v>116</v>
      </c>
      <c r="B31" s="256">
        <v>46074</v>
      </c>
      <c r="C31" s="255" t="s">
        <v>243</v>
      </c>
      <c r="D31" s="255" t="s">
        <v>244</v>
      </c>
      <c r="E31" s="257">
        <v>8910553619</v>
      </c>
      <c r="F31" s="255" t="s">
        <v>245</v>
      </c>
      <c r="G31" s="255" t="s">
        <v>246</v>
      </c>
      <c r="H31" s="258">
        <v>8500</v>
      </c>
      <c r="I31" s="258">
        <v>8500</v>
      </c>
      <c r="J31" s="259">
        <f t="shared" si="0"/>
        <v>0</v>
      </c>
      <c r="K31" s="256">
        <v>46074</v>
      </c>
      <c r="L31" s="256">
        <v>46163</v>
      </c>
      <c r="M31" s="255">
        <v>3</v>
      </c>
    </row>
    <row r="32" spans="1:13" x14ac:dyDescent="0.35">
      <c r="A32" s="227" t="s">
        <v>117</v>
      </c>
      <c r="B32" s="228">
        <v>46075</v>
      </c>
      <c r="C32" s="229" t="s">
        <v>32</v>
      </c>
      <c r="D32" s="229" t="s">
        <v>247</v>
      </c>
      <c r="E32" s="235">
        <v>7549725852</v>
      </c>
      <c r="F32" s="229" t="str">
        <f>'Membership Level'!A12</f>
        <v>Swimming Moth</v>
      </c>
      <c r="G32" s="229" t="s">
        <v>248</v>
      </c>
      <c r="H32" s="231">
        <v>4400</v>
      </c>
      <c r="I32" s="231">
        <v>4400</v>
      </c>
      <c r="J32" s="232">
        <f t="shared" si="0"/>
        <v>0</v>
      </c>
      <c r="K32" s="233">
        <v>46075</v>
      </c>
      <c r="L32" s="228">
        <f>DATE(YEAR(K32),MONTH(K32)+VLOOKUP($F32,'Membership Level'!$A$3:$B$15,2,FALSE),DAY(K32))</f>
        <v>46103</v>
      </c>
      <c r="M32" s="227">
        <v>3</v>
      </c>
    </row>
    <row r="33" spans="1:13" x14ac:dyDescent="0.35">
      <c r="A33" s="227" t="s">
        <v>118</v>
      </c>
      <c r="B33" s="228">
        <v>46075</v>
      </c>
      <c r="C33" s="229" t="s">
        <v>249</v>
      </c>
      <c r="D33" s="229" t="s">
        <v>250</v>
      </c>
      <c r="E33" s="236">
        <v>9386886568</v>
      </c>
      <c r="F33" s="229" t="str">
        <f>'Membership Level'!A12</f>
        <v>Swimming Moth</v>
      </c>
      <c r="G33" s="229" t="s">
        <v>248</v>
      </c>
      <c r="H33" s="231">
        <v>4400</v>
      </c>
      <c r="I33" s="231">
        <v>4400</v>
      </c>
      <c r="J33" s="232">
        <f t="shared" si="0"/>
        <v>0</v>
      </c>
      <c r="K33" s="233">
        <v>46075</v>
      </c>
      <c r="L33" s="228">
        <f>DATE(YEAR(K33),MONTH(K33)+VLOOKUP($F33,'Membership Level'!$A$3:$B$15,2,FALSE),DAY(K33))</f>
        <v>46103</v>
      </c>
      <c r="M33" s="227">
        <v>3</v>
      </c>
    </row>
    <row r="34" spans="1:13" x14ac:dyDescent="0.35">
      <c r="A34" s="227" t="s">
        <v>119</v>
      </c>
      <c r="B34" s="228">
        <v>46075</v>
      </c>
      <c r="C34" s="229"/>
      <c r="D34" s="229" t="s">
        <v>251</v>
      </c>
      <c r="E34" s="236">
        <v>8146089048</v>
      </c>
      <c r="F34" s="229" t="str">
        <f>'Membership Level'!A12</f>
        <v>Swimming Moth</v>
      </c>
      <c r="G34" s="229" t="s">
        <v>252</v>
      </c>
      <c r="H34" s="231">
        <v>2000</v>
      </c>
      <c r="I34" s="231">
        <v>2000</v>
      </c>
      <c r="J34" s="232">
        <f t="shared" si="0"/>
        <v>0</v>
      </c>
      <c r="K34" s="233">
        <v>46075</v>
      </c>
      <c r="L34" s="228">
        <f>DATE(YEAR(K34),MONTH(K34)+VLOOKUP($F34,'Membership Level'!$A$3:$B$15,2,FALSE),DAY(K34))</f>
        <v>46103</v>
      </c>
      <c r="M34" s="227">
        <v>3</v>
      </c>
    </row>
    <row r="35" spans="1:13" x14ac:dyDescent="0.35">
      <c r="A35" s="227" t="s">
        <v>120</v>
      </c>
      <c r="B35" s="228">
        <v>46075</v>
      </c>
      <c r="C35" s="229" t="s">
        <v>253</v>
      </c>
      <c r="D35" s="229" t="s">
        <v>254</v>
      </c>
      <c r="E35" s="236">
        <v>8146089048</v>
      </c>
      <c r="F35" s="229" t="str">
        <f>'Membership Level'!A12</f>
        <v>Swimming Moth</v>
      </c>
      <c r="G35" s="229" t="s">
        <v>252</v>
      </c>
      <c r="H35" s="231">
        <v>2000</v>
      </c>
      <c r="I35" s="231">
        <v>2000</v>
      </c>
      <c r="J35" s="232">
        <f t="shared" si="0"/>
        <v>0</v>
      </c>
      <c r="K35" s="233">
        <v>46075</v>
      </c>
      <c r="L35" s="228">
        <f>DATE(YEAR(K35),MONTH(K35)+VLOOKUP($F35,'Membership Level'!$A$3:$B$15,2,FALSE),DAY(K35))</f>
        <v>46103</v>
      </c>
      <c r="M35" s="227">
        <v>3</v>
      </c>
    </row>
    <row r="36" spans="1:13" x14ac:dyDescent="0.35">
      <c r="A36" s="227" t="s">
        <v>121</v>
      </c>
      <c r="B36" s="228">
        <v>46075</v>
      </c>
      <c r="C36" s="229" t="s">
        <v>255</v>
      </c>
      <c r="D36" s="229" t="s">
        <v>256</v>
      </c>
      <c r="E36" s="236">
        <v>9893183545</v>
      </c>
      <c r="F36" s="229" t="str">
        <f>'Membership Level'!A12</f>
        <v>Swimming Moth</v>
      </c>
      <c r="G36" s="229" t="s">
        <v>257</v>
      </c>
      <c r="H36" s="231">
        <v>3500</v>
      </c>
      <c r="I36" s="231">
        <v>3500</v>
      </c>
      <c r="J36" s="232">
        <f t="shared" si="0"/>
        <v>0</v>
      </c>
      <c r="K36" s="337">
        <v>46136</v>
      </c>
      <c r="L36" s="337">
        <f>DATE(YEAR(K36),MONTH(K36)+VLOOKUP($F36,'Membership Level'!$A$3:$B$15,2,FALSE),DAY(K36))</f>
        <v>46166</v>
      </c>
      <c r="M36" s="227">
        <v>3</v>
      </c>
    </row>
    <row r="37" spans="1:13" x14ac:dyDescent="0.35">
      <c r="A37" s="227" t="s">
        <v>122</v>
      </c>
      <c r="B37" s="228">
        <v>46075</v>
      </c>
      <c r="C37" s="238" t="s">
        <v>30</v>
      </c>
      <c r="D37" s="238" t="s">
        <v>258</v>
      </c>
      <c r="E37" s="239">
        <v>8340571295</v>
      </c>
      <c r="F37" s="234" t="str">
        <f>'Membership Level'!A12</f>
        <v>Swimming Moth</v>
      </c>
      <c r="G37" s="234" t="s">
        <v>257</v>
      </c>
      <c r="H37" s="231">
        <v>4000</v>
      </c>
      <c r="I37" s="231">
        <v>4000</v>
      </c>
      <c r="J37" s="232">
        <f t="shared" si="0"/>
        <v>0</v>
      </c>
      <c r="K37" s="240">
        <v>46075</v>
      </c>
      <c r="L37" s="228">
        <f>DATE(YEAR(K37),MONTH(K37)+VLOOKUP($F37,'Membership Level'!$A$3:$B$15,2,FALSE),DAY(K37))</f>
        <v>46103</v>
      </c>
      <c r="M37" s="234"/>
    </row>
    <row r="38" spans="1:13" x14ac:dyDescent="0.35">
      <c r="A38" s="227" t="s">
        <v>123</v>
      </c>
      <c r="B38" s="228">
        <v>46077</v>
      </c>
      <c r="C38" s="229" t="s">
        <v>259</v>
      </c>
      <c r="D38" s="229" t="s">
        <v>260</v>
      </c>
      <c r="E38" s="236">
        <v>8969827290</v>
      </c>
      <c r="F38" s="229" t="str">
        <f>'Membership Level'!A12</f>
        <v>Swimming Moth</v>
      </c>
      <c r="G38" s="229" t="s">
        <v>227</v>
      </c>
      <c r="H38" s="231">
        <v>3000</v>
      </c>
      <c r="I38" s="231">
        <v>3000</v>
      </c>
      <c r="J38" s="232">
        <f t="shared" si="0"/>
        <v>0</v>
      </c>
      <c r="K38" s="233">
        <v>46077</v>
      </c>
      <c r="L38" s="228">
        <f>DATE(YEAR(K38),MONTH(K38)+VLOOKUP($F38,'Membership Level'!$A$3:$B$15,2,FALSE),DAY(K38))</f>
        <v>46105</v>
      </c>
      <c r="M38" s="227">
        <v>3</v>
      </c>
    </row>
    <row r="39" spans="1:13" s="261" customFormat="1" x14ac:dyDescent="0.35">
      <c r="A39" s="255" t="s">
        <v>124</v>
      </c>
      <c r="B39" s="256">
        <v>46077</v>
      </c>
      <c r="C39" s="255" t="s">
        <v>261</v>
      </c>
      <c r="D39" s="255" t="s">
        <v>262</v>
      </c>
      <c r="E39" s="262">
        <v>8757993589</v>
      </c>
      <c r="F39" s="255" t="str">
        <f>'Membership Level'!A13</f>
        <v>Swimming Qty</v>
      </c>
      <c r="G39" s="255" t="s">
        <v>263</v>
      </c>
      <c r="H39" s="258">
        <v>7500</v>
      </c>
      <c r="I39" s="258">
        <v>7500</v>
      </c>
      <c r="J39" s="259">
        <f t="shared" si="0"/>
        <v>0</v>
      </c>
      <c r="K39" s="256">
        <v>46077</v>
      </c>
      <c r="L39" s="256">
        <v>46166</v>
      </c>
      <c r="M39" s="255">
        <v>3</v>
      </c>
    </row>
    <row r="40" spans="1:13" x14ac:dyDescent="0.35">
      <c r="A40" s="227" t="s">
        <v>125</v>
      </c>
      <c r="B40" s="228">
        <v>46077</v>
      </c>
      <c r="C40" s="229" t="s">
        <v>260</v>
      </c>
      <c r="D40" s="229" t="s">
        <v>264</v>
      </c>
      <c r="E40" s="236">
        <v>9661117444</v>
      </c>
      <c r="F40" s="229" t="str">
        <f>'Membership Level'!A12</f>
        <v>Swimming Moth</v>
      </c>
      <c r="G40" s="229" t="s">
        <v>248</v>
      </c>
      <c r="H40" s="231">
        <v>4000</v>
      </c>
      <c r="I40" s="231">
        <v>4000</v>
      </c>
      <c r="J40" s="232">
        <f t="shared" si="0"/>
        <v>0</v>
      </c>
      <c r="K40" s="233">
        <v>46077</v>
      </c>
      <c r="L40" s="228">
        <f>DATE(YEAR(K40),MONTH(K40)+VLOOKUP($F40,'Membership Level'!$A$3:$B$15,2,FALSE),DAY(K40))</f>
        <v>46105</v>
      </c>
      <c r="M40" s="227">
        <v>3</v>
      </c>
    </row>
    <row r="41" spans="1:13" x14ac:dyDescent="0.35">
      <c r="A41" s="227" t="s">
        <v>126</v>
      </c>
      <c r="B41" s="228">
        <v>46077</v>
      </c>
      <c r="C41" s="229"/>
      <c r="D41" s="229" t="s">
        <v>265</v>
      </c>
      <c r="E41" s="236">
        <v>8873630016</v>
      </c>
      <c r="F41" s="229" t="str">
        <f>'Membership Level'!A12</f>
        <v>Swimming Moth</v>
      </c>
      <c r="G41" s="229" t="s">
        <v>257</v>
      </c>
      <c r="H41" s="231">
        <v>4400</v>
      </c>
      <c r="I41" s="231">
        <v>4400</v>
      </c>
      <c r="J41" s="232">
        <f t="shared" si="0"/>
        <v>0</v>
      </c>
      <c r="K41" s="337">
        <v>46150</v>
      </c>
      <c r="L41" s="337">
        <f>DATE(YEAR(K41),MONTH(K41)+VLOOKUP($F41,'Membership Level'!$A$3:$B$15,2,FALSE),DAY(K41))</f>
        <v>46181</v>
      </c>
      <c r="M41" s="227">
        <v>3</v>
      </c>
    </row>
    <row r="42" spans="1:13" s="11" customFormat="1" x14ac:dyDescent="0.35">
      <c r="A42" s="227" t="s">
        <v>127</v>
      </c>
      <c r="B42" s="228">
        <v>46077</v>
      </c>
      <c r="C42" s="229"/>
      <c r="D42" s="229" t="s">
        <v>266</v>
      </c>
      <c r="E42" s="236">
        <v>9262325017</v>
      </c>
      <c r="F42" s="229" t="str">
        <f>'Membership Level'!A12</f>
        <v>Swimming Moth</v>
      </c>
      <c r="G42" s="229" t="s">
        <v>267</v>
      </c>
      <c r="H42" s="231">
        <v>2800</v>
      </c>
      <c r="I42" s="231">
        <v>2800</v>
      </c>
      <c r="J42" s="232">
        <f t="shared" si="0"/>
        <v>0</v>
      </c>
      <c r="K42" s="337">
        <v>46136</v>
      </c>
      <c r="L42" s="337">
        <f>DATE(YEAR(K42),MONTH(K42)+VLOOKUP($F42,'Membership Level'!$A$3:$B$15,2,FALSE),DAY(K42))</f>
        <v>46166</v>
      </c>
      <c r="M42" s="227">
        <v>3</v>
      </c>
    </row>
    <row r="43" spans="1:13" s="261" customFormat="1" x14ac:dyDescent="0.35">
      <c r="A43" s="255" t="s">
        <v>128</v>
      </c>
      <c r="B43" s="256">
        <v>46078</v>
      </c>
      <c r="C43" s="255" t="s">
        <v>268</v>
      </c>
      <c r="D43" s="255" t="s">
        <v>269</v>
      </c>
      <c r="E43" s="262">
        <v>9905415111</v>
      </c>
      <c r="F43" s="255" t="str">
        <f>'Membership Level'!A14</f>
        <v>Swimming HY</v>
      </c>
      <c r="G43" s="255" t="s">
        <v>237</v>
      </c>
      <c r="H43" s="258">
        <v>18000</v>
      </c>
      <c r="I43" s="258">
        <v>18000</v>
      </c>
      <c r="J43" s="259">
        <f t="shared" si="0"/>
        <v>0</v>
      </c>
      <c r="K43" s="256">
        <v>46077</v>
      </c>
      <c r="L43" s="256">
        <f>DATE(YEAR(K43),MONTH(K43)+VLOOKUP($F43,'Membership Level'!$A$3:$B$15,2,FALSE),DAY(K43))</f>
        <v>46258</v>
      </c>
      <c r="M43" s="255">
        <v>3</v>
      </c>
    </row>
    <row r="44" spans="1:13" x14ac:dyDescent="0.35">
      <c r="A44" s="227" t="s">
        <v>129</v>
      </c>
      <c r="B44" s="228">
        <v>46078</v>
      </c>
      <c r="C44" s="229" t="s">
        <v>272</v>
      </c>
      <c r="D44" s="229" t="s">
        <v>271</v>
      </c>
      <c r="E44" s="236">
        <v>9205642415</v>
      </c>
      <c r="F44" s="229" t="str">
        <f>'Membership Level'!A12</f>
        <v>Swimming Moth</v>
      </c>
      <c r="G44" s="229" t="s">
        <v>257</v>
      </c>
      <c r="H44" s="231">
        <v>3800</v>
      </c>
      <c r="I44" s="231">
        <v>3800</v>
      </c>
      <c r="J44" s="232">
        <f t="shared" si="0"/>
        <v>0</v>
      </c>
      <c r="K44" s="338">
        <v>46108</v>
      </c>
      <c r="L44" s="338">
        <f>DATE(YEAR(K44),MONTH(K44)+VLOOKUP($F44,'Membership Level'!$A$3:$B$15,2,FALSE),DAY(K44))</f>
        <v>46139</v>
      </c>
      <c r="M44" s="227">
        <v>3</v>
      </c>
    </row>
    <row r="45" spans="1:13" x14ac:dyDescent="0.35">
      <c r="A45" s="227" t="s">
        <v>130</v>
      </c>
      <c r="B45" s="228">
        <v>46078</v>
      </c>
      <c r="C45" s="229" t="s">
        <v>272</v>
      </c>
      <c r="D45" s="229" t="s">
        <v>232</v>
      </c>
      <c r="E45" s="236">
        <v>9205642415</v>
      </c>
      <c r="F45" s="229" t="str">
        <f>'Membership Level'!A12</f>
        <v>Swimming Moth</v>
      </c>
      <c r="G45" s="229" t="s">
        <v>248</v>
      </c>
      <c r="H45" s="231">
        <v>3800</v>
      </c>
      <c r="I45" s="231">
        <v>3800</v>
      </c>
      <c r="J45" s="232">
        <f t="shared" si="0"/>
        <v>0</v>
      </c>
      <c r="K45" s="338">
        <v>46139</v>
      </c>
      <c r="L45" s="338">
        <f>DATE(YEAR(K45),MONTH(K45)+VLOOKUP($F45,'Membership Level'!$A$3:$B$15,2,FALSE),DAY(K45))</f>
        <v>46169</v>
      </c>
      <c r="M45" s="227">
        <v>3</v>
      </c>
    </row>
    <row r="46" spans="1:13" x14ac:dyDescent="0.35">
      <c r="A46" s="227" t="s">
        <v>131</v>
      </c>
      <c r="B46" s="228">
        <v>46078</v>
      </c>
      <c r="C46" s="229"/>
      <c r="D46" s="229" t="s">
        <v>274</v>
      </c>
      <c r="E46" s="237">
        <v>7070373418</v>
      </c>
      <c r="F46" s="229" t="str">
        <f>'Membership Level'!A12</f>
        <v>Swimming Moth</v>
      </c>
      <c r="G46" s="229" t="s">
        <v>248</v>
      </c>
      <c r="H46" s="231">
        <v>2800</v>
      </c>
      <c r="I46" s="231">
        <v>2800</v>
      </c>
      <c r="J46" s="232">
        <f t="shared" si="0"/>
        <v>0</v>
      </c>
      <c r="K46" s="233">
        <v>46078</v>
      </c>
      <c r="L46" s="228">
        <v>46106</v>
      </c>
      <c r="M46" s="227">
        <v>3</v>
      </c>
    </row>
    <row r="47" spans="1:13" x14ac:dyDescent="0.35">
      <c r="A47" s="227" t="s">
        <v>132</v>
      </c>
      <c r="B47" s="228">
        <v>46078</v>
      </c>
      <c r="C47" s="229"/>
      <c r="D47" s="229" t="s">
        <v>273</v>
      </c>
      <c r="E47" s="237">
        <v>7070373418</v>
      </c>
      <c r="F47" s="229" t="str">
        <f>'Membership Level'!A12</f>
        <v>Swimming Moth</v>
      </c>
      <c r="G47" s="229" t="s">
        <v>248</v>
      </c>
      <c r="H47" s="231">
        <v>2800</v>
      </c>
      <c r="I47" s="231">
        <v>2800</v>
      </c>
      <c r="J47" s="232">
        <f t="shared" si="0"/>
        <v>0</v>
      </c>
      <c r="K47" s="233">
        <v>46078</v>
      </c>
      <c r="L47" s="228">
        <f>DATE(YEAR(K47),MONTH(K47)+VLOOKUP($F47,'Membership Level'!$A$3:$B$15,2,FALSE),DAY(K47))</f>
        <v>46106</v>
      </c>
      <c r="M47" s="227">
        <v>3</v>
      </c>
    </row>
    <row r="48" spans="1:13" x14ac:dyDescent="0.35">
      <c r="A48" s="227" t="s">
        <v>133</v>
      </c>
      <c r="B48" s="228">
        <v>46078</v>
      </c>
      <c r="C48" s="229"/>
      <c r="D48" s="229" t="s">
        <v>275</v>
      </c>
      <c r="E48" s="236">
        <v>9334272809</v>
      </c>
      <c r="F48" s="229" t="str">
        <f>'Membership Level'!A12</f>
        <v>Swimming Moth</v>
      </c>
      <c r="G48" s="229" t="s">
        <v>257</v>
      </c>
      <c r="H48" s="231">
        <v>3000</v>
      </c>
      <c r="I48" s="231">
        <v>3000</v>
      </c>
      <c r="J48" s="232">
        <f t="shared" si="0"/>
        <v>0</v>
      </c>
      <c r="K48" s="339">
        <v>46078</v>
      </c>
      <c r="L48" s="339">
        <f>DATE(YEAR(K48),MONTH(K48)+VLOOKUP($F48,'Membership Level'!$A$3:$B$15,2,FALSE),DAY(K48))</f>
        <v>46106</v>
      </c>
      <c r="M48" s="227">
        <v>3</v>
      </c>
    </row>
    <row r="49" spans="1:13" x14ac:dyDescent="0.35">
      <c r="A49" s="227" t="s">
        <v>134</v>
      </c>
      <c r="B49" s="228">
        <v>46079</v>
      </c>
      <c r="C49" s="229" t="s">
        <v>276</v>
      </c>
      <c r="D49" s="229" t="s">
        <v>277</v>
      </c>
      <c r="E49" s="236">
        <v>8260285700</v>
      </c>
      <c r="F49" s="229" t="str">
        <f>'Membership Level'!A12</f>
        <v>Swimming Moth</v>
      </c>
      <c r="G49" s="229" t="s">
        <v>278</v>
      </c>
      <c r="H49" s="231">
        <v>3300</v>
      </c>
      <c r="I49" s="231">
        <v>3300</v>
      </c>
      <c r="J49" s="232">
        <f t="shared" si="0"/>
        <v>0</v>
      </c>
      <c r="K49" s="338">
        <v>46107</v>
      </c>
      <c r="L49" s="338">
        <f>DATE(YEAR(K49),MONTH(K49)+VLOOKUP($F49,'Membership Level'!$A$3:$B$15,2,FALSE),DAY(K49))</f>
        <v>46138</v>
      </c>
      <c r="M49" s="227">
        <v>3</v>
      </c>
    </row>
    <row r="50" spans="1:13" x14ac:dyDescent="0.35">
      <c r="A50" s="227" t="s">
        <v>135</v>
      </c>
      <c r="B50" s="228">
        <v>46079</v>
      </c>
      <c r="C50" s="229" t="s">
        <v>281</v>
      </c>
      <c r="D50" s="229" t="s">
        <v>280</v>
      </c>
      <c r="E50" s="236">
        <v>9471564445</v>
      </c>
      <c r="F50" s="229" t="str">
        <f>'Membership Level'!A12</f>
        <v>Swimming Moth</v>
      </c>
      <c r="G50" s="229" t="s">
        <v>279</v>
      </c>
      <c r="H50" s="231">
        <v>3300</v>
      </c>
      <c r="I50" s="231">
        <v>3300</v>
      </c>
      <c r="J50" s="232">
        <f t="shared" si="0"/>
        <v>0</v>
      </c>
      <c r="K50" s="233">
        <v>46079</v>
      </c>
      <c r="L50" s="228">
        <f>DATE(YEAR(K50),MONTH(K50)+VLOOKUP($F50,'Membership Level'!$A$3:$B$15,2,FALSE),DAY(K50))</f>
        <v>46107</v>
      </c>
      <c r="M50" s="227">
        <v>3</v>
      </c>
    </row>
    <row r="51" spans="1:13" x14ac:dyDescent="0.35">
      <c r="A51" s="227" t="s">
        <v>136</v>
      </c>
      <c r="B51" s="228">
        <v>46079</v>
      </c>
      <c r="C51" s="229" t="s">
        <v>272</v>
      </c>
      <c r="D51" s="229" t="s">
        <v>282</v>
      </c>
      <c r="E51" s="236">
        <v>9205642415</v>
      </c>
      <c r="F51" s="229" t="str">
        <f>'Membership Level'!A12</f>
        <v>Swimming Moth</v>
      </c>
      <c r="G51" s="229" t="s">
        <v>248</v>
      </c>
      <c r="H51" s="231">
        <v>4000</v>
      </c>
      <c r="I51" s="231">
        <v>4000</v>
      </c>
      <c r="J51" s="232">
        <f t="shared" si="0"/>
        <v>0</v>
      </c>
      <c r="K51" s="240">
        <v>46079</v>
      </c>
      <c r="L51" s="228">
        <f>DATE(YEAR(K51),MONTH(K51)+VLOOKUP($F51,'Membership Level'!$A$3:$B$15,2,FALSE),DAY(K51))</f>
        <v>46107</v>
      </c>
      <c r="M51" s="234"/>
    </row>
    <row r="52" spans="1:13" x14ac:dyDescent="0.35">
      <c r="A52" s="227" t="s">
        <v>137</v>
      </c>
      <c r="B52" s="228">
        <v>46080</v>
      </c>
      <c r="C52" s="229" t="s">
        <v>283</v>
      </c>
      <c r="D52" s="229" t="s">
        <v>284</v>
      </c>
      <c r="E52" s="236">
        <v>7899207676</v>
      </c>
      <c r="F52" s="229" t="str">
        <f>'Membership Level'!A12</f>
        <v>Swimming Moth</v>
      </c>
      <c r="G52" s="229" t="s">
        <v>278</v>
      </c>
      <c r="H52" s="231">
        <v>3000</v>
      </c>
      <c r="I52" s="231">
        <v>3000</v>
      </c>
      <c r="J52" s="232">
        <f t="shared" si="0"/>
        <v>0</v>
      </c>
      <c r="K52" s="233">
        <v>46080</v>
      </c>
      <c r="L52" s="228">
        <f>DATE(YEAR(K52),MONTH(K52)+VLOOKUP($F52,'Membership Level'!$A$3:$B$15,2,FALSE),DAY(K52))</f>
        <v>46108</v>
      </c>
      <c r="M52" s="227">
        <v>3</v>
      </c>
    </row>
    <row r="53" spans="1:13" x14ac:dyDescent="0.35">
      <c r="A53" s="227" t="s">
        <v>138</v>
      </c>
      <c r="B53" s="228">
        <v>46080</v>
      </c>
      <c r="C53" s="229" t="s">
        <v>272</v>
      </c>
      <c r="D53" s="229" t="s">
        <v>285</v>
      </c>
      <c r="E53" s="236">
        <v>9205642415</v>
      </c>
      <c r="F53" s="229" t="str">
        <f>'Membership Level'!A12</f>
        <v>Swimming Moth</v>
      </c>
      <c r="G53" s="229" t="s">
        <v>248</v>
      </c>
      <c r="H53" s="231">
        <v>3200</v>
      </c>
      <c r="I53" s="231">
        <v>3200</v>
      </c>
      <c r="J53" s="232">
        <f t="shared" si="0"/>
        <v>0</v>
      </c>
      <c r="K53" s="338">
        <v>46108</v>
      </c>
      <c r="L53" s="338">
        <f>DATE(YEAR(K53),MONTH(K53)+VLOOKUP($F53,'Membership Level'!$A$3:$B$15,2,FALSE),DAY(K53))</f>
        <v>46139</v>
      </c>
      <c r="M53" s="227">
        <v>3</v>
      </c>
    </row>
    <row r="54" spans="1:13" x14ac:dyDescent="0.35">
      <c r="A54" s="227" t="s">
        <v>139</v>
      </c>
      <c r="B54" s="228">
        <v>46081</v>
      </c>
      <c r="C54" s="229"/>
      <c r="D54" s="229" t="s">
        <v>286</v>
      </c>
      <c r="E54" s="236">
        <v>7676011492</v>
      </c>
      <c r="F54" s="229" t="str">
        <f>'Membership Level'!A12</f>
        <v>Swimming Moth</v>
      </c>
      <c r="G54" s="229" t="s">
        <v>278</v>
      </c>
      <c r="H54" s="231">
        <v>2800</v>
      </c>
      <c r="I54" s="231">
        <v>2800</v>
      </c>
      <c r="J54" s="232">
        <f t="shared" si="0"/>
        <v>0</v>
      </c>
      <c r="K54" s="338">
        <v>46109</v>
      </c>
      <c r="L54" s="338">
        <f>DATE(YEAR(K54),MONTH(K54)+VLOOKUP($F54,'Membership Level'!$A$3:$B$15,2,FALSE),DAY(K54))</f>
        <v>46140</v>
      </c>
      <c r="M54" s="227">
        <v>3</v>
      </c>
    </row>
    <row r="55" spans="1:13" x14ac:dyDescent="0.35">
      <c r="A55" s="227" t="s">
        <v>140</v>
      </c>
      <c r="B55" s="228">
        <v>46081</v>
      </c>
      <c r="C55" s="229"/>
      <c r="D55" s="229" t="s">
        <v>287</v>
      </c>
      <c r="E55" s="236">
        <v>7676011492</v>
      </c>
      <c r="F55" s="229" t="str">
        <f>'Membership Level'!A12</f>
        <v>Swimming Moth</v>
      </c>
      <c r="G55" s="229" t="s">
        <v>279</v>
      </c>
      <c r="H55" s="231">
        <v>2800</v>
      </c>
      <c r="I55" s="231">
        <v>2800</v>
      </c>
      <c r="J55" s="232">
        <f t="shared" si="0"/>
        <v>0</v>
      </c>
      <c r="K55" s="338">
        <v>46109</v>
      </c>
      <c r="L55" s="338">
        <f>DATE(YEAR(K55),MONTH(K55)+VLOOKUP($F55,'Membership Level'!$A$3:$B$15,2,FALSE),DAY(K55))</f>
        <v>46140</v>
      </c>
      <c r="M55" s="227">
        <v>3</v>
      </c>
    </row>
    <row r="56" spans="1:13" x14ac:dyDescent="0.35">
      <c r="A56" s="227" t="s">
        <v>141</v>
      </c>
      <c r="B56" s="228">
        <v>46081</v>
      </c>
      <c r="C56" s="229" t="s">
        <v>290</v>
      </c>
      <c r="D56" s="229" t="s">
        <v>288</v>
      </c>
      <c r="E56" s="236">
        <v>6204510731</v>
      </c>
      <c r="F56" s="229" t="str">
        <f>'Membership Level'!A12</f>
        <v>Swimming Moth</v>
      </c>
      <c r="G56" s="229" t="s">
        <v>289</v>
      </c>
      <c r="H56" s="231">
        <v>2800</v>
      </c>
      <c r="I56" s="231">
        <v>2800</v>
      </c>
      <c r="J56" s="232">
        <f t="shared" si="0"/>
        <v>0</v>
      </c>
      <c r="K56" s="338">
        <v>46154</v>
      </c>
      <c r="L56" s="338">
        <f>DATE(YEAR(K56),MONTH(K56)+VLOOKUP($F56,'Membership Level'!$A$3:$B$15,2,FALSE),DAY(K56))</f>
        <v>46185</v>
      </c>
      <c r="M56" s="227">
        <v>3</v>
      </c>
    </row>
    <row r="57" spans="1:13" x14ac:dyDescent="0.35">
      <c r="A57" s="227" t="s">
        <v>142</v>
      </c>
      <c r="B57" s="228">
        <v>46082</v>
      </c>
      <c r="C57" s="229" t="s">
        <v>292</v>
      </c>
      <c r="D57" s="229" t="s">
        <v>293</v>
      </c>
      <c r="E57" s="236">
        <v>9431000543</v>
      </c>
      <c r="F57" s="229" t="str">
        <f>'Membership Level'!A12</f>
        <v>Swimming Moth</v>
      </c>
      <c r="G57" s="229" t="s">
        <v>248</v>
      </c>
      <c r="H57" s="231">
        <v>4400</v>
      </c>
      <c r="I57" s="231">
        <v>4400</v>
      </c>
      <c r="J57" s="232">
        <f t="shared" si="0"/>
        <v>0</v>
      </c>
      <c r="K57" s="338">
        <v>46113</v>
      </c>
      <c r="L57" s="338">
        <f>DATE(YEAR(K57),MONTH(K57)+VLOOKUP($F57,'Membership Level'!$A$3:$B$15,2,FALSE),DAY(K57))</f>
        <v>46143</v>
      </c>
      <c r="M57" s="227">
        <v>3</v>
      </c>
    </row>
    <row r="58" spans="1:13" x14ac:dyDescent="0.35">
      <c r="A58" s="227" t="s">
        <v>143</v>
      </c>
      <c r="B58" s="228">
        <v>46084</v>
      </c>
      <c r="C58" s="229" t="s">
        <v>291</v>
      </c>
      <c r="D58" s="229" t="s">
        <v>295</v>
      </c>
      <c r="E58" s="236">
        <v>9065410825</v>
      </c>
      <c r="F58" s="229" t="str">
        <f>'Membership Level'!A12</f>
        <v>Swimming Moth</v>
      </c>
      <c r="G58" s="229" t="s">
        <v>294</v>
      </c>
      <c r="H58" s="231">
        <v>1600</v>
      </c>
      <c r="I58" s="231">
        <v>1600</v>
      </c>
      <c r="J58" s="232">
        <f t="shared" si="0"/>
        <v>0</v>
      </c>
      <c r="K58" s="338">
        <v>46115</v>
      </c>
      <c r="L58" s="338">
        <f>DATE(YEAR(K58),MONTH(K58)+VLOOKUP($F58,'Membership Level'!$A$3:$B$15,2,FALSE),DAY(K58))</f>
        <v>46145</v>
      </c>
      <c r="M58" s="227">
        <v>3</v>
      </c>
    </row>
    <row r="59" spans="1:13" x14ac:dyDescent="0.35">
      <c r="A59" s="227" t="s">
        <v>144</v>
      </c>
      <c r="B59" s="228">
        <v>46084</v>
      </c>
      <c r="C59" s="229" t="s">
        <v>291</v>
      </c>
      <c r="D59" s="229" t="s">
        <v>296</v>
      </c>
      <c r="E59" s="236">
        <v>8406910394</v>
      </c>
      <c r="F59" s="229" t="str">
        <f>'Membership Level'!A12</f>
        <v>Swimming Moth</v>
      </c>
      <c r="G59" s="229" t="s">
        <v>297</v>
      </c>
      <c r="H59" s="231">
        <v>3000</v>
      </c>
      <c r="I59" s="231">
        <v>3000</v>
      </c>
      <c r="J59" s="232">
        <f t="shared" si="0"/>
        <v>0</v>
      </c>
      <c r="K59" s="233">
        <v>46084</v>
      </c>
      <c r="L59" s="228">
        <f>DATE(YEAR(K59),MONTH(K59)+VLOOKUP($F59,'Membership Level'!$A$3:$B$15,2,FALSE),DAY(K59))</f>
        <v>46115</v>
      </c>
      <c r="M59" s="227">
        <v>3</v>
      </c>
    </row>
    <row r="60" spans="1:13" s="275" customFormat="1" x14ac:dyDescent="0.35">
      <c r="A60" s="271" t="s">
        <v>145</v>
      </c>
      <c r="B60" s="272">
        <v>46084</v>
      </c>
      <c r="C60" s="227" t="s">
        <v>281</v>
      </c>
      <c r="D60" s="227" t="s">
        <v>298</v>
      </c>
      <c r="E60" s="237">
        <v>9955255323</v>
      </c>
      <c r="F60" s="227" t="str">
        <f>'Membership Level'!A12</f>
        <v>Swimming Moth</v>
      </c>
      <c r="G60" s="227" t="s">
        <v>248</v>
      </c>
      <c r="H60" s="309">
        <v>4000</v>
      </c>
      <c r="I60" s="309">
        <v>4000</v>
      </c>
      <c r="J60" s="232">
        <f t="shared" si="0"/>
        <v>0</v>
      </c>
      <c r="K60" s="272">
        <v>46084</v>
      </c>
      <c r="L60" s="272">
        <f>DATE(YEAR(K60),MONTH(K60)+VLOOKUP($F60,'Membership Level'!$A$3:$B$15,2,FALSE),DAY(K60))</f>
        <v>46115</v>
      </c>
      <c r="M60" s="271">
        <v>3</v>
      </c>
    </row>
    <row r="61" spans="1:13" x14ac:dyDescent="0.35">
      <c r="A61" s="227" t="s">
        <v>146</v>
      </c>
      <c r="B61" s="228">
        <v>46087</v>
      </c>
      <c r="C61" s="229" t="s">
        <v>299</v>
      </c>
      <c r="D61" s="229" t="s">
        <v>260</v>
      </c>
      <c r="E61" s="236">
        <v>9934303533</v>
      </c>
      <c r="F61" s="229" t="str">
        <f>'Membership Level'!A12</f>
        <v>Swimming Moth</v>
      </c>
      <c r="G61" s="229" t="s">
        <v>257</v>
      </c>
      <c r="H61" s="231">
        <v>4000</v>
      </c>
      <c r="I61" s="231">
        <v>4000</v>
      </c>
      <c r="J61" s="232">
        <f t="shared" si="0"/>
        <v>0</v>
      </c>
      <c r="K61" s="233">
        <v>46087</v>
      </c>
      <c r="L61" s="228">
        <f>DATE(YEAR(K61),MONTH(K61)+VLOOKUP($F61,'Membership Level'!$A$3:$B$15,2,FALSE),DAY(K61))</f>
        <v>46118</v>
      </c>
      <c r="M61" s="227">
        <v>3</v>
      </c>
    </row>
    <row r="62" spans="1:13" s="82" customFormat="1" x14ac:dyDescent="0.35">
      <c r="A62" s="227" t="s">
        <v>147</v>
      </c>
      <c r="B62" s="228">
        <v>46087</v>
      </c>
      <c r="C62" s="229" t="s">
        <v>301</v>
      </c>
      <c r="D62" s="229" t="s">
        <v>300</v>
      </c>
      <c r="E62" s="236">
        <v>8744080525</v>
      </c>
      <c r="F62" s="229" t="str">
        <f>'Membership Level'!A12</f>
        <v>Swimming Moth</v>
      </c>
      <c r="G62" s="229" t="s">
        <v>257</v>
      </c>
      <c r="H62" s="231">
        <v>3500</v>
      </c>
      <c r="I62" s="231">
        <v>3500</v>
      </c>
      <c r="J62" s="232">
        <f t="shared" si="0"/>
        <v>0</v>
      </c>
      <c r="K62" s="233">
        <v>46087</v>
      </c>
      <c r="L62" s="228">
        <f>DATE(YEAR(K62),MONTH(K62)+VLOOKUP($F62,'Membership Level'!$A$3:$B$15,2,FALSE),DAY(K62))</f>
        <v>46118</v>
      </c>
      <c r="M62" s="227">
        <v>3</v>
      </c>
    </row>
    <row r="63" spans="1:13" x14ac:dyDescent="0.35">
      <c r="A63" s="227" t="s">
        <v>148</v>
      </c>
      <c r="B63" s="228">
        <v>46087</v>
      </c>
      <c r="C63" s="229"/>
      <c r="D63" s="229" t="s">
        <v>302</v>
      </c>
      <c r="E63" s="237">
        <v>7323880917</v>
      </c>
      <c r="F63" s="229" t="str">
        <f>'Membership Level'!A12</f>
        <v>Swimming Moth</v>
      </c>
      <c r="G63" s="229" t="s">
        <v>257</v>
      </c>
      <c r="H63" s="231">
        <v>3500</v>
      </c>
      <c r="I63" s="231">
        <v>3500</v>
      </c>
      <c r="J63" s="232">
        <f t="shared" si="0"/>
        <v>0</v>
      </c>
      <c r="K63" s="233">
        <v>46087</v>
      </c>
      <c r="L63" s="228">
        <f>DATE(YEAR(K63),MONTH(K63)+VLOOKUP($F63,'Membership Level'!$A$3:$B$15,2,FALSE),DAY(K63))</f>
        <v>46118</v>
      </c>
      <c r="M63" s="227">
        <v>3</v>
      </c>
    </row>
    <row r="64" spans="1:13" x14ac:dyDescent="0.35">
      <c r="A64" s="227" t="s">
        <v>149</v>
      </c>
      <c r="B64" s="228">
        <v>46087</v>
      </c>
      <c r="C64" s="229"/>
      <c r="D64" s="229" t="s">
        <v>303</v>
      </c>
      <c r="E64" s="237">
        <v>7323880917</v>
      </c>
      <c r="F64" s="229" t="str">
        <f>'Membership Level'!A12</f>
        <v>Swimming Moth</v>
      </c>
      <c r="G64" s="229" t="s">
        <v>248</v>
      </c>
      <c r="H64" s="231">
        <v>3500</v>
      </c>
      <c r="I64" s="231">
        <v>3500</v>
      </c>
      <c r="J64" s="232">
        <f t="shared" si="0"/>
        <v>0</v>
      </c>
      <c r="K64" s="233">
        <v>46087</v>
      </c>
      <c r="L64" s="228">
        <f>DATE(YEAR(K64),MONTH(K64)+VLOOKUP($F64,'Membership Level'!$A$3:$B$15,2,FALSE),DAY(K64))</f>
        <v>46118</v>
      </c>
      <c r="M64" s="227">
        <v>3</v>
      </c>
    </row>
    <row r="65" spans="1:13" x14ac:dyDescent="0.35">
      <c r="A65" s="227" t="s">
        <v>150</v>
      </c>
      <c r="B65" s="228">
        <v>46087</v>
      </c>
      <c r="C65" s="229"/>
      <c r="D65" s="229" t="s">
        <v>304</v>
      </c>
      <c r="E65" s="237">
        <v>7323880917</v>
      </c>
      <c r="F65" s="229" t="str">
        <f>'Membership Level'!A12</f>
        <v>Swimming Moth</v>
      </c>
      <c r="G65" s="229" t="s">
        <v>257</v>
      </c>
      <c r="H65" s="231">
        <v>3500</v>
      </c>
      <c r="I65" s="231">
        <v>3500</v>
      </c>
      <c r="J65" s="232">
        <f t="shared" si="0"/>
        <v>0</v>
      </c>
      <c r="K65" s="233">
        <v>46087</v>
      </c>
      <c r="L65" s="228">
        <f>DATE(YEAR(K65),MONTH(K65)+VLOOKUP($F65,'Membership Level'!$A$3:$B$15,2,FALSE),DAY(K65))</f>
        <v>46118</v>
      </c>
      <c r="M65" s="227">
        <v>3</v>
      </c>
    </row>
    <row r="66" spans="1:13" x14ac:dyDescent="0.35">
      <c r="A66" s="227" t="s">
        <v>151</v>
      </c>
      <c r="B66" s="228">
        <v>46087</v>
      </c>
      <c r="C66" s="229"/>
      <c r="D66" s="229" t="s">
        <v>312</v>
      </c>
      <c r="E66" s="236">
        <v>9102999992</v>
      </c>
      <c r="F66" s="229" t="str">
        <f>'Membership Level'!A12</f>
        <v>Swimming Moth</v>
      </c>
      <c r="G66" s="229" t="s">
        <v>257</v>
      </c>
      <c r="H66" s="231">
        <v>3300</v>
      </c>
      <c r="I66" s="231">
        <v>3300</v>
      </c>
      <c r="J66" s="232">
        <f t="shared" si="0"/>
        <v>0</v>
      </c>
      <c r="K66" s="233">
        <v>46087</v>
      </c>
      <c r="L66" s="228">
        <f>DATE(YEAR(K66),MONTH(K66)+VLOOKUP($F66,'Membership Level'!$A$3:$B$15,2,FALSE),DAY(K66))</f>
        <v>46118</v>
      </c>
      <c r="M66" s="227">
        <v>3</v>
      </c>
    </row>
    <row r="67" spans="1:13" x14ac:dyDescent="0.35">
      <c r="A67" s="227" t="s">
        <v>152</v>
      </c>
      <c r="B67" s="228">
        <v>46087</v>
      </c>
      <c r="C67" s="229" t="s">
        <v>281</v>
      </c>
      <c r="D67" s="229" t="s">
        <v>313</v>
      </c>
      <c r="E67" s="236">
        <v>7970443777</v>
      </c>
      <c r="F67" s="229" t="str">
        <f>'Membership Level'!A12</f>
        <v>Swimming Moth</v>
      </c>
      <c r="G67" s="229" t="s">
        <v>257</v>
      </c>
      <c r="H67" s="231">
        <v>3300</v>
      </c>
      <c r="I67" s="231">
        <v>3300</v>
      </c>
      <c r="J67" s="232">
        <f t="shared" si="0"/>
        <v>0</v>
      </c>
      <c r="K67" s="338">
        <v>46118</v>
      </c>
      <c r="L67" s="338">
        <f>DATE(YEAR(K67),MONTH(K67)+VLOOKUP($F67,'Membership Level'!$A$3:$B$15,2,FALSE),DAY(K67))</f>
        <v>46148</v>
      </c>
      <c r="M67" s="227">
        <v>3</v>
      </c>
    </row>
    <row r="68" spans="1:13" x14ac:dyDescent="0.35">
      <c r="A68" s="227" t="s">
        <v>153</v>
      </c>
      <c r="B68" s="228">
        <v>46087</v>
      </c>
      <c r="C68" s="229" t="s">
        <v>281</v>
      </c>
      <c r="D68" s="229" t="s">
        <v>314</v>
      </c>
      <c r="E68" s="236">
        <v>7004564340</v>
      </c>
      <c r="F68" s="229" t="str">
        <f>'Membership Level'!A12</f>
        <v>Swimming Moth</v>
      </c>
      <c r="G68" s="229" t="s">
        <v>257</v>
      </c>
      <c r="H68" s="231">
        <v>3300</v>
      </c>
      <c r="I68" s="231">
        <v>3300</v>
      </c>
      <c r="J68" s="232">
        <f t="shared" si="0"/>
        <v>0</v>
      </c>
      <c r="K68" s="338">
        <v>46148</v>
      </c>
      <c r="L68" s="338">
        <f>DATE(YEAR(K68),MONTH(K68)+VLOOKUP($F68,'Membership Level'!$A$3:$B$15,2,FALSE),DAY(K68))</f>
        <v>46179</v>
      </c>
      <c r="M68" s="227">
        <v>3</v>
      </c>
    </row>
    <row r="69" spans="1:13" s="11" customFormat="1" x14ac:dyDescent="0.35">
      <c r="A69" s="227" t="s">
        <v>154</v>
      </c>
      <c r="B69" s="244">
        <v>46087</v>
      </c>
      <c r="C69" s="241" t="s">
        <v>249</v>
      </c>
      <c r="D69" s="241" t="s">
        <v>305</v>
      </c>
      <c r="E69" s="235">
        <v>9631559349</v>
      </c>
      <c r="F69" s="241" t="str">
        <f>'Membership Level'!A12</f>
        <v>Swimming Moth</v>
      </c>
      <c r="G69" s="241" t="s">
        <v>306</v>
      </c>
      <c r="H69" s="242">
        <v>2500</v>
      </c>
      <c r="I69" s="242">
        <v>2500</v>
      </c>
      <c r="J69" s="243">
        <f t="shared" si="0"/>
        <v>0</v>
      </c>
      <c r="K69" s="244">
        <v>46087</v>
      </c>
      <c r="L69" s="244">
        <f>DATE(YEAR(K69),MONTH(K69)+VLOOKUP($F69,'Membership Level'!$A$3:$B$15,2,FALSE),DAY(K69))</f>
        <v>46118</v>
      </c>
      <c r="M69" s="241">
        <v>3</v>
      </c>
    </row>
    <row r="70" spans="1:13" x14ac:dyDescent="0.35">
      <c r="A70" s="227" t="s">
        <v>155</v>
      </c>
      <c r="B70" s="244">
        <v>46088</v>
      </c>
      <c r="C70" s="93" t="s">
        <v>315</v>
      </c>
      <c r="D70" s="93" t="s">
        <v>307</v>
      </c>
      <c r="E70" s="226">
        <v>9162484875</v>
      </c>
      <c r="F70" s="93" t="str">
        <f>'Membership Level'!A12</f>
        <v>Swimming Moth</v>
      </c>
      <c r="G70" s="93" t="s">
        <v>308</v>
      </c>
      <c r="H70" s="242">
        <v>3500</v>
      </c>
      <c r="I70" s="242">
        <v>3500</v>
      </c>
      <c r="J70" s="243">
        <f t="shared" si="0"/>
        <v>0</v>
      </c>
      <c r="K70" s="245">
        <v>46088</v>
      </c>
      <c r="L70" s="244">
        <f>DATE(YEAR(K70),MONTH(K70)+VLOOKUP($F70,'Membership Level'!$A$3:$B$15,2,FALSE),DAY(K70))</f>
        <v>46119</v>
      </c>
      <c r="M70" s="241">
        <v>3</v>
      </c>
    </row>
    <row r="71" spans="1:13" x14ac:dyDescent="0.35">
      <c r="A71" s="227" t="s">
        <v>156</v>
      </c>
      <c r="B71" s="244">
        <v>46088</v>
      </c>
      <c r="C71" s="93" t="s">
        <v>272</v>
      </c>
      <c r="D71" s="93" t="s">
        <v>309</v>
      </c>
      <c r="E71" s="226">
        <v>7007119033</v>
      </c>
      <c r="F71" s="93" t="str">
        <f>'Membership Level'!A12</f>
        <v>Swimming Moth</v>
      </c>
      <c r="G71" s="93" t="s">
        <v>308</v>
      </c>
      <c r="H71" s="242">
        <v>3500</v>
      </c>
      <c r="I71" s="242">
        <v>3500</v>
      </c>
      <c r="J71" s="243"/>
      <c r="K71" s="245">
        <v>46088</v>
      </c>
      <c r="L71" s="244">
        <f>DATE(YEAR(K71),MONTH(K71)+VLOOKUP($F71,'Membership Level'!$A$3:$B$15,2,FALSE),DAY(K71))</f>
        <v>46119</v>
      </c>
      <c r="M71" s="241">
        <v>3</v>
      </c>
    </row>
    <row r="72" spans="1:13" x14ac:dyDescent="0.35">
      <c r="A72" s="227" t="s">
        <v>157</v>
      </c>
      <c r="B72" s="244">
        <v>46088</v>
      </c>
      <c r="C72" s="93" t="s">
        <v>311</v>
      </c>
      <c r="D72" s="93" t="s">
        <v>310</v>
      </c>
      <c r="E72" s="226">
        <v>7857808766</v>
      </c>
      <c r="F72" s="93" t="str">
        <f>'Membership Level'!A12</f>
        <v>Swimming Moth</v>
      </c>
      <c r="G72" s="93" t="s">
        <v>248</v>
      </c>
      <c r="H72" s="242">
        <v>4000</v>
      </c>
      <c r="I72" s="242">
        <v>500</v>
      </c>
      <c r="J72" s="243">
        <f t="shared" si="0"/>
        <v>3500</v>
      </c>
      <c r="K72" s="245">
        <v>46088</v>
      </c>
      <c r="L72" s="244">
        <f>DATE(YEAR(K72),MONTH(K72)+VLOOKUP($F72,'Membership Level'!$A$3:$B$15,2,FALSE),DAY(K72))</f>
        <v>46119</v>
      </c>
      <c r="M72" s="241">
        <v>3</v>
      </c>
    </row>
    <row r="73" spans="1:13" x14ac:dyDescent="0.35">
      <c r="A73" s="227" t="s">
        <v>158</v>
      </c>
      <c r="B73" s="244">
        <v>46088</v>
      </c>
      <c r="C73" s="93" t="s">
        <v>202</v>
      </c>
      <c r="D73" s="93" t="s">
        <v>316</v>
      </c>
      <c r="E73" s="226">
        <v>8744080525</v>
      </c>
      <c r="F73" s="93" t="str">
        <f>'Membership Level'!A12</f>
        <v>Swimming Moth</v>
      </c>
      <c r="G73" s="93" t="s">
        <v>257</v>
      </c>
      <c r="H73" s="242">
        <v>4000</v>
      </c>
      <c r="I73" s="242">
        <v>4000</v>
      </c>
      <c r="J73" s="243">
        <f t="shared" si="0"/>
        <v>0</v>
      </c>
      <c r="K73" s="245">
        <v>46088</v>
      </c>
      <c r="L73" s="244">
        <f>DATE(YEAR(K73),MONTH(K73)+VLOOKUP($F73,'Membership Level'!$A$3:$B$15,2,FALSE),DAY(K73))</f>
        <v>46119</v>
      </c>
      <c r="M73" s="241">
        <v>3</v>
      </c>
    </row>
    <row r="74" spans="1:13" x14ac:dyDescent="0.35">
      <c r="A74" s="227" t="s">
        <v>159</v>
      </c>
      <c r="B74" s="244">
        <v>46088</v>
      </c>
      <c r="C74" s="93"/>
      <c r="D74" s="93" t="s">
        <v>317</v>
      </c>
      <c r="E74" s="226">
        <v>9995269775</v>
      </c>
      <c r="F74" s="93" t="str">
        <f>'Membership Level'!A12</f>
        <v>Swimming Moth</v>
      </c>
      <c r="G74" s="93" t="s">
        <v>306</v>
      </c>
      <c r="H74" s="242">
        <v>2500</v>
      </c>
      <c r="I74" s="242">
        <v>2500</v>
      </c>
      <c r="J74" s="243">
        <f t="shared" ref="J74:J137" si="1">H74-I74</f>
        <v>0</v>
      </c>
      <c r="K74" s="340">
        <v>46119</v>
      </c>
      <c r="L74" s="340">
        <f>DATE(YEAR(K74),MONTH(K74)+VLOOKUP($F74,'Membership Level'!$A$3:$B$15,2,FALSE),DAY(K74))</f>
        <v>46149</v>
      </c>
      <c r="M74" s="241">
        <v>3</v>
      </c>
    </row>
    <row r="75" spans="1:13" x14ac:dyDescent="0.35">
      <c r="A75" s="227" t="s">
        <v>160</v>
      </c>
      <c r="B75" s="244">
        <v>46088</v>
      </c>
      <c r="C75" s="93"/>
      <c r="D75" s="93" t="s">
        <v>318</v>
      </c>
      <c r="E75" s="226">
        <v>7070944008</v>
      </c>
      <c r="F75" s="93" t="str">
        <f>'Membership Level'!A12</f>
        <v>Swimming Moth</v>
      </c>
      <c r="G75" s="93" t="s">
        <v>306</v>
      </c>
      <c r="H75" s="242">
        <v>2500</v>
      </c>
      <c r="I75" s="242">
        <v>2500</v>
      </c>
      <c r="J75" s="243">
        <f t="shared" si="1"/>
        <v>0</v>
      </c>
      <c r="K75" s="245">
        <v>46088</v>
      </c>
      <c r="L75" s="244">
        <f>DATE(YEAR(K75),MONTH(K75)+VLOOKUP($F75,'Membership Level'!$A$3:$B$15,2,FALSE),DAY(K75))</f>
        <v>46119</v>
      </c>
      <c r="M75" s="241">
        <v>3</v>
      </c>
    </row>
    <row r="76" spans="1:13" x14ac:dyDescent="0.35">
      <c r="A76" s="227" t="s">
        <v>161</v>
      </c>
      <c r="B76" s="244">
        <v>46088</v>
      </c>
      <c r="C76" s="93" t="s">
        <v>202</v>
      </c>
      <c r="D76" s="241" t="s">
        <v>319</v>
      </c>
      <c r="E76" s="226">
        <v>8210045637</v>
      </c>
      <c r="F76" s="93" t="str">
        <f>'Membership Level'!A12</f>
        <v>Swimming Moth</v>
      </c>
      <c r="G76" s="93" t="s">
        <v>308</v>
      </c>
      <c r="H76" s="242">
        <v>3500</v>
      </c>
      <c r="I76" s="242">
        <v>3500</v>
      </c>
      <c r="J76" s="243">
        <f t="shared" si="1"/>
        <v>0</v>
      </c>
      <c r="K76" s="245">
        <v>46091</v>
      </c>
      <c r="L76" s="244">
        <f>DATE(YEAR(K76),MONTH(K76)+VLOOKUP($F76,'Membership Level'!$A$3:$B$15,2,FALSE),DAY(K76))</f>
        <v>46122</v>
      </c>
      <c r="M76" s="241">
        <v>3</v>
      </c>
    </row>
    <row r="77" spans="1:13" x14ac:dyDescent="0.35">
      <c r="A77" s="227" t="s">
        <v>162</v>
      </c>
      <c r="B77" s="244">
        <v>46088</v>
      </c>
      <c r="C77" s="93" t="s">
        <v>1437</v>
      </c>
      <c r="D77" s="241" t="s">
        <v>320</v>
      </c>
      <c r="E77" s="226">
        <v>9041896799</v>
      </c>
      <c r="F77" s="93" t="str">
        <f>'Membership Level'!A12</f>
        <v>Swimming Moth</v>
      </c>
      <c r="G77" s="93" t="s">
        <v>325</v>
      </c>
      <c r="H77" s="242">
        <v>7500</v>
      </c>
      <c r="I77" s="242">
        <v>7500</v>
      </c>
      <c r="J77" s="243">
        <f>H77-I77</f>
        <v>0</v>
      </c>
      <c r="K77" s="340">
        <v>46143</v>
      </c>
      <c r="L77" s="340">
        <v>46235</v>
      </c>
      <c r="M77" s="241">
        <v>3</v>
      </c>
    </row>
    <row r="78" spans="1:13" s="6" customFormat="1" x14ac:dyDescent="0.35">
      <c r="A78" s="227" t="s">
        <v>163</v>
      </c>
      <c r="B78" s="244">
        <v>46088</v>
      </c>
      <c r="C78" s="241" t="s">
        <v>322</v>
      </c>
      <c r="D78" s="241" t="s">
        <v>321</v>
      </c>
      <c r="E78" s="235">
        <v>9041896799</v>
      </c>
      <c r="F78" s="241" t="str">
        <f>'Membership Level'!A12</f>
        <v>Swimming Moth</v>
      </c>
      <c r="G78" s="241" t="s">
        <v>297</v>
      </c>
      <c r="H78" s="242">
        <v>3000</v>
      </c>
      <c r="I78" s="242">
        <v>3000</v>
      </c>
      <c r="J78" s="243">
        <f t="shared" si="1"/>
        <v>0</v>
      </c>
      <c r="K78" s="244">
        <v>46091</v>
      </c>
      <c r="L78" s="308">
        <f>DATE(YEAR(K78),MONTH(K78)+VLOOKUP($F78,'Membership Level'!$A$3:$B$15,2,FALSE),DAY(K78))</f>
        <v>46122</v>
      </c>
      <c r="M78" s="241">
        <v>3</v>
      </c>
    </row>
    <row r="79" spans="1:13" x14ac:dyDescent="0.35">
      <c r="A79" s="227" t="s">
        <v>164</v>
      </c>
      <c r="B79" s="244">
        <v>46089</v>
      </c>
      <c r="C79" s="93"/>
      <c r="D79" s="93" t="s">
        <v>323</v>
      </c>
      <c r="E79" s="226">
        <v>9471755366</v>
      </c>
      <c r="F79" s="93" t="str">
        <f>'Membership Level'!A12</f>
        <v>Swimming Moth</v>
      </c>
      <c r="G79" s="93" t="s">
        <v>248</v>
      </c>
      <c r="H79" s="242">
        <v>4000</v>
      </c>
      <c r="I79" s="242">
        <v>4000</v>
      </c>
      <c r="J79" s="243">
        <f t="shared" si="1"/>
        <v>0</v>
      </c>
      <c r="K79" s="245">
        <v>46089</v>
      </c>
      <c r="L79" s="244">
        <f>DATE(YEAR(K79),MONTH(K79)+VLOOKUP($F79,'Membership Level'!$A$3:$B$15,2,FALSE),DAY(K79))</f>
        <v>46120</v>
      </c>
      <c r="M79" s="241">
        <v>3</v>
      </c>
    </row>
    <row r="80" spans="1:13" x14ac:dyDescent="0.35">
      <c r="A80" s="227" t="s">
        <v>165</v>
      </c>
      <c r="B80" s="244">
        <v>46089</v>
      </c>
      <c r="C80" s="93" t="s">
        <v>324</v>
      </c>
      <c r="D80" s="93" t="s">
        <v>326</v>
      </c>
      <c r="E80" s="226">
        <v>7677002020</v>
      </c>
      <c r="F80" s="93" t="str">
        <f>'Membership Level'!A12</f>
        <v>Swimming Moth</v>
      </c>
      <c r="G80" s="93" t="s">
        <v>325</v>
      </c>
      <c r="H80" s="242">
        <v>3800</v>
      </c>
      <c r="I80" s="242">
        <v>3800</v>
      </c>
      <c r="J80" s="243">
        <f t="shared" si="1"/>
        <v>0</v>
      </c>
      <c r="K80" s="245">
        <v>46089</v>
      </c>
      <c r="L80" s="244">
        <f>DATE(YEAR(K80),MONTH(K80)+VLOOKUP($F80,'Membership Level'!$A$3:$B$15,2,FALSE),DAY(K80))</f>
        <v>46120</v>
      </c>
      <c r="M80" s="241">
        <v>3</v>
      </c>
    </row>
    <row r="81" spans="1:13" x14ac:dyDescent="0.35">
      <c r="A81" s="227" t="s">
        <v>166</v>
      </c>
      <c r="B81" s="244">
        <v>46089</v>
      </c>
      <c r="C81" s="93" t="s">
        <v>329</v>
      </c>
      <c r="D81" s="93" t="s">
        <v>327</v>
      </c>
      <c r="E81" s="226">
        <v>8984652430</v>
      </c>
      <c r="F81" s="93" t="str">
        <f>'Membership Level'!A12</f>
        <v>Swimming Moth</v>
      </c>
      <c r="G81" s="93" t="s">
        <v>325</v>
      </c>
      <c r="H81" s="242">
        <v>3500</v>
      </c>
      <c r="I81" s="242">
        <v>3500</v>
      </c>
      <c r="J81" s="243">
        <f t="shared" si="1"/>
        <v>0</v>
      </c>
      <c r="K81" s="245">
        <v>46089</v>
      </c>
      <c r="L81" s="244">
        <f>DATE(YEAR(K81),MONTH(K81)+VLOOKUP($F81,'Membership Level'!$A$3:$B$15,2,FALSE),DAY(K81))</f>
        <v>46120</v>
      </c>
      <c r="M81" s="224"/>
    </row>
    <row r="82" spans="1:13" x14ac:dyDescent="0.35">
      <c r="A82" s="227" t="s">
        <v>167</v>
      </c>
      <c r="B82" s="244">
        <v>46089</v>
      </c>
      <c r="C82" s="93" t="s">
        <v>329</v>
      </c>
      <c r="D82" s="93" t="s">
        <v>328</v>
      </c>
      <c r="E82" s="226">
        <v>8984652430</v>
      </c>
      <c r="F82" s="93" t="str">
        <f>'Membership Level'!A12</f>
        <v>Swimming Moth</v>
      </c>
      <c r="G82" s="93" t="s">
        <v>325</v>
      </c>
      <c r="H82" s="242">
        <v>3500</v>
      </c>
      <c r="I82" s="242">
        <v>3500</v>
      </c>
      <c r="J82" s="243">
        <f t="shared" si="1"/>
        <v>0</v>
      </c>
      <c r="K82" s="245">
        <v>46089</v>
      </c>
      <c r="L82" s="244">
        <f>DATE(YEAR(K82),MONTH(K82)+VLOOKUP($F82,'Membership Level'!$A$3:$B$15,2,FALSE),DAY(K82))</f>
        <v>46120</v>
      </c>
      <c r="M82" s="224"/>
    </row>
    <row r="83" spans="1:13" x14ac:dyDescent="0.35">
      <c r="A83" s="227" t="s">
        <v>168</v>
      </c>
      <c r="B83" s="244">
        <v>46089</v>
      </c>
      <c r="C83" s="93" t="s">
        <v>331</v>
      </c>
      <c r="D83" s="93" t="s">
        <v>330</v>
      </c>
      <c r="E83" s="254">
        <v>8292538939</v>
      </c>
      <c r="F83" s="93" t="str">
        <f>'Membership Level'!A12</f>
        <v>Swimming Moth</v>
      </c>
      <c r="G83" s="93" t="s">
        <v>248</v>
      </c>
      <c r="H83" s="242">
        <v>4000</v>
      </c>
      <c r="I83" s="242">
        <v>4000</v>
      </c>
      <c r="J83" s="243">
        <f t="shared" si="1"/>
        <v>0</v>
      </c>
      <c r="K83" s="245">
        <v>46089</v>
      </c>
      <c r="L83" s="244">
        <f>DATE(YEAR(K83),MONTH(K83)+VLOOKUP($F83,'Membership Level'!$A$3:$B$15,2,FALSE),DAY(K83))</f>
        <v>46120</v>
      </c>
      <c r="M83" s="241">
        <v>3</v>
      </c>
    </row>
    <row r="84" spans="1:13" x14ac:dyDescent="0.35">
      <c r="A84" s="227" t="s">
        <v>169</v>
      </c>
      <c r="B84" s="244">
        <v>46089</v>
      </c>
      <c r="C84" s="93" t="s">
        <v>333</v>
      </c>
      <c r="D84" s="241" t="s">
        <v>332</v>
      </c>
      <c r="E84" s="226">
        <v>6297889256</v>
      </c>
      <c r="F84" s="93" t="str">
        <f>'Membership Level'!A12</f>
        <v>Swimming Moth</v>
      </c>
      <c r="G84" s="93" t="s">
        <v>248</v>
      </c>
      <c r="H84" s="242">
        <v>4400</v>
      </c>
      <c r="I84" s="242">
        <v>4400</v>
      </c>
      <c r="J84" s="243">
        <f t="shared" si="1"/>
        <v>0</v>
      </c>
      <c r="K84" s="245">
        <v>46092</v>
      </c>
      <c r="L84" s="244">
        <f>DATE(YEAR(K84),MONTH(K84)+VLOOKUP($F84,'Membership Level'!$A$3:$B$15,2,FALSE),DAY(K84))</f>
        <v>46123</v>
      </c>
      <c r="M84" s="241">
        <v>3</v>
      </c>
    </row>
    <row r="85" spans="1:13" x14ac:dyDescent="0.35">
      <c r="A85" s="227" t="s">
        <v>170</v>
      </c>
      <c r="B85" s="244">
        <v>46089</v>
      </c>
      <c r="C85" s="93" t="s">
        <v>336</v>
      </c>
      <c r="D85" s="93" t="s">
        <v>335</v>
      </c>
      <c r="E85" s="226">
        <v>7488854325</v>
      </c>
      <c r="F85" s="93" t="str">
        <f>'Membership Level'!A12</f>
        <v>Swimming Moth</v>
      </c>
      <c r="G85" s="93" t="s">
        <v>248</v>
      </c>
      <c r="H85" s="242">
        <v>4000</v>
      </c>
      <c r="I85" s="242">
        <v>4000</v>
      </c>
      <c r="J85" s="243">
        <f t="shared" si="1"/>
        <v>0</v>
      </c>
      <c r="K85" s="340">
        <v>46150</v>
      </c>
      <c r="L85" s="340">
        <f>DATE(YEAR(K85),MONTH(K85)+VLOOKUP($F85,'Membership Level'!$A$3:$B$15,2,FALSE),DAY(K85))</f>
        <v>46181</v>
      </c>
      <c r="M85" s="241">
        <v>3</v>
      </c>
    </row>
    <row r="86" spans="1:13" x14ac:dyDescent="0.35">
      <c r="A86" s="227" t="s">
        <v>171</v>
      </c>
      <c r="B86" s="244">
        <v>46089</v>
      </c>
      <c r="C86" s="93" t="s">
        <v>340</v>
      </c>
      <c r="D86" s="93" t="s">
        <v>339</v>
      </c>
      <c r="E86" s="226">
        <v>9934741205</v>
      </c>
      <c r="F86" s="93" t="str">
        <f>'Membership Level'!A12</f>
        <v>Swimming Moth</v>
      </c>
      <c r="G86" s="93" t="s">
        <v>306</v>
      </c>
      <c r="H86" s="242">
        <v>2000</v>
      </c>
      <c r="I86" s="242">
        <v>2000</v>
      </c>
      <c r="J86" s="243">
        <f t="shared" si="1"/>
        <v>0</v>
      </c>
      <c r="K86" s="245">
        <v>46089</v>
      </c>
      <c r="L86" s="244">
        <f>DATE(YEAR(K86),MONTH(K86)+VLOOKUP($F86,'Membership Level'!$A$3:$B$15,2,FALSE),DAY(K86))</f>
        <v>46120</v>
      </c>
      <c r="M86" s="241">
        <v>3</v>
      </c>
    </row>
    <row r="87" spans="1:13" s="11" customFormat="1" x14ac:dyDescent="0.35">
      <c r="A87" s="227" t="s">
        <v>172</v>
      </c>
      <c r="B87" s="244">
        <v>46089</v>
      </c>
      <c r="C87" s="241" t="s">
        <v>342</v>
      </c>
      <c r="D87" s="241" t="s">
        <v>341</v>
      </c>
      <c r="E87" s="226">
        <v>9934741205</v>
      </c>
      <c r="F87" s="241" t="str">
        <f>'Membership Level'!A12</f>
        <v>Swimming Moth</v>
      </c>
      <c r="G87" s="241" t="s">
        <v>343</v>
      </c>
      <c r="H87" s="242">
        <v>2000</v>
      </c>
      <c r="I87" s="242">
        <v>2000</v>
      </c>
      <c r="J87" s="243">
        <f t="shared" si="1"/>
        <v>0</v>
      </c>
      <c r="K87" s="244">
        <v>46089</v>
      </c>
      <c r="L87" s="244">
        <f>DATE(YEAR(K87),MONTH(K87)+VLOOKUP($F87,'Membership Level'!$A$3:$B$15,2,FALSE),DAY(K87))</f>
        <v>46120</v>
      </c>
      <c r="M87" s="241">
        <v>3</v>
      </c>
    </row>
    <row r="88" spans="1:13" s="11" customFormat="1" x14ac:dyDescent="0.35">
      <c r="A88" s="227"/>
      <c r="B88" s="244"/>
      <c r="C88" s="241"/>
      <c r="D88" s="241"/>
      <c r="E88" s="235"/>
      <c r="F88" s="241"/>
      <c r="G88" s="241"/>
      <c r="H88" s="373"/>
      <c r="I88" s="373"/>
      <c r="J88" s="243"/>
      <c r="K88" s="244"/>
      <c r="L88" s="244"/>
      <c r="M88" s="241">
        <v>3</v>
      </c>
    </row>
    <row r="89" spans="1:13" s="11" customFormat="1" x14ac:dyDescent="0.35">
      <c r="A89" s="227" t="s">
        <v>173</v>
      </c>
      <c r="B89" s="244">
        <v>46089</v>
      </c>
      <c r="C89" s="241" t="s">
        <v>259</v>
      </c>
      <c r="D89" s="241" t="s">
        <v>338</v>
      </c>
      <c r="E89" s="235">
        <v>8521449046</v>
      </c>
      <c r="F89" s="241" t="str">
        <f>'Membership Level'!A12</f>
        <v>Swimming Moth</v>
      </c>
      <c r="G89" s="241" t="s">
        <v>325</v>
      </c>
      <c r="H89" s="242">
        <v>3500</v>
      </c>
      <c r="I89" s="242">
        <v>3500</v>
      </c>
      <c r="J89" s="243">
        <f t="shared" si="1"/>
        <v>0</v>
      </c>
      <c r="K89" s="244">
        <v>46089</v>
      </c>
      <c r="L89" s="244">
        <f>DATE(YEAR(K89),MONTH(K89)+VLOOKUP($F89,'Membership Level'!$A$3:$B$15,2,FALSE),DAY(K89))</f>
        <v>46120</v>
      </c>
      <c r="M89" s="241">
        <v>3</v>
      </c>
    </row>
    <row r="90" spans="1:13" x14ac:dyDescent="0.35">
      <c r="A90" s="227" t="s">
        <v>174</v>
      </c>
      <c r="B90" s="244">
        <v>46089</v>
      </c>
      <c r="C90" s="93" t="s">
        <v>272</v>
      </c>
      <c r="D90" s="93" t="s">
        <v>337</v>
      </c>
      <c r="E90" s="226">
        <v>7903206658</v>
      </c>
      <c r="F90" s="93" t="str">
        <f>'Membership Level'!A12</f>
        <v>Swimming Moth</v>
      </c>
      <c r="G90" s="93" t="s">
        <v>289</v>
      </c>
      <c r="H90" s="242">
        <v>3000</v>
      </c>
      <c r="I90" s="242">
        <v>3000</v>
      </c>
      <c r="J90" s="243">
        <f t="shared" si="1"/>
        <v>0</v>
      </c>
      <c r="K90" s="245">
        <v>46089</v>
      </c>
      <c r="L90" s="244">
        <f>DATE(YEAR(K90),MONTH(K90)+VLOOKUP($F90,'Membership Level'!$A$3:$B$15,2,FALSE),DAY(K90))</f>
        <v>46120</v>
      </c>
      <c r="M90" s="241">
        <v>3</v>
      </c>
    </row>
    <row r="91" spans="1:13" x14ac:dyDescent="0.35">
      <c r="A91" s="227" t="s">
        <v>175</v>
      </c>
      <c r="B91" s="244">
        <v>46089</v>
      </c>
      <c r="C91" s="93" t="s">
        <v>345</v>
      </c>
      <c r="D91" s="93" t="s">
        <v>344</v>
      </c>
      <c r="E91" s="226">
        <v>7970615211</v>
      </c>
      <c r="F91" s="93" t="str">
        <f>'Membership Level'!A12</f>
        <v>Swimming Moth</v>
      </c>
      <c r="G91" s="93" t="s">
        <v>248</v>
      </c>
      <c r="H91" s="242">
        <v>4000</v>
      </c>
      <c r="I91" s="242">
        <v>4000</v>
      </c>
      <c r="J91" s="243">
        <f t="shared" si="1"/>
        <v>0</v>
      </c>
      <c r="K91" s="340">
        <v>46120</v>
      </c>
      <c r="L91" s="340">
        <f>DATE(YEAR(K91),MONTH(K91)+VLOOKUP($F91,'Membership Level'!$A$3:$B$15,2,FALSE),DAY(K91))</f>
        <v>46150</v>
      </c>
      <c r="M91" s="241">
        <v>3</v>
      </c>
    </row>
    <row r="92" spans="1:13" x14ac:dyDescent="0.35">
      <c r="A92" s="227" t="s">
        <v>176</v>
      </c>
      <c r="B92" s="244">
        <v>46089</v>
      </c>
      <c r="C92" s="93" t="s">
        <v>345</v>
      </c>
      <c r="D92" s="93" t="s">
        <v>346</v>
      </c>
      <c r="E92" s="226">
        <v>7970615211</v>
      </c>
      <c r="F92" s="93" t="str">
        <f>'Membership Level'!A12</f>
        <v>Swimming Moth</v>
      </c>
      <c r="G92" s="93" t="s">
        <v>248</v>
      </c>
      <c r="H92" s="242">
        <v>4000</v>
      </c>
      <c r="I92" s="242">
        <v>4000</v>
      </c>
      <c r="J92" s="243">
        <f t="shared" si="1"/>
        <v>0</v>
      </c>
      <c r="K92" s="340">
        <v>46120</v>
      </c>
      <c r="L92" s="340">
        <f>DATE(YEAR(K92),MONTH(K92)+VLOOKUP($F92,'Membership Level'!$A$3:$B$15,2,FALSE),DAY(K92))</f>
        <v>46150</v>
      </c>
      <c r="M92" s="241">
        <v>3</v>
      </c>
    </row>
    <row r="93" spans="1:13" x14ac:dyDescent="0.35">
      <c r="A93" s="227" t="s">
        <v>177</v>
      </c>
      <c r="B93" s="244">
        <v>46089</v>
      </c>
      <c r="C93" s="93" t="s">
        <v>333</v>
      </c>
      <c r="D93" s="93" t="s">
        <v>347</v>
      </c>
      <c r="E93" s="226">
        <v>7970615211</v>
      </c>
      <c r="F93" s="93" t="str">
        <f>'Membership Level'!A12</f>
        <v>Swimming Moth</v>
      </c>
      <c r="G93" s="93" t="s">
        <v>248</v>
      </c>
      <c r="H93" s="242">
        <v>4000</v>
      </c>
      <c r="I93" s="242">
        <v>4000</v>
      </c>
      <c r="J93" s="243">
        <f t="shared" si="1"/>
        <v>0</v>
      </c>
      <c r="K93" s="245">
        <v>46089</v>
      </c>
      <c r="L93" s="244">
        <f>DATE(YEAR(K93),MONTH(K93)+VLOOKUP($F93,'Membership Level'!$A$3:$B$15,2,FALSE),DAY(K93))</f>
        <v>46120</v>
      </c>
      <c r="M93" s="241">
        <v>3</v>
      </c>
    </row>
    <row r="94" spans="1:13" x14ac:dyDescent="0.35">
      <c r="A94" s="227" t="s">
        <v>178</v>
      </c>
      <c r="B94" s="244">
        <v>46089</v>
      </c>
      <c r="C94" s="93" t="s">
        <v>202</v>
      </c>
      <c r="D94" s="93" t="s">
        <v>348</v>
      </c>
      <c r="E94" s="226">
        <v>9430281401</v>
      </c>
      <c r="F94" s="93" t="str">
        <f>'Membership Level'!A12</f>
        <v>Swimming Moth</v>
      </c>
      <c r="G94" s="93" t="s">
        <v>325</v>
      </c>
      <c r="H94" s="242">
        <v>3500</v>
      </c>
      <c r="I94" s="242">
        <v>3500</v>
      </c>
      <c r="J94" s="243">
        <f t="shared" si="1"/>
        <v>0</v>
      </c>
      <c r="K94" s="245">
        <v>46089</v>
      </c>
      <c r="L94" s="244">
        <f>DATE(YEAR(K94),MONTH(K94)+VLOOKUP($F94,'Membership Level'!$A$3:$B$15,2,FALSE),DAY(K94))</f>
        <v>46120</v>
      </c>
      <c r="M94" s="241">
        <v>3</v>
      </c>
    </row>
    <row r="95" spans="1:13" x14ac:dyDescent="0.35">
      <c r="A95" s="227" t="s">
        <v>179</v>
      </c>
      <c r="B95" s="244">
        <v>46089</v>
      </c>
      <c r="C95" s="93" t="s">
        <v>272</v>
      </c>
      <c r="D95" s="93" t="s">
        <v>349</v>
      </c>
      <c r="E95" s="226">
        <v>9523052805</v>
      </c>
      <c r="F95" s="93" t="str">
        <f>'Membership Level'!A12</f>
        <v>Swimming Moth</v>
      </c>
      <c r="G95" s="93" t="s">
        <v>325</v>
      </c>
      <c r="H95" s="242">
        <v>3500</v>
      </c>
      <c r="I95" s="242">
        <v>3500</v>
      </c>
      <c r="J95" s="243">
        <f t="shared" si="1"/>
        <v>0</v>
      </c>
      <c r="K95" s="245">
        <v>46089</v>
      </c>
      <c r="L95" s="244">
        <f>DATE(YEAR(K95),MONTH(K95)+VLOOKUP($F95,'Membership Level'!$A$3:$B$15,2,FALSE),DAY(K95))</f>
        <v>46120</v>
      </c>
      <c r="M95" s="241">
        <v>3</v>
      </c>
    </row>
    <row r="96" spans="1:13" ht="15.5" x14ac:dyDescent="0.35">
      <c r="A96" s="227" t="s">
        <v>180</v>
      </c>
      <c r="B96" s="244">
        <v>46091</v>
      </c>
      <c r="C96" s="93" t="s">
        <v>1024</v>
      </c>
      <c r="D96" s="93" t="s">
        <v>351</v>
      </c>
      <c r="E96" s="253">
        <v>7808122788</v>
      </c>
      <c r="F96" s="93" t="str">
        <f>'Membership Level'!A12</f>
        <v>Swimming Moth</v>
      </c>
      <c r="G96" s="93" t="s">
        <v>257</v>
      </c>
      <c r="H96" s="242">
        <v>4000</v>
      </c>
      <c r="I96" s="242">
        <v>4000</v>
      </c>
      <c r="J96" s="243">
        <f t="shared" si="1"/>
        <v>0</v>
      </c>
      <c r="K96" s="340">
        <v>46122</v>
      </c>
      <c r="L96" s="340">
        <f>DATE(YEAR(K96),MONTH(K96)+VLOOKUP($F96,'Membership Level'!$A$3:$B$15,2,FALSE),DAY(K96))</f>
        <v>46152</v>
      </c>
      <c r="M96" s="241">
        <v>3</v>
      </c>
    </row>
    <row r="97" spans="1:13" x14ac:dyDescent="0.35">
      <c r="A97" s="227" t="s">
        <v>181</v>
      </c>
      <c r="B97" s="244">
        <v>46091</v>
      </c>
      <c r="C97" s="93" t="s">
        <v>352</v>
      </c>
      <c r="D97" s="93" t="s">
        <v>202</v>
      </c>
      <c r="E97" s="226">
        <v>9798710022</v>
      </c>
      <c r="F97" s="93" t="str">
        <f>'Membership Level'!A12</f>
        <v>Swimming Moth</v>
      </c>
      <c r="G97" s="93" t="s">
        <v>248</v>
      </c>
      <c r="H97" s="242">
        <v>4000</v>
      </c>
      <c r="I97" s="242">
        <v>4000</v>
      </c>
      <c r="J97" s="243">
        <f t="shared" si="1"/>
        <v>0</v>
      </c>
      <c r="K97" s="340">
        <v>46122</v>
      </c>
      <c r="L97" s="340">
        <f>DATE(YEAR(K97),MONTH(K97)+VLOOKUP($F97,'Membership Level'!$A$3:$B$15,2,FALSE),DAY(K97))</f>
        <v>46152</v>
      </c>
      <c r="M97" s="241">
        <v>3</v>
      </c>
    </row>
    <row r="98" spans="1:13" x14ac:dyDescent="0.35">
      <c r="A98" s="227"/>
      <c r="B98" s="244"/>
      <c r="C98" s="93"/>
      <c r="D98" s="93"/>
      <c r="E98" s="226"/>
      <c r="F98" s="93"/>
      <c r="G98" s="93"/>
      <c r="H98" s="242"/>
      <c r="I98" s="242"/>
      <c r="J98" s="243"/>
      <c r="K98" s="245"/>
      <c r="L98" s="244"/>
      <c r="M98" s="241">
        <v>3</v>
      </c>
    </row>
    <row r="99" spans="1:13" s="11" customFormat="1" x14ac:dyDescent="0.35">
      <c r="A99" s="227"/>
      <c r="B99" s="244"/>
      <c r="C99" s="241"/>
      <c r="D99" s="241"/>
      <c r="E99" s="235"/>
      <c r="F99" s="241"/>
      <c r="G99" s="241"/>
      <c r="H99" s="242"/>
      <c r="I99" s="242"/>
      <c r="J99" s="243"/>
      <c r="K99" s="244"/>
      <c r="L99" s="244"/>
      <c r="M99" s="241">
        <v>3</v>
      </c>
    </row>
    <row r="100" spans="1:13" x14ac:dyDescent="0.35">
      <c r="A100" s="227" t="s">
        <v>182</v>
      </c>
      <c r="B100" s="244">
        <v>46091</v>
      </c>
      <c r="C100" s="93" t="s">
        <v>202</v>
      </c>
      <c r="D100" s="93" t="s">
        <v>353</v>
      </c>
      <c r="E100" s="226">
        <v>7091140274</v>
      </c>
      <c r="F100" s="93" t="str">
        <f>'Membership Level'!A12</f>
        <v>Swimming Moth</v>
      </c>
      <c r="G100" s="93" t="s">
        <v>248</v>
      </c>
      <c r="H100" s="242">
        <v>4400</v>
      </c>
      <c r="I100" s="242">
        <v>4400</v>
      </c>
      <c r="J100" s="243">
        <f t="shared" si="1"/>
        <v>0</v>
      </c>
      <c r="K100" s="245">
        <v>46091</v>
      </c>
      <c r="L100" s="244">
        <f>DATE(YEAR(K100),MONTH(K100)+VLOOKUP($F100,'Membership Level'!$A$3:$B$15,2,FALSE),DAY(K100))</f>
        <v>46122</v>
      </c>
      <c r="M100" s="241">
        <v>3</v>
      </c>
    </row>
    <row r="101" spans="1:13" x14ac:dyDescent="0.35">
      <c r="A101" s="227" t="s">
        <v>183</v>
      </c>
      <c r="B101" s="244">
        <v>46091</v>
      </c>
      <c r="C101" s="93" t="s">
        <v>355</v>
      </c>
      <c r="D101" s="93" t="s">
        <v>354</v>
      </c>
      <c r="E101" s="235">
        <v>7782924395</v>
      </c>
      <c r="F101" s="93" t="str">
        <f>'Membership Level'!A12</f>
        <v>Swimming Moth</v>
      </c>
      <c r="G101" s="93" t="s">
        <v>325</v>
      </c>
      <c r="H101" s="242">
        <v>3800</v>
      </c>
      <c r="I101" s="242">
        <v>3800</v>
      </c>
      <c r="J101" s="243">
        <f t="shared" si="1"/>
        <v>0</v>
      </c>
      <c r="K101" s="245">
        <v>46091</v>
      </c>
      <c r="L101" s="244">
        <f>DATE(YEAR(K101),MONTH(K101)+VLOOKUP($F101,'Membership Level'!$A$3:$B$15,2,FALSE),DAY(K101))</f>
        <v>46122</v>
      </c>
      <c r="M101" s="241">
        <v>3</v>
      </c>
    </row>
    <row r="102" spans="1:13" s="261" customFormat="1" x14ac:dyDescent="0.35">
      <c r="A102" s="255" t="s">
        <v>184</v>
      </c>
      <c r="B102" s="263">
        <v>46091</v>
      </c>
      <c r="C102" s="260"/>
      <c r="D102" s="260" t="s">
        <v>314</v>
      </c>
      <c r="E102" s="257">
        <v>7632068933</v>
      </c>
      <c r="F102" s="260" t="str">
        <f>'Membership Level'!A13</f>
        <v>Swimming Qty</v>
      </c>
      <c r="G102" s="260" t="s">
        <v>358</v>
      </c>
      <c r="H102" s="264">
        <v>8500</v>
      </c>
      <c r="I102" s="264">
        <v>8500</v>
      </c>
      <c r="J102" s="265">
        <f t="shared" si="1"/>
        <v>0</v>
      </c>
      <c r="K102" s="263">
        <v>46091</v>
      </c>
      <c r="L102" s="263">
        <f>DATE(YEAR(K102),MONTH(K102)+VLOOKUP($F102,'Membership Level'!$A$3:$B$15,2,FALSE),DAY(K102))</f>
        <v>46183</v>
      </c>
      <c r="M102" s="260">
        <v>3</v>
      </c>
    </row>
    <row r="103" spans="1:13" s="261" customFormat="1" x14ac:dyDescent="0.35">
      <c r="A103" s="255" t="s">
        <v>185</v>
      </c>
      <c r="B103" s="263">
        <v>46091</v>
      </c>
      <c r="C103" s="260" t="s">
        <v>467</v>
      </c>
      <c r="D103" s="260" t="s">
        <v>775</v>
      </c>
      <c r="E103" s="257">
        <v>8083007509</v>
      </c>
      <c r="F103" s="260" t="str">
        <f>'Membership Level'!A13</f>
        <v>Swimming Qty</v>
      </c>
      <c r="G103" s="260" t="s">
        <v>357</v>
      </c>
      <c r="H103" s="264">
        <v>8500</v>
      </c>
      <c r="I103" s="264">
        <v>8500</v>
      </c>
      <c r="J103" s="265">
        <f t="shared" si="1"/>
        <v>0</v>
      </c>
      <c r="K103" s="263">
        <v>46091</v>
      </c>
      <c r="L103" s="263">
        <f>DATE(YEAR(K103),MONTH(K103)+VLOOKUP($F103,'Membership Level'!$A$3:$B$15,2,FALSE),DAY(K103))</f>
        <v>46183</v>
      </c>
      <c r="M103" s="260">
        <v>3</v>
      </c>
    </row>
    <row r="104" spans="1:13" x14ac:dyDescent="0.35">
      <c r="A104" s="227" t="s">
        <v>186</v>
      </c>
      <c r="B104" s="244">
        <v>46091</v>
      </c>
      <c r="C104" s="93" t="s">
        <v>259</v>
      </c>
      <c r="D104" s="244" t="s">
        <v>356</v>
      </c>
      <c r="E104" s="226">
        <v>9708324585</v>
      </c>
      <c r="F104" s="93" t="str">
        <f>'Membership Level'!A12</f>
        <v>Swimming Moth</v>
      </c>
      <c r="G104" s="93" t="s">
        <v>308</v>
      </c>
      <c r="H104" s="242">
        <v>3500</v>
      </c>
      <c r="I104" s="242">
        <v>3500</v>
      </c>
      <c r="J104" s="243">
        <f t="shared" si="1"/>
        <v>0</v>
      </c>
      <c r="K104" s="245">
        <v>46091</v>
      </c>
      <c r="L104" s="244">
        <f>DATE(YEAR(K104),MONTH(K104)+VLOOKUP($F104,'Membership Level'!$A$3:$B$15,2,FALSE),DAY(K104))</f>
        <v>46122</v>
      </c>
      <c r="M104" s="241">
        <v>3</v>
      </c>
    </row>
    <row r="105" spans="1:13" x14ac:dyDescent="0.35">
      <c r="A105" s="227" t="s">
        <v>187</v>
      </c>
      <c r="B105" s="244">
        <v>46091</v>
      </c>
      <c r="C105" s="93" t="s">
        <v>360</v>
      </c>
      <c r="D105" s="93" t="s">
        <v>359</v>
      </c>
      <c r="E105" s="226">
        <v>9304252500</v>
      </c>
      <c r="F105" s="93" t="str">
        <f>'Membership Level'!A12</f>
        <v>Swimming Moth</v>
      </c>
      <c r="G105" s="93" t="s">
        <v>248</v>
      </c>
      <c r="H105" s="242">
        <v>4000</v>
      </c>
      <c r="I105" s="242">
        <v>4000</v>
      </c>
      <c r="J105" s="243">
        <f t="shared" si="1"/>
        <v>0</v>
      </c>
      <c r="K105" s="245">
        <v>46091</v>
      </c>
      <c r="L105" s="244">
        <f>DATE(YEAR(K105),MONTH(K105)+VLOOKUP($F105,'Membership Level'!$A$3:$B$15,2,FALSE),DAY(K105))</f>
        <v>46122</v>
      </c>
      <c r="M105" s="241">
        <v>3</v>
      </c>
    </row>
    <row r="106" spans="1:13" x14ac:dyDescent="0.35">
      <c r="A106" s="227" t="s">
        <v>188</v>
      </c>
      <c r="B106" s="244">
        <v>46091</v>
      </c>
      <c r="C106" s="93" t="s">
        <v>362</v>
      </c>
      <c r="D106" s="93" t="s">
        <v>361</v>
      </c>
      <c r="E106" s="226">
        <v>8798990430</v>
      </c>
      <c r="F106" s="93" t="str">
        <f>'Membership Level'!A12</f>
        <v>Swimming Moth</v>
      </c>
      <c r="G106" s="93" t="s">
        <v>257</v>
      </c>
      <c r="H106" s="242">
        <v>3000</v>
      </c>
      <c r="I106" s="242">
        <v>3000</v>
      </c>
      <c r="J106" s="243">
        <f t="shared" si="1"/>
        <v>0</v>
      </c>
      <c r="K106" s="245">
        <v>46091</v>
      </c>
      <c r="L106" s="244">
        <f>DATE(YEAR(K106),MONTH(K106)+VLOOKUP($F106,'Membership Level'!$A$3:$B$15,2,FALSE),DAY(K106))</f>
        <v>46122</v>
      </c>
      <c r="M106" s="241">
        <v>3</v>
      </c>
    </row>
    <row r="107" spans="1:13" x14ac:dyDescent="0.35">
      <c r="A107" s="227" t="s">
        <v>189</v>
      </c>
      <c r="B107" s="244">
        <v>46092</v>
      </c>
      <c r="C107" s="93"/>
      <c r="D107" s="93" t="s">
        <v>363</v>
      </c>
      <c r="E107" s="226">
        <v>9472508494</v>
      </c>
      <c r="F107" s="93" t="str">
        <f>'Membership Level'!A12</f>
        <v>Swimming Moth</v>
      </c>
      <c r="G107" s="93" t="s">
        <v>308</v>
      </c>
      <c r="H107" s="242">
        <v>3500</v>
      </c>
      <c r="I107" s="242">
        <v>3500</v>
      </c>
      <c r="J107" s="243">
        <f t="shared" si="1"/>
        <v>0</v>
      </c>
      <c r="K107" s="245">
        <v>46092</v>
      </c>
      <c r="L107" s="244">
        <f>DATE(YEAR(K107),MONTH(K107)+VLOOKUP($F107,'Membership Level'!$A$3:$B$15,2,FALSE),DAY(K107))</f>
        <v>46123</v>
      </c>
      <c r="M107" s="241">
        <v>3</v>
      </c>
    </row>
    <row r="108" spans="1:13" x14ac:dyDescent="0.35">
      <c r="A108" s="227" t="s">
        <v>190</v>
      </c>
      <c r="B108" s="244">
        <v>46092</v>
      </c>
      <c r="C108" s="93"/>
      <c r="D108" s="93" t="s">
        <v>361</v>
      </c>
      <c r="E108" s="226">
        <v>9472508494</v>
      </c>
      <c r="F108" s="93" t="str">
        <f>'Membership Level'!A12</f>
        <v>Swimming Moth</v>
      </c>
      <c r="G108" s="93" t="s">
        <v>257</v>
      </c>
      <c r="H108" s="242">
        <v>4000</v>
      </c>
      <c r="I108" s="242">
        <v>4000</v>
      </c>
      <c r="J108" s="243">
        <f t="shared" si="1"/>
        <v>0</v>
      </c>
      <c r="K108" s="245">
        <v>46092</v>
      </c>
      <c r="L108" s="244">
        <f>DATE(YEAR(K108),MONTH(K108)+VLOOKUP($F108,'Membership Level'!$A$3:$B$15,2,FALSE),DAY(K108))</f>
        <v>46123</v>
      </c>
      <c r="M108" s="241">
        <v>3</v>
      </c>
    </row>
    <row r="109" spans="1:13" s="6" customFormat="1" x14ac:dyDescent="0.35">
      <c r="A109" s="227" t="s">
        <v>191</v>
      </c>
      <c r="B109" s="244">
        <v>46092</v>
      </c>
      <c r="C109" s="241" t="s">
        <v>365</v>
      </c>
      <c r="D109" s="241" t="s">
        <v>364</v>
      </c>
      <c r="E109" s="235">
        <v>8240028979</v>
      </c>
      <c r="F109" s="241" t="str">
        <f>'Membership Level'!A12</f>
        <v>Swimming Moth</v>
      </c>
      <c r="G109" s="241" t="s">
        <v>248</v>
      </c>
      <c r="H109" s="242">
        <v>3000</v>
      </c>
      <c r="I109" s="242">
        <v>3000</v>
      </c>
      <c r="J109" s="243">
        <f t="shared" si="1"/>
        <v>0</v>
      </c>
      <c r="K109" s="244">
        <v>46092</v>
      </c>
      <c r="L109" s="244">
        <f>DATE(YEAR(K109),MONTH(K109)+VLOOKUP($F109,'Membership Level'!$A$3:$B$15,2,FALSE),DAY(K109))</f>
        <v>46123</v>
      </c>
      <c r="M109" s="241">
        <v>3</v>
      </c>
    </row>
    <row r="110" spans="1:13" x14ac:dyDescent="0.35">
      <c r="A110" s="227" t="s">
        <v>192</v>
      </c>
      <c r="B110" s="244">
        <v>46092</v>
      </c>
      <c r="C110" s="93"/>
      <c r="D110" s="93" t="s">
        <v>366</v>
      </c>
      <c r="E110" s="226">
        <v>9320939393</v>
      </c>
      <c r="F110" s="93" t="str">
        <f>'Membership Level'!A12</f>
        <v>Swimming Moth</v>
      </c>
      <c r="G110" s="93" t="s">
        <v>308</v>
      </c>
      <c r="H110" s="242">
        <v>3800</v>
      </c>
      <c r="I110" s="242">
        <v>3800</v>
      </c>
      <c r="J110" s="243">
        <f t="shared" si="1"/>
        <v>0</v>
      </c>
      <c r="K110" s="245">
        <v>46092</v>
      </c>
      <c r="L110" s="244">
        <f>DATE(YEAR(K110),MONTH(K110)+VLOOKUP($F110,'Membership Level'!$A$3:$B$15,2,FALSE),DAY(K110))</f>
        <v>46123</v>
      </c>
      <c r="M110" s="241">
        <v>3</v>
      </c>
    </row>
    <row r="111" spans="1:13" x14ac:dyDescent="0.35">
      <c r="A111" s="227" t="s">
        <v>193</v>
      </c>
      <c r="B111" s="244">
        <v>46092</v>
      </c>
      <c r="C111" s="93"/>
      <c r="D111" s="93" t="s">
        <v>367</v>
      </c>
      <c r="E111" s="226">
        <v>7903930261</v>
      </c>
      <c r="F111" s="93" t="str">
        <f>'Membership Level'!A12</f>
        <v>Swimming Moth</v>
      </c>
      <c r="G111" s="93" t="s">
        <v>248</v>
      </c>
      <c r="H111" s="242">
        <v>4000</v>
      </c>
      <c r="I111" s="242">
        <v>4000</v>
      </c>
      <c r="J111" s="243">
        <f t="shared" si="1"/>
        <v>0</v>
      </c>
      <c r="K111" s="245">
        <v>46092</v>
      </c>
      <c r="L111" s="244">
        <f>DATE(YEAR(K111),MONTH(K111)+VLOOKUP($F111,'Membership Level'!$A$3:$B$15,2,FALSE),DAY(K111))</f>
        <v>46123</v>
      </c>
      <c r="M111" s="241">
        <v>3</v>
      </c>
    </row>
    <row r="112" spans="1:13" x14ac:dyDescent="0.35">
      <c r="A112" s="227" t="s">
        <v>194</v>
      </c>
      <c r="B112" s="244">
        <v>46092</v>
      </c>
      <c r="C112" s="93" t="s">
        <v>333</v>
      </c>
      <c r="D112" s="93" t="s">
        <v>369</v>
      </c>
      <c r="E112" s="226">
        <v>7002154916</v>
      </c>
      <c r="F112" s="93" t="str">
        <f>'Membership Level'!A12</f>
        <v>Swimming Moth</v>
      </c>
      <c r="G112" s="93" t="s">
        <v>370</v>
      </c>
      <c r="H112" s="242">
        <v>3500</v>
      </c>
      <c r="I112" s="242">
        <v>3500</v>
      </c>
      <c r="J112" s="243">
        <f t="shared" si="1"/>
        <v>0</v>
      </c>
      <c r="K112" s="245">
        <v>46092</v>
      </c>
      <c r="L112" s="244">
        <f>DATE(YEAR(K112),MONTH(K112)+VLOOKUP($F112,'Membership Level'!$A$3:$B$15,2,FALSE),DAY(K112))</f>
        <v>46123</v>
      </c>
      <c r="M112" s="241">
        <v>3</v>
      </c>
    </row>
    <row r="113" spans="1:13" x14ac:dyDescent="0.35">
      <c r="A113" s="227" t="s">
        <v>195</v>
      </c>
      <c r="B113" s="244">
        <v>46092</v>
      </c>
      <c r="C113" s="93" t="s">
        <v>32</v>
      </c>
      <c r="D113" s="93" t="s">
        <v>368</v>
      </c>
      <c r="E113" s="226">
        <v>8521449096</v>
      </c>
      <c r="F113" s="93" t="str">
        <f>'Membership Level'!A12</f>
        <v>Swimming Moth</v>
      </c>
      <c r="G113" s="93" t="s">
        <v>248</v>
      </c>
      <c r="H113" s="242">
        <v>4000</v>
      </c>
      <c r="I113" s="242">
        <v>4000</v>
      </c>
      <c r="J113" s="243">
        <f t="shared" si="1"/>
        <v>0</v>
      </c>
      <c r="K113" s="340">
        <v>46127</v>
      </c>
      <c r="L113" s="340">
        <f>DATE(YEAR(K113),MONTH(K113)+VLOOKUP($F113,'Membership Level'!$A$3:$B$15,2,FALSE),DAY(K113))</f>
        <v>46157</v>
      </c>
      <c r="M113" s="241">
        <v>3</v>
      </c>
    </row>
    <row r="114" spans="1:13" s="11" customFormat="1" x14ac:dyDescent="0.35">
      <c r="A114" s="227" t="s">
        <v>196</v>
      </c>
      <c r="B114" s="244">
        <v>46092</v>
      </c>
      <c r="C114" s="241" t="s">
        <v>249</v>
      </c>
      <c r="D114" s="241" t="s">
        <v>371</v>
      </c>
      <c r="E114" s="235">
        <v>9060579737</v>
      </c>
      <c r="F114" s="241" t="str">
        <f>'Membership Level'!A12</f>
        <v>Swimming Moth</v>
      </c>
      <c r="G114" s="241" t="s">
        <v>248</v>
      </c>
      <c r="H114" s="373">
        <v>4000</v>
      </c>
      <c r="I114" s="373">
        <v>4000</v>
      </c>
      <c r="J114" s="243">
        <f t="shared" si="1"/>
        <v>0</v>
      </c>
      <c r="K114" s="244">
        <v>46092</v>
      </c>
      <c r="L114" s="244">
        <f>DATE(YEAR(K114),MONTH(K114)+VLOOKUP($F114,'Membership Level'!$A$3:$B$15,2,FALSE),DAY(K114))</f>
        <v>46123</v>
      </c>
      <c r="M114" s="304">
        <v>3</v>
      </c>
    </row>
    <row r="115" spans="1:13" x14ac:dyDescent="0.35">
      <c r="A115" s="227" t="s">
        <v>197</v>
      </c>
      <c r="B115" s="244">
        <v>46092</v>
      </c>
      <c r="C115" s="93"/>
      <c r="D115" s="93" t="s">
        <v>373</v>
      </c>
      <c r="E115" s="226">
        <v>8084254320</v>
      </c>
      <c r="F115" s="93" t="str">
        <f>'Membership Level'!A12</f>
        <v>Swimming Moth</v>
      </c>
      <c r="G115" s="93" t="s">
        <v>455</v>
      </c>
      <c r="H115" s="242">
        <v>2800</v>
      </c>
      <c r="I115" s="242">
        <v>2800</v>
      </c>
      <c r="J115" s="243">
        <f t="shared" si="1"/>
        <v>0</v>
      </c>
      <c r="K115" s="245">
        <v>46093</v>
      </c>
      <c r="L115" s="244">
        <f>DATE(YEAR(K115),MONTH(K115)+VLOOKUP($F115,'Membership Level'!$A$3:$B$15,2,FALSE),DAY(K115))</f>
        <v>46124</v>
      </c>
      <c r="M115" s="241">
        <v>3</v>
      </c>
    </row>
    <row r="116" spans="1:13" x14ac:dyDescent="0.35">
      <c r="A116" s="227" t="s">
        <v>198</v>
      </c>
      <c r="B116" s="244">
        <v>46093</v>
      </c>
      <c r="C116" s="93" t="s">
        <v>375</v>
      </c>
      <c r="D116" s="93" t="s">
        <v>374</v>
      </c>
      <c r="E116" s="226">
        <v>9661538567</v>
      </c>
      <c r="F116" s="93" t="str">
        <f>'Membership Level'!A12</f>
        <v>Swimming Moth</v>
      </c>
      <c r="G116" s="93" t="s">
        <v>308</v>
      </c>
      <c r="H116" s="242">
        <v>3500</v>
      </c>
      <c r="I116" s="242">
        <v>3500</v>
      </c>
      <c r="J116" s="243">
        <f t="shared" si="1"/>
        <v>0</v>
      </c>
      <c r="K116" s="340">
        <v>46154</v>
      </c>
      <c r="L116" s="340">
        <f>DATE(YEAR(K116),MONTH(K116)+VLOOKUP($F116,'Membership Level'!$A$3:$B$15,2,FALSE),DAY(K116))</f>
        <v>46185</v>
      </c>
      <c r="M116" s="241">
        <v>3</v>
      </c>
    </row>
    <row r="117" spans="1:13" x14ac:dyDescent="0.35">
      <c r="A117" s="227" t="s">
        <v>199</v>
      </c>
      <c r="B117" s="244">
        <v>46093</v>
      </c>
      <c r="C117" s="93" t="s">
        <v>381</v>
      </c>
      <c r="D117" s="93" t="s">
        <v>376</v>
      </c>
      <c r="E117" s="226">
        <v>9470834671</v>
      </c>
      <c r="F117" s="93" t="str">
        <f>'Membership Level'!A12</f>
        <v>Swimming Moth</v>
      </c>
      <c r="G117" s="93" t="s">
        <v>379</v>
      </c>
      <c r="H117" s="242">
        <v>2500</v>
      </c>
      <c r="I117" s="242">
        <v>2500</v>
      </c>
      <c r="J117" s="243">
        <f t="shared" si="1"/>
        <v>0</v>
      </c>
      <c r="K117" s="245">
        <v>46093</v>
      </c>
      <c r="L117" s="244">
        <f>DATE(YEAR(K117),MONTH(K117)+VLOOKUP($F117,'Membership Level'!$A$3:$B$15,2,FALSE),DAY(K117))</f>
        <v>46124</v>
      </c>
      <c r="M117" s="241">
        <v>3</v>
      </c>
    </row>
    <row r="118" spans="1:13" x14ac:dyDescent="0.35">
      <c r="A118" s="227" t="s">
        <v>382</v>
      </c>
      <c r="B118" s="244">
        <v>46093</v>
      </c>
      <c r="C118" s="93" t="s">
        <v>381</v>
      </c>
      <c r="D118" s="93" t="s">
        <v>377</v>
      </c>
      <c r="E118" s="226">
        <v>9470834671</v>
      </c>
      <c r="F118" s="93" t="str">
        <f>'Membership Level'!A12</f>
        <v>Swimming Moth</v>
      </c>
      <c r="G118" s="93" t="s">
        <v>380</v>
      </c>
      <c r="H118" s="242">
        <v>2500</v>
      </c>
      <c r="I118" s="242">
        <v>2500</v>
      </c>
      <c r="J118" s="243">
        <f t="shared" si="1"/>
        <v>0</v>
      </c>
      <c r="K118" s="245">
        <v>46093</v>
      </c>
      <c r="L118" s="244">
        <f>DATE(YEAR(K118),MONTH(K118)+VLOOKUP($F118,'Membership Level'!$A$3:$B$15,2,FALSE),DAY(K118))</f>
        <v>46124</v>
      </c>
      <c r="M118" s="241">
        <v>3</v>
      </c>
    </row>
    <row r="119" spans="1:13" x14ac:dyDescent="0.35">
      <c r="A119" s="227" t="s">
        <v>383</v>
      </c>
      <c r="B119" s="244">
        <v>46093</v>
      </c>
      <c r="C119" s="93"/>
      <c r="D119" s="93" t="s">
        <v>378</v>
      </c>
      <c r="E119" s="226">
        <v>9470834671</v>
      </c>
      <c r="F119" s="93" t="str">
        <f>'Membership Level'!A12</f>
        <v>Swimming Moth</v>
      </c>
      <c r="G119" s="93" t="s">
        <v>380</v>
      </c>
      <c r="H119" s="242">
        <v>2500</v>
      </c>
      <c r="I119" s="242">
        <v>2500</v>
      </c>
      <c r="J119" s="243">
        <f t="shared" si="1"/>
        <v>0</v>
      </c>
      <c r="K119" s="245">
        <v>46093</v>
      </c>
      <c r="L119" s="244">
        <f>DATE(YEAR(K119),MONTH(K119)+VLOOKUP($F119,'Membership Level'!$A$3:$B$15,2,FALSE),DAY(K119))</f>
        <v>46124</v>
      </c>
      <c r="M119" s="241">
        <v>3</v>
      </c>
    </row>
    <row r="120" spans="1:13" x14ac:dyDescent="0.35">
      <c r="A120" s="227" t="s">
        <v>384</v>
      </c>
      <c r="B120" s="244">
        <v>46093</v>
      </c>
      <c r="C120" s="93"/>
      <c r="D120" s="93" t="s">
        <v>433</v>
      </c>
      <c r="E120" s="226">
        <v>8102516447</v>
      </c>
      <c r="F120" s="93" t="str">
        <f>'Membership Level'!A12</f>
        <v>Swimming Moth</v>
      </c>
      <c r="G120" s="93" t="s">
        <v>380</v>
      </c>
      <c r="H120" s="242">
        <v>2800</v>
      </c>
      <c r="I120" s="242">
        <v>2800</v>
      </c>
      <c r="J120" s="243">
        <f t="shared" si="1"/>
        <v>0</v>
      </c>
      <c r="K120" s="245">
        <v>46093</v>
      </c>
      <c r="L120" s="244">
        <f>DATE(YEAR(K120),MONTH(K120)+VLOOKUP($F120,'Membership Level'!$A$3:$B$15,2,FALSE),DAY(K120))</f>
        <v>46124</v>
      </c>
      <c r="M120" s="241">
        <v>3</v>
      </c>
    </row>
    <row r="121" spans="1:13" x14ac:dyDescent="0.35">
      <c r="A121" s="227" t="s">
        <v>385</v>
      </c>
      <c r="B121" s="244">
        <v>46093</v>
      </c>
      <c r="C121" s="93"/>
      <c r="D121" s="93" t="s">
        <v>434</v>
      </c>
      <c r="E121" s="226">
        <v>8102516447</v>
      </c>
      <c r="F121" s="93" t="str">
        <f>'Membership Level'!A12</f>
        <v>Swimming Moth</v>
      </c>
      <c r="G121" s="93" t="s">
        <v>380</v>
      </c>
      <c r="H121" s="242">
        <v>2800</v>
      </c>
      <c r="I121" s="242">
        <v>2800</v>
      </c>
      <c r="J121" s="243">
        <f t="shared" si="1"/>
        <v>0</v>
      </c>
      <c r="K121" s="245">
        <v>46093</v>
      </c>
      <c r="L121" s="244">
        <f>DATE(YEAR(K121),MONTH(K121)+VLOOKUP($F121,'Membership Level'!$A$3:$B$15,2,FALSE),DAY(K121))</f>
        <v>46124</v>
      </c>
      <c r="M121" s="241"/>
    </row>
    <row r="122" spans="1:13" x14ac:dyDescent="0.35">
      <c r="A122" s="227" t="s">
        <v>386</v>
      </c>
      <c r="B122" s="244">
        <v>46093</v>
      </c>
      <c r="C122" s="93" t="s">
        <v>202</v>
      </c>
      <c r="D122" s="93" t="s">
        <v>435</v>
      </c>
      <c r="E122" s="235">
        <v>9934755722</v>
      </c>
      <c r="F122" s="93" t="str">
        <f>'Membership Level'!A12</f>
        <v>Swimming Moth</v>
      </c>
      <c r="G122" s="93" t="s">
        <v>443</v>
      </c>
      <c r="H122" s="242">
        <v>4000</v>
      </c>
      <c r="I122" s="242">
        <v>4000</v>
      </c>
      <c r="J122" s="243">
        <f t="shared" si="1"/>
        <v>0</v>
      </c>
      <c r="K122" s="245">
        <v>46093</v>
      </c>
      <c r="L122" s="244">
        <f>DATE(YEAR(K122),MONTH(K122)+VLOOKUP($F122,'Membership Level'!$A$3:$B$15,2,FALSE),DAY(K122))</f>
        <v>46124</v>
      </c>
      <c r="M122" s="241">
        <v>3</v>
      </c>
    </row>
    <row r="123" spans="1:13" s="295" customFormat="1" x14ac:dyDescent="0.35">
      <c r="A123" s="289" t="s">
        <v>387</v>
      </c>
      <c r="B123" s="297">
        <v>46093</v>
      </c>
      <c r="C123" s="288" t="s">
        <v>202</v>
      </c>
      <c r="D123" s="288" t="s">
        <v>436</v>
      </c>
      <c r="E123" s="291">
        <v>6287853539</v>
      </c>
      <c r="F123" s="288" t="str">
        <f>'Membership Level'!A14</f>
        <v>Swimming HY</v>
      </c>
      <c r="G123" s="288" t="s">
        <v>237</v>
      </c>
      <c r="H123" s="298">
        <v>18000</v>
      </c>
      <c r="I123" s="298">
        <v>18000</v>
      </c>
      <c r="J123" s="299">
        <f t="shared" si="1"/>
        <v>0</v>
      </c>
      <c r="K123" s="297">
        <v>46093</v>
      </c>
      <c r="L123" s="297">
        <f>DATE(YEAR(K123),MONTH(K123)+VLOOKUP($F123,'Membership Level'!$A$3:$B$15,2,FALSE),DAY(K123))</f>
        <v>46277</v>
      </c>
      <c r="M123" s="288">
        <v>3</v>
      </c>
    </row>
    <row r="124" spans="1:13" x14ac:dyDescent="0.35">
      <c r="A124" s="227" t="s">
        <v>388</v>
      </c>
      <c r="B124" s="244">
        <v>46094</v>
      </c>
      <c r="C124" s="93"/>
      <c r="D124" s="93" t="s">
        <v>437</v>
      </c>
      <c r="E124" s="226">
        <v>9631325560</v>
      </c>
      <c r="F124" s="93" t="str">
        <f>'Membership Level'!A12</f>
        <v>Swimming Moth</v>
      </c>
      <c r="G124" s="93" t="s">
        <v>379</v>
      </c>
      <c r="H124" s="242">
        <v>2800</v>
      </c>
      <c r="I124" s="242">
        <v>2800</v>
      </c>
      <c r="J124" s="243">
        <f t="shared" si="1"/>
        <v>0</v>
      </c>
      <c r="K124" s="245">
        <v>46094</v>
      </c>
      <c r="L124" s="244">
        <f>DATE(YEAR(K124),MONTH(K124)+VLOOKUP($F124,'Membership Level'!$A$3:$B$15,2,FALSE),DAY(K124))</f>
        <v>46125</v>
      </c>
      <c r="M124" s="241">
        <v>3</v>
      </c>
    </row>
    <row r="125" spans="1:13" x14ac:dyDescent="0.35">
      <c r="A125" s="227" t="s">
        <v>389</v>
      </c>
      <c r="B125" s="244">
        <v>46094</v>
      </c>
      <c r="C125" s="93" t="s">
        <v>439</v>
      </c>
      <c r="D125" s="93" t="s">
        <v>438</v>
      </c>
      <c r="E125" s="226">
        <v>9661098669</v>
      </c>
      <c r="F125" s="93" t="str">
        <f>'Membership Level'!A12</f>
        <v>Swimming Moth</v>
      </c>
      <c r="G125" s="93" t="s">
        <v>440</v>
      </c>
      <c r="H125" s="242">
        <v>2800</v>
      </c>
      <c r="I125" s="242">
        <v>2800</v>
      </c>
      <c r="J125" s="243">
        <f t="shared" si="1"/>
        <v>0</v>
      </c>
      <c r="K125" s="340">
        <v>46125</v>
      </c>
      <c r="L125" s="340">
        <f>DATE(YEAR(K125),MONTH(K125)+VLOOKUP($F125,'Membership Level'!$A$3:$B$15,2,FALSE),DAY(K125))</f>
        <v>46155</v>
      </c>
      <c r="M125" s="241">
        <v>3</v>
      </c>
    </row>
    <row r="126" spans="1:13" x14ac:dyDescent="0.35">
      <c r="A126" s="227" t="s">
        <v>390</v>
      </c>
      <c r="B126" s="244">
        <v>46094</v>
      </c>
      <c r="C126" s="93" t="s">
        <v>441</v>
      </c>
      <c r="D126" s="93" t="s">
        <v>442</v>
      </c>
      <c r="E126" s="226">
        <v>7979990910</v>
      </c>
      <c r="F126" s="93" t="str">
        <f>'Membership Level'!A12</f>
        <v>Swimming Moth</v>
      </c>
      <c r="G126" s="93" t="s">
        <v>308</v>
      </c>
      <c r="H126" s="242">
        <v>3800</v>
      </c>
      <c r="I126" s="242">
        <v>3800</v>
      </c>
      <c r="J126" s="243">
        <f t="shared" si="1"/>
        <v>0</v>
      </c>
      <c r="K126" s="245">
        <v>46094</v>
      </c>
      <c r="L126" s="244">
        <f>DATE(YEAR(K126),MONTH(K126)+VLOOKUP($F126,'Membership Level'!$A$3:$B$15,2,FALSE),DAY(K126))</f>
        <v>46125</v>
      </c>
      <c r="M126" s="241">
        <v>3</v>
      </c>
    </row>
    <row r="127" spans="1:13" s="6" customFormat="1" x14ac:dyDescent="0.35">
      <c r="A127" s="227" t="s">
        <v>391</v>
      </c>
      <c r="B127" s="244">
        <v>46094</v>
      </c>
      <c r="C127" s="241" t="s">
        <v>448</v>
      </c>
      <c r="D127" s="241" t="s">
        <v>444</v>
      </c>
      <c r="E127" s="235">
        <v>8294633403</v>
      </c>
      <c r="F127" s="241" t="str">
        <f>'Membership Level'!A12</f>
        <v>Swimming Moth</v>
      </c>
      <c r="G127" s="241" t="s">
        <v>447</v>
      </c>
      <c r="H127" s="242">
        <v>2000</v>
      </c>
      <c r="I127" s="242">
        <v>2000</v>
      </c>
      <c r="J127" s="243">
        <f t="shared" si="1"/>
        <v>0</v>
      </c>
      <c r="K127" s="340">
        <v>46125</v>
      </c>
      <c r="L127" s="340">
        <f>DATE(YEAR(K127),MONTH(K127)+VLOOKUP($F127,'Membership Level'!$A$3:$B$15,2,FALSE),DAY(K127))</f>
        <v>46155</v>
      </c>
      <c r="M127" s="241">
        <v>3</v>
      </c>
    </row>
    <row r="128" spans="1:13" s="6" customFormat="1" x14ac:dyDescent="0.35">
      <c r="A128" s="227" t="s">
        <v>392</v>
      </c>
      <c r="B128" s="244">
        <v>46094</v>
      </c>
      <c r="C128" s="241" t="s">
        <v>448</v>
      </c>
      <c r="D128" s="241" t="s">
        <v>445</v>
      </c>
      <c r="E128" s="235">
        <v>8294633403</v>
      </c>
      <c r="F128" s="241" t="str">
        <f>'Membership Level'!A12</f>
        <v>Swimming Moth</v>
      </c>
      <c r="G128" s="241" t="s">
        <v>447</v>
      </c>
      <c r="H128" s="242">
        <v>2000</v>
      </c>
      <c r="I128" s="242">
        <v>2000</v>
      </c>
      <c r="J128" s="243">
        <f t="shared" si="1"/>
        <v>0</v>
      </c>
      <c r="K128" s="340">
        <v>46125</v>
      </c>
      <c r="L128" s="340">
        <f>DATE(YEAR(K128),MONTH(K128)+VLOOKUP($F128,'Membership Level'!$A$3:$B$15,2,FALSE),DAY(K128))</f>
        <v>46155</v>
      </c>
      <c r="M128" s="241">
        <v>3</v>
      </c>
    </row>
    <row r="129" spans="1:13" x14ac:dyDescent="0.35">
      <c r="A129" s="227" t="s">
        <v>393</v>
      </c>
      <c r="B129" s="244">
        <v>46094</v>
      </c>
      <c r="C129" s="93" t="s">
        <v>448</v>
      </c>
      <c r="D129" s="93" t="s">
        <v>446</v>
      </c>
      <c r="E129" s="235">
        <v>8294633403</v>
      </c>
      <c r="F129" s="93" t="str">
        <f>'Membership Level'!A12</f>
        <v>Swimming Moth</v>
      </c>
      <c r="G129" s="93" t="s">
        <v>306</v>
      </c>
      <c r="H129" s="242">
        <v>2500</v>
      </c>
      <c r="I129" s="242">
        <v>2500</v>
      </c>
      <c r="J129" s="243">
        <f t="shared" si="1"/>
        <v>0</v>
      </c>
      <c r="K129" s="340">
        <v>46125</v>
      </c>
      <c r="L129" s="340">
        <f>DATE(YEAR(K129),MONTH(K129)+VLOOKUP($F129,'Membership Level'!$A$3:$B$15,2,FALSE),DAY(K129))</f>
        <v>46155</v>
      </c>
      <c r="M129" s="241">
        <v>3</v>
      </c>
    </row>
    <row r="130" spans="1:13" x14ac:dyDescent="0.35">
      <c r="A130" s="227" t="s">
        <v>394</v>
      </c>
      <c r="B130" s="244">
        <v>46094</v>
      </c>
      <c r="C130" s="93" t="s">
        <v>202</v>
      </c>
      <c r="D130" s="93" t="s">
        <v>449</v>
      </c>
      <c r="E130" s="235">
        <v>9962892169</v>
      </c>
      <c r="F130" s="93" t="str">
        <f>'Membership Level'!A12</f>
        <v>Swimming Moth</v>
      </c>
      <c r="G130" s="93" t="s">
        <v>248</v>
      </c>
      <c r="H130" s="242">
        <v>4400</v>
      </c>
      <c r="I130" s="242">
        <v>4400</v>
      </c>
      <c r="J130" s="243">
        <f t="shared" si="1"/>
        <v>0</v>
      </c>
      <c r="K130" s="245">
        <v>46094</v>
      </c>
      <c r="L130" s="244">
        <f>DATE(YEAR(K130),MONTH(K130)+VLOOKUP($F130,'Membership Level'!$A$3:$B$15,2,FALSE),DAY(K130))</f>
        <v>46125</v>
      </c>
      <c r="M130" s="241">
        <v>3</v>
      </c>
    </row>
    <row r="131" spans="1:13" x14ac:dyDescent="0.35">
      <c r="A131" s="227" t="s">
        <v>395</v>
      </c>
      <c r="B131" s="244">
        <v>46095</v>
      </c>
      <c r="C131" s="93" t="s">
        <v>32</v>
      </c>
      <c r="D131" s="93" t="s">
        <v>450</v>
      </c>
      <c r="E131" s="226">
        <v>8825202613</v>
      </c>
      <c r="F131" s="93" t="str">
        <f>'Membership Level'!A12</f>
        <v>Swimming Moth</v>
      </c>
      <c r="G131" s="93" t="s">
        <v>451</v>
      </c>
      <c r="H131" s="242">
        <v>3500</v>
      </c>
      <c r="I131" s="242">
        <v>3500</v>
      </c>
      <c r="J131" s="243">
        <f t="shared" si="1"/>
        <v>0</v>
      </c>
      <c r="K131" s="245">
        <v>46095</v>
      </c>
      <c r="L131" s="244">
        <f>DATE(YEAR(K131),MONTH(K131)+VLOOKUP($F131,'Membership Level'!$A$3:$B$15,2,FALSE),DAY(K131))</f>
        <v>46126</v>
      </c>
      <c r="M131" s="241">
        <v>3</v>
      </c>
    </row>
    <row r="132" spans="1:13" x14ac:dyDescent="0.35">
      <c r="A132" s="227" t="s">
        <v>396</v>
      </c>
      <c r="B132" s="244">
        <v>46095</v>
      </c>
      <c r="C132" s="247" t="s">
        <v>453</v>
      </c>
      <c r="D132" s="93" t="s">
        <v>452</v>
      </c>
      <c r="E132" s="226">
        <v>9902540753</v>
      </c>
      <c r="F132" s="93" t="str">
        <f>'Membership Level'!A12</f>
        <v>Swimming Moth</v>
      </c>
      <c r="G132" s="93" t="s">
        <v>451</v>
      </c>
      <c r="H132" s="242">
        <v>3500</v>
      </c>
      <c r="I132" s="242">
        <v>3500</v>
      </c>
      <c r="J132" s="243">
        <f t="shared" si="1"/>
        <v>0</v>
      </c>
      <c r="K132" s="245">
        <v>46095</v>
      </c>
      <c r="L132" s="244">
        <f>DATE(YEAR(K132),MONTH(K132)+VLOOKUP($F132,'Membership Level'!$A$3:$B$15,2,FALSE),DAY(K132))</f>
        <v>46126</v>
      </c>
      <c r="M132" s="241">
        <v>3</v>
      </c>
    </row>
    <row r="133" spans="1:13" s="142" customFormat="1" x14ac:dyDescent="0.35">
      <c r="A133" s="227" t="s">
        <v>397</v>
      </c>
      <c r="B133" s="244">
        <v>46095</v>
      </c>
      <c r="C133" s="241" t="s">
        <v>202</v>
      </c>
      <c r="D133" s="241" t="s">
        <v>454</v>
      </c>
      <c r="E133" s="235">
        <v>8210839072</v>
      </c>
      <c r="F133" s="241" t="str">
        <f>'Membership Level'!A12</f>
        <v>Swimming Moth</v>
      </c>
      <c r="G133" s="241" t="s">
        <v>308</v>
      </c>
      <c r="H133" s="242">
        <v>3500</v>
      </c>
      <c r="I133" s="242">
        <v>3500</v>
      </c>
      <c r="J133" s="243">
        <f t="shared" si="1"/>
        <v>0</v>
      </c>
      <c r="K133" s="340">
        <v>46126</v>
      </c>
      <c r="L133" s="340">
        <f>DATE(YEAR(K133),MONTH(K133)+VLOOKUP($F133,'Membership Level'!$A$3:$B$15,2,FALSE),DAY(K133))</f>
        <v>46156</v>
      </c>
      <c r="M133" s="241">
        <v>3</v>
      </c>
    </row>
    <row r="134" spans="1:13" x14ac:dyDescent="0.35">
      <c r="A134" s="227" t="s">
        <v>398</v>
      </c>
      <c r="B134" s="244">
        <v>46095</v>
      </c>
      <c r="C134" s="241" t="s">
        <v>92</v>
      </c>
      <c r="D134" s="241" t="s">
        <v>456</v>
      </c>
      <c r="E134" s="235">
        <v>9999014349</v>
      </c>
      <c r="F134" s="241" t="str">
        <f>'Membership Level'!A12</f>
        <v>Swimming Moth</v>
      </c>
      <c r="G134" s="241" t="s">
        <v>308</v>
      </c>
      <c r="H134" s="242">
        <v>3500</v>
      </c>
      <c r="I134" s="242">
        <v>3500</v>
      </c>
      <c r="J134" s="243">
        <f t="shared" si="1"/>
        <v>0</v>
      </c>
      <c r="K134" s="340">
        <v>46156</v>
      </c>
      <c r="L134" s="340">
        <f>DATE(YEAR(K134),MONTH(K134)+VLOOKUP($F134,'Membership Level'!$A$3:$B$15,2,FALSE),DAY(K134))</f>
        <v>46187</v>
      </c>
      <c r="M134" s="241">
        <v>3</v>
      </c>
    </row>
    <row r="135" spans="1:13" s="10" customFormat="1" x14ac:dyDescent="0.35">
      <c r="A135" s="227" t="s">
        <v>399</v>
      </c>
      <c r="B135" s="244">
        <v>46095</v>
      </c>
      <c r="C135" s="241" t="s">
        <v>458</v>
      </c>
      <c r="D135" s="241" t="s">
        <v>457</v>
      </c>
      <c r="E135" s="235">
        <v>9835289559</v>
      </c>
      <c r="F135" s="241" t="str">
        <f>'Membership Level'!A12</f>
        <v>Swimming Moth</v>
      </c>
      <c r="G135" s="241" t="s">
        <v>248</v>
      </c>
      <c r="H135" s="242">
        <v>3300</v>
      </c>
      <c r="I135" s="242">
        <v>3300</v>
      </c>
      <c r="J135" s="243">
        <f t="shared" si="1"/>
        <v>0</v>
      </c>
      <c r="K135" s="340">
        <v>46126</v>
      </c>
      <c r="L135" s="340">
        <f>DATE(YEAR(K135),MONTH(K135)+VLOOKUP($F135,'Membership Level'!$A$3:$B$15,2,FALSE),DAY(K135))</f>
        <v>46156</v>
      </c>
      <c r="M135" s="241">
        <v>3</v>
      </c>
    </row>
    <row r="136" spans="1:13" s="10" customFormat="1" x14ac:dyDescent="0.35">
      <c r="A136" s="227" t="s">
        <v>400</v>
      </c>
      <c r="B136" s="244">
        <v>46095</v>
      </c>
      <c r="C136" s="241" t="s">
        <v>249</v>
      </c>
      <c r="D136" s="241" t="s">
        <v>459</v>
      </c>
      <c r="E136" s="235">
        <v>9471084781</v>
      </c>
      <c r="F136" s="241" t="str">
        <f>'Membership Level'!A12</f>
        <v>Swimming Moth</v>
      </c>
      <c r="G136" s="241" t="s">
        <v>248</v>
      </c>
      <c r="H136" s="242">
        <v>4000</v>
      </c>
      <c r="I136" s="242">
        <v>4000</v>
      </c>
      <c r="J136" s="243">
        <f t="shared" si="1"/>
        <v>0</v>
      </c>
      <c r="K136" s="340">
        <v>46126</v>
      </c>
      <c r="L136" s="340">
        <f>DATE(YEAR(K136),MONTH(K136)+VLOOKUP($F136,'Membership Level'!$A$3:$B$15,2,FALSE),DAY(K136))</f>
        <v>46156</v>
      </c>
      <c r="M136" s="241">
        <v>3</v>
      </c>
    </row>
    <row r="137" spans="1:13" x14ac:dyDescent="0.35">
      <c r="A137" s="227" t="s">
        <v>401</v>
      </c>
      <c r="B137" s="244">
        <v>46095</v>
      </c>
      <c r="C137" s="93" t="s">
        <v>461</v>
      </c>
      <c r="D137" s="93" t="s">
        <v>460</v>
      </c>
      <c r="E137" s="226">
        <v>8825229916</v>
      </c>
      <c r="F137" s="93" t="str">
        <f>'Membership Level'!A12</f>
        <v>Swimming Moth</v>
      </c>
      <c r="G137" s="93" t="s">
        <v>308</v>
      </c>
      <c r="H137" s="75">
        <v>3500</v>
      </c>
      <c r="I137" s="75">
        <v>3500</v>
      </c>
      <c r="J137" s="61">
        <f t="shared" si="1"/>
        <v>0</v>
      </c>
      <c r="K137" s="340">
        <v>46126</v>
      </c>
      <c r="L137" s="300">
        <f>DATE(YEAR(K137),MONTH(K137)+VLOOKUP($F137,'Membership Level'!$A$3:$B$15,2,FALSE),DAY(K137))</f>
        <v>46156</v>
      </c>
      <c r="M137" s="58">
        <v>3</v>
      </c>
    </row>
    <row r="138" spans="1:13" x14ac:dyDescent="0.35">
      <c r="A138" s="227" t="s">
        <v>402</v>
      </c>
      <c r="B138" s="244">
        <v>46095</v>
      </c>
      <c r="C138" s="93" t="s">
        <v>249</v>
      </c>
      <c r="D138" s="93" t="s">
        <v>250</v>
      </c>
      <c r="E138" s="226">
        <v>7372078839</v>
      </c>
      <c r="F138" s="93" t="str">
        <f>'Membership Level'!A12</f>
        <v>Swimming Moth</v>
      </c>
      <c r="G138" s="93" t="s">
        <v>297</v>
      </c>
      <c r="H138" s="75">
        <v>3300</v>
      </c>
      <c r="I138" s="75">
        <v>3300</v>
      </c>
      <c r="J138" s="61">
        <f t="shared" ref="J138:J201" si="2">H138-I138</f>
        <v>0</v>
      </c>
      <c r="K138" s="245">
        <v>46095</v>
      </c>
      <c r="L138" s="59">
        <f>DATE(YEAR(K138),MONTH(K138)+VLOOKUP($F138,'Membership Level'!$A$3:$B$15,2,FALSE),DAY(K138))</f>
        <v>46126</v>
      </c>
      <c r="M138" s="58">
        <v>3</v>
      </c>
    </row>
    <row r="139" spans="1:13" x14ac:dyDescent="0.35">
      <c r="A139" s="227" t="s">
        <v>403</v>
      </c>
      <c r="B139" s="244">
        <v>46095</v>
      </c>
      <c r="C139" s="93" t="s">
        <v>259</v>
      </c>
      <c r="D139" s="93" t="s">
        <v>462</v>
      </c>
      <c r="E139" s="226">
        <v>7004112685</v>
      </c>
      <c r="F139" s="93" t="str">
        <f>'Membership Level'!A12</f>
        <v>Swimming Moth</v>
      </c>
      <c r="G139" s="93" t="s">
        <v>463</v>
      </c>
      <c r="H139" s="75">
        <v>2000</v>
      </c>
      <c r="I139" s="75">
        <v>2000</v>
      </c>
      <c r="J139" s="61">
        <f t="shared" si="2"/>
        <v>0</v>
      </c>
      <c r="K139" s="340">
        <v>46126</v>
      </c>
      <c r="L139" s="300">
        <f>DATE(YEAR(K139),MONTH(K139)+VLOOKUP($F139,'Membership Level'!$A$3:$B$15,2,FALSE),DAY(K139))</f>
        <v>46156</v>
      </c>
      <c r="M139" s="58">
        <v>3</v>
      </c>
    </row>
    <row r="140" spans="1:13" x14ac:dyDescent="0.35">
      <c r="A140" s="227" t="s">
        <v>404</v>
      </c>
      <c r="B140" s="244">
        <v>46095</v>
      </c>
      <c r="C140" s="93" t="s">
        <v>465</v>
      </c>
      <c r="D140" s="93" t="s">
        <v>464</v>
      </c>
      <c r="E140" s="226">
        <v>9693637987</v>
      </c>
      <c r="F140" s="93" t="str">
        <f>'Membership Level'!A12</f>
        <v>Swimming Moth</v>
      </c>
      <c r="G140" s="93" t="s">
        <v>308</v>
      </c>
      <c r="H140" s="75">
        <v>3000</v>
      </c>
      <c r="I140" s="75">
        <v>3000</v>
      </c>
      <c r="J140" s="61">
        <f t="shared" si="2"/>
        <v>0</v>
      </c>
      <c r="K140" s="340">
        <v>46126</v>
      </c>
      <c r="L140" s="300">
        <f>DATE(YEAR(K140),MONTH(K140)+VLOOKUP($F140,'Membership Level'!$A$3:$B$15,2,FALSE),DAY(K140))</f>
        <v>46156</v>
      </c>
      <c r="M140" s="58">
        <v>3</v>
      </c>
    </row>
    <row r="141" spans="1:13" x14ac:dyDescent="0.35">
      <c r="A141" s="227" t="s">
        <v>405</v>
      </c>
      <c r="B141" s="244">
        <v>46095</v>
      </c>
      <c r="C141" s="247" t="s">
        <v>467</v>
      </c>
      <c r="D141" s="247" t="s">
        <v>466</v>
      </c>
      <c r="E141" s="226">
        <v>9693545452</v>
      </c>
      <c r="F141" s="93" t="str">
        <f>'Membership Level'!A12</f>
        <v>Swimming Moth</v>
      </c>
      <c r="G141" s="93" t="s">
        <v>308</v>
      </c>
      <c r="H141" s="75">
        <v>3400</v>
      </c>
      <c r="I141" s="75">
        <v>3400</v>
      </c>
      <c r="J141" s="61">
        <f t="shared" si="2"/>
        <v>0</v>
      </c>
      <c r="K141" s="341">
        <v>46126</v>
      </c>
      <c r="L141" s="300">
        <f>DATE(YEAR(K141),MONTH(K141)+VLOOKUP($F141,'Membership Level'!$A$3:$B$15,2,FALSE),DAY(K141))</f>
        <v>46156</v>
      </c>
    </row>
    <row r="142" spans="1:13" s="261" customFormat="1" x14ac:dyDescent="0.35">
      <c r="A142" s="255" t="s">
        <v>406</v>
      </c>
      <c r="B142" s="263">
        <v>46095</v>
      </c>
      <c r="C142" s="260" t="s">
        <v>202</v>
      </c>
      <c r="D142" s="260" t="s">
        <v>468</v>
      </c>
      <c r="E142" s="257">
        <v>9430471629</v>
      </c>
      <c r="F142" s="260" t="str">
        <f>'Membership Level'!A13</f>
        <v>Swimming Qty</v>
      </c>
      <c r="G142" s="260" t="s">
        <v>469</v>
      </c>
      <c r="H142" s="266">
        <v>11500</v>
      </c>
      <c r="I142" s="266">
        <v>11500</v>
      </c>
      <c r="J142" s="267">
        <f t="shared" si="2"/>
        <v>0</v>
      </c>
      <c r="K142" s="340">
        <v>46095</v>
      </c>
      <c r="L142" s="300">
        <f>DATE(YEAR(K142),MONTH(K142)+VLOOKUP($F142,'Membership Level'!$A$3:$B$15,2,FALSE),DAY(K142))</f>
        <v>46187</v>
      </c>
      <c r="M142" s="269">
        <v>3</v>
      </c>
    </row>
    <row r="143" spans="1:13" s="261" customFormat="1" x14ac:dyDescent="0.35">
      <c r="A143" s="255" t="s">
        <v>407</v>
      </c>
      <c r="B143" s="263">
        <v>46095</v>
      </c>
      <c r="C143" s="260" t="s">
        <v>471</v>
      </c>
      <c r="D143" s="260" t="s">
        <v>470</v>
      </c>
      <c r="E143" s="257">
        <v>8541020033</v>
      </c>
      <c r="F143" s="260" t="str">
        <f>'Membership Level'!A13</f>
        <v>Swimming Qty</v>
      </c>
      <c r="G143" s="260" t="s">
        <v>216</v>
      </c>
      <c r="H143" s="266">
        <v>11500</v>
      </c>
      <c r="I143" s="266">
        <v>11500</v>
      </c>
      <c r="J143" s="267">
        <f t="shared" si="2"/>
        <v>0</v>
      </c>
      <c r="K143" s="340">
        <v>46095</v>
      </c>
      <c r="L143" s="300">
        <f>DATE(YEAR(K143),MONTH(K143)+VLOOKUP($F143,'Membership Level'!$A$3:$B$15,2,FALSE),DAY(K143))</f>
        <v>46187</v>
      </c>
      <c r="M143" s="269">
        <v>3</v>
      </c>
    </row>
    <row r="144" spans="1:13" s="11" customFormat="1" x14ac:dyDescent="0.35">
      <c r="A144" s="227" t="s">
        <v>408</v>
      </c>
      <c r="B144" s="244">
        <v>46096</v>
      </c>
      <c r="C144" s="241" t="s">
        <v>202</v>
      </c>
      <c r="D144" s="241" t="s">
        <v>472</v>
      </c>
      <c r="E144" s="235">
        <v>8709960795</v>
      </c>
      <c r="F144" s="241" t="str">
        <f>'Membership Level'!A12</f>
        <v>Swimming Moth</v>
      </c>
      <c r="G144" s="241" t="s">
        <v>308</v>
      </c>
      <c r="H144" s="78">
        <v>2800</v>
      </c>
      <c r="I144" s="78">
        <v>2800</v>
      </c>
      <c r="J144" s="61">
        <f t="shared" si="2"/>
        <v>0</v>
      </c>
      <c r="K144" s="244">
        <v>46096</v>
      </c>
      <c r="L144" s="59">
        <f>DATE(YEAR(K144),MONTH(K144)+VLOOKUP($F144,'Membership Level'!$A$3:$B$15,2,FALSE),DAY(K144))</f>
        <v>46127</v>
      </c>
      <c r="M144" s="58">
        <v>3</v>
      </c>
    </row>
    <row r="145" spans="1:13" s="11" customFormat="1" x14ac:dyDescent="0.35">
      <c r="A145" s="227" t="s">
        <v>409</v>
      </c>
      <c r="B145" s="244">
        <v>46096</v>
      </c>
      <c r="C145" s="241" t="s">
        <v>333</v>
      </c>
      <c r="D145" s="241" t="s">
        <v>473</v>
      </c>
      <c r="E145" s="235">
        <v>8709960795</v>
      </c>
      <c r="F145" s="241" t="str">
        <f>'Membership Level'!A12</f>
        <v>Swimming Moth</v>
      </c>
      <c r="G145" s="241" t="s">
        <v>308</v>
      </c>
      <c r="H145" s="78">
        <v>2800</v>
      </c>
      <c r="I145" s="78">
        <v>2800</v>
      </c>
      <c r="J145" s="61">
        <f t="shared" si="2"/>
        <v>0</v>
      </c>
      <c r="K145" s="244">
        <v>46096</v>
      </c>
      <c r="L145" s="59">
        <f>DATE(YEAR(K145),MONTH(K145)+VLOOKUP($F145,'Membership Level'!$A$3:$B$15,2,FALSE),DAY(K145))</f>
        <v>46127</v>
      </c>
      <c r="M145" s="58">
        <v>3</v>
      </c>
    </row>
    <row r="146" spans="1:13" x14ac:dyDescent="0.35">
      <c r="A146" s="227" t="s">
        <v>410</v>
      </c>
      <c r="B146" s="244">
        <v>46096</v>
      </c>
      <c r="C146" s="93" t="s">
        <v>222</v>
      </c>
      <c r="D146" s="93" t="s">
        <v>452</v>
      </c>
      <c r="E146" s="226">
        <v>7323880917</v>
      </c>
      <c r="F146" s="93" t="str">
        <f>'Membership Level'!A12</f>
        <v>Swimming Moth</v>
      </c>
      <c r="G146" s="93" t="s">
        <v>248</v>
      </c>
      <c r="H146" s="75">
        <v>4000</v>
      </c>
      <c r="I146" s="75">
        <v>4000</v>
      </c>
      <c r="J146" s="61">
        <f t="shared" si="2"/>
        <v>0</v>
      </c>
      <c r="K146" s="245">
        <v>46096</v>
      </c>
      <c r="L146" s="59">
        <f>DATE(YEAR(K146),MONTH(K146)+VLOOKUP($F146,'Membership Level'!$A$3:$B$15,2,FALSE),DAY(K146))</f>
        <v>46127</v>
      </c>
      <c r="M146" s="58">
        <v>3</v>
      </c>
    </row>
    <row r="147" spans="1:13" s="261" customFormat="1" x14ac:dyDescent="0.35">
      <c r="A147" s="255" t="s">
        <v>411</v>
      </c>
      <c r="B147" s="263">
        <v>46096</v>
      </c>
      <c r="C147" s="260"/>
      <c r="D147" s="260" t="s">
        <v>474</v>
      </c>
      <c r="E147" s="257">
        <v>7324808896</v>
      </c>
      <c r="F147" s="260" t="str">
        <f>'Membership Level'!A13</f>
        <v>Swimming Qty</v>
      </c>
      <c r="G147" s="260" t="s">
        <v>216</v>
      </c>
      <c r="H147" s="266">
        <v>10500</v>
      </c>
      <c r="I147" s="266">
        <v>10500</v>
      </c>
      <c r="J147" s="267">
        <f t="shared" si="2"/>
        <v>0</v>
      </c>
      <c r="K147" s="340">
        <v>46096</v>
      </c>
      <c r="L147" s="300">
        <v>46188</v>
      </c>
      <c r="M147" s="269">
        <v>3</v>
      </c>
    </row>
    <row r="148" spans="1:13" x14ac:dyDescent="0.35">
      <c r="A148" s="227" t="s">
        <v>412</v>
      </c>
      <c r="B148" s="244">
        <v>46096</v>
      </c>
      <c r="C148" s="93" t="s">
        <v>476</v>
      </c>
      <c r="D148" s="93" t="s">
        <v>477</v>
      </c>
      <c r="E148" s="235">
        <v>9721744718</v>
      </c>
      <c r="F148" s="93" t="str">
        <f>'Membership Level'!A12</f>
        <v>Swimming Moth</v>
      </c>
      <c r="G148" s="93" t="s">
        <v>308</v>
      </c>
      <c r="H148" s="75">
        <v>3800</v>
      </c>
      <c r="I148" s="75">
        <v>3800</v>
      </c>
      <c r="J148" s="61">
        <f t="shared" si="2"/>
        <v>0</v>
      </c>
      <c r="K148" s="245">
        <v>46096</v>
      </c>
      <c r="L148" s="59">
        <f>DATE(YEAR(K148),MONTH(K148)+VLOOKUP($F148,'Membership Level'!$A$3:$B$15,2,FALSE),DAY(K148))</f>
        <v>46127</v>
      </c>
      <c r="M148" s="58">
        <v>3</v>
      </c>
    </row>
    <row r="149" spans="1:13" x14ac:dyDescent="0.35">
      <c r="A149" s="227" t="s">
        <v>413</v>
      </c>
      <c r="B149" s="244">
        <v>46096</v>
      </c>
      <c r="C149" s="93" t="s">
        <v>476</v>
      </c>
      <c r="D149" s="93" t="s">
        <v>475</v>
      </c>
      <c r="E149" s="235">
        <v>9721744718</v>
      </c>
      <c r="F149" s="93" t="str">
        <f>'Membership Level'!A12</f>
        <v>Swimming Moth</v>
      </c>
      <c r="G149" s="93" t="s">
        <v>248</v>
      </c>
      <c r="H149" s="75">
        <v>4000</v>
      </c>
      <c r="I149" s="75">
        <v>4000</v>
      </c>
      <c r="J149" s="61">
        <f t="shared" si="2"/>
        <v>0</v>
      </c>
      <c r="K149" s="245">
        <v>46096</v>
      </c>
      <c r="L149" s="59">
        <f>DATE(YEAR(K149),MONTH(K149)+VLOOKUP($F149,'Membership Level'!$A$3:$B$15,2,FALSE),DAY(K149))</f>
        <v>46127</v>
      </c>
      <c r="M149" s="58">
        <v>3</v>
      </c>
    </row>
    <row r="150" spans="1:13" x14ac:dyDescent="0.35">
      <c r="A150" s="227" t="s">
        <v>414</v>
      </c>
      <c r="B150" s="244">
        <v>46096</v>
      </c>
      <c r="C150" s="93"/>
      <c r="D150" s="93" t="s">
        <v>478</v>
      </c>
      <c r="E150" s="226">
        <v>9537682595</v>
      </c>
      <c r="F150" s="93" t="str">
        <f>'Membership Level'!A12</f>
        <v>Swimming Moth</v>
      </c>
      <c r="G150" s="93" t="s">
        <v>455</v>
      </c>
      <c r="H150" s="75">
        <v>2800</v>
      </c>
      <c r="I150" s="75">
        <v>2800</v>
      </c>
      <c r="J150" s="61">
        <f t="shared" si="2"/>
        <v>0</v>
      </c>
      <c r="K150" s="245">
        <v>46096</v>
      </c>
      <c r="L150" s="59">
        <f>DATE(YEAR(K150),MONTH(K150)+VLOOKUP($F150,'Membership Level'!$A$3:$B$15,2,FALSE),DAY(K150))</f>
        <v>46127</v>
      </c>
      <c r="M150" s="58">
        <v>3</v>
      </c>
    </row>
    <row r="151" spans="1:13" s="261" customFormat="1" x14ac:dyDescent="0.35">
      <c r="A151" s="255" t="s">
        <v>415</v>
      </c>
      <c r="B151" s="263">
        <v>46096</v>
      </c>
      <c r="C151" s="260"/>
      <c r="D151" s="260" t="s">
        <v>479</v>
      </c>
      <c r="E151" s="257">
        <v>9741819765</v>
      </c>
      <c r="F151" s="260" t="str">
        <f>'Membership Level'!A14</f>
        <v>Swimming HY</v>
      </c>
      <c r="G151" s="260" t="s">
        <v>237</v>
      </c>
      <c r="H151" s="266">
        <v>17000</v>
      </c>
      <c r="I151" s="266">
        <v>17000</v>
      </c>
      <c r="J151" s="267">
        <f t="shared" si="2"/>
        <v>0</v>
      </c>
      <c r="K151" s="340">
        <v>46096</v>
      </c>
      <c r="L151" s="300">
        <f>DATE(YEAR(K151),MONTH(K151)+VLOOKUP($F151,'Membership Level'!$A$3:$B$15,2,FALSE),DAY(K151))</f>
        <v>46280</v>
      </c>
      <c r="M151" s="269">
        <v>3</v>
      </c>
    </row>
    <row r="152" spans="1:13" s="261" customFormat="1" x14ac:dyDescent="0.35">
      <c r="A152" s="255" t="s">
        <v>416</v>
      </c>
      <c r="B152" s="263">
        <v>46096</v>
      </c>
      <c r="C152" s="260"/>
      <c r="D152" s="260" t="s">
        <v>480</v>
      </c>
      <c r="E152" s="257">
        <v>9741819765</v>
      </c>
      <c r="F152" s="260" t="str">
        <f>'Membership Level'!A14</f>
        <v>Swimming HY</v>
      </c>
      <c r="G152" s="260" t="s">
        <v>237</v>
      </c>
      <c r="H152" s="266">
        <v>17000</v>
      </c>
      <c r="I152" s="266">
        <v>17000</v>
      </c>
      <c r="J152" s="267">
        <f t="shared" si="2"/>
        <v>0</v>
      </c>
      <c r="K152" s="340">
        <v>46096</v>
      </c>
      <c r="L152" s="300">
        <f>DATE(YEAR(K152),MONTH(K152)+VLOOKUP($F152,'Membership Level'!$A$3:$B$15,2,FALSE),DAY(K152))</f>
        <v>46280</v>
      </c>
      <c r="M152" s="269">
        <v>3</v>
      </c>
    </row>
    <row r="153" spans="1:13" x14ac:dyDescent="0.35">
      <c r="A153" s="227" t="s">
        <v>417</v>
      </c>
      <c r="B153" s="244">
        <v>46096</v>
      </c>
      <c r="C153" s="93" t="s">
        <v>362</v>
      </c>
      <c r="D153" s="93" t="s">
        <v>481</v>
      </c>
      <c r="E153" s="226">
        <v>7004175756</v>
      </c>
      <c r="F153" s="93" t="str">
        <f>'Membership Level'!A12</f>
        <v>Swimming Moth</v>
      </c>
      <c r="G153" s="93" t="s">
        <v>297</v>
      </c>
      <c r="H153" s="75">
        <v>3000</v>
      </c>
      <c r="I153" s="75">
        <v>3000</v>
      </c>
      <c r="J153" s="61">
        <f t="shared" si="2"/>
        <v>0</v>
      </c>
      <c r="K153" s="245">
        <v>46096</v>
      </c>
      <c r="L153" s="59">
        <f>DATE(YEAR(K153),MONTH(K153)+VLOOKUP($F153,'Membership Level'!$A$3:$B$15,2,FALSE),DAY(K153))</f>
        <v>46127</v>
      </c>
      <c r="M153" s="58">
        <v>3</v>
      </c>
    </row>
    <row r="154" spans="1:13" x14ac:dyDescent="0.35">
      <c r="A154" s="227" t="s">
        <v>418</v>
      </c>
      <c r="B154" s="244">
        <v>46096</v>
      </c>
      <c r="C154" s="93" t="s">
        <v>482</v>
      </c>
      <c r="D154" s="93" t="s">
        <v>468</v>
      </c>
      <c r="E154" s="226">
        <v>7903009493</v>
      </c>
      <c r="F154" s="93" t="str">
        <f>'Membership Level'!A12</f>
        <v>Swimming Moth</v>
      </c>
      <c r="G154" s="93" t="s">
        <v>297</v>
      </c>
      <c r="H154" s="75">
        <v>3000</v>
      </c>
      <c r="I154" s="75">
        <v>3000</v>
      </c>
      <c r="J154" s="61">
        <f t="shared" si="2"/>
        <v>0</v>
      </c>
      <c r="K154" s="245">
        <v>46096</v>
      </c>
      <c r="L154" s="59">
        <f>DATE(YEAR(K154),MONTH(K154)+VLOOKUP($F154,'Membership Level'!$A$3:$B$15,2,FALSE),DAY(K154))</f>
        <v>46127</v>
      </c>
      <c r="M154" s="58">
        <v>3</v>
      </c>
    </row>
    <row r="155" spans="1:13" s="11" customFormat="1" x14ac:dyDescent="0.35">
      <c r="A155" s="227" t="s">
        <v>419</v>
      </c>
      <c r="B155" s="59">
        <v>46098</v>
      </c>
      <c r="C155" s="93" t="s">
        <v>333</v>
      </c>
      <c r="D155" s="93" t="s">
        <v>483</v>
      </c>
      <c r="E155" s="235">
        <v>9939560612</v>
      </c>
      <c r="F155" s="93" t="str">
        <f>'Membership Level'!A12</f>
        <v>Swimming Moth</v>
      </c>
      <c r="G155" s="93" t="s">
        <v>308</v>
      </c>
      <c r="H155" s="75">
        <v>3500</v>
      </c>
      <c r="I155" s="75">
        <v>3500</v>
      </c>
      <c r="J155" s="61">
        <f t="shared" si="2"/>
        <v>0</v>
      </c>
      <c r="K155" s="245">
        <v>46096</v>
      </c>
      <c r="L155" s="59">
        <f>DATE(YEAR(K155),MONTH(K155)+VLOOKUP($F155,'Membership Level'!$A$3:$B$15,2,FALSE),DAY(K155))</f>
        <v>46127</v>
      </c>
      <c r="M155" s="58">
        <v>3</v>
      </c>
    </row>
    <row r="156" spans="1:13" x14ac:dyDescent="0.35">
      <c r="A156" s="227" t="s">
        <v>420</v>
      </c>
      <c r="B156" s="59">
        <v>46098</v>
      </c>
      <c r="C156" s="93" t="s">
        <v>333</v>
      </c>
      <c r="D156" s="93" t="s">
        <v>484</v>
      </c>
      <c r="E156" s="226">
        <v>9955705482</v>
      </c>
      <c r="F156" s="93" t="str">
        <f>'Membership Level'!A12</f>
        <v>Swimming Moth</v>
      </c>
      <c r="G156" s="93" t="s">
        <v>248</v>
      </c>
      <c r="H156" s="75">
        <v>4400</v>
      </c>
      <c r="I156" s="75">
        <v>4400</v>
      </c>
      <c r="J156" s="61">
        <f t="shared" si="2"/>
        <v>0</v>
      </c>
      <c r="K156" s="245">
        <v>46098</v>
      </c>
      <c r="L156" s="59">
        <f>DATE(YEAR(K156),MONTH(K156)+VLOOKUP($F156,'Membership Level'!$A$3:$B$15,2,FALSE),DAY(K156))</f>
        <v>46129</v>
      </c>
      <c r="M156" s="58">
        <v>3</v>
      </c>
    </row>
    <row r="157" spans="1:13" x14ac:dyDescent="0.35">
      <c r="A157" s="227" t="s">
        <v>421</v>
      </c>
      <c r="B157" s="59">
        <v>46098</v>
      </c>
      <c r="C157" s="93" t="s">
        <v>333</v>
      </c>
      <c r="D157" s="93" t="s">
        <v>485</v>
      </c>
      <c r="E157" s="226">
        <v>9031456444</v>
      </c>
      <c r="F157" s="93" t="str">
        <f>'Membership Level'!A12</f>
        <v>Swimming Moth</v>
      </c>
      <c r="G157" s="93" t="s">
        <v>248</v>
      </c>
      <c r="H157" s="75">
        <v>4400</v>
      </c>
      <c r="I157" s="75">
        <v>4400</v>
      </c>
      <c r="J157" s="61">
        <f t="shared" si="2"/>
        <v>0</v>
      </c>
      <c r="K157" s="245">
        <v>46098</v>
      </c>
      <c r="L157" s="59">
        <f>DATE(YEAR(K157),MONTH(K157)+VLOOKUP($F157,'Membership Level'!$A$3:$B$15,2,FALSE),DAY(K157))</f>
        <v>46129</v>
      </c>
      <c r="M157" s="58">
        <v>3</v>
      </c>
    </row>
    <row r="158" spans="1:13" x14ac:dyDescent="0.35">
      <c r="A158" s="227" t="s">
        <v>422</v>
      </c>
      <c r="B158" s="59">
        <v>46098</v>
      </c>
      <c r="C158" s="93" t="s">
        <v>350</v>
      </c>
      <c r="D158" s="93" t="s">
        <v>486</v>
      </c>
      <c r="E158" s="226">
        <v>9304672076</v>
      </c>
      <c r="F158" s="93" t="str">
        <f>'Membership Level'!A12</f>
        <v>Swimming Moth</v>
      </c>
      <c r="G158" s="93" t="s">
        <v>308</v>
      </c>
      <c r="H158" s="75">
        <v>3500</v>
      </c>
      <c r="I158" s="75">
        <v>3500</v>
      </c>
      <c r="J158" s="61">
        <f t="shared" si="2"/>
        <v>0</v>
      </c>
      <c r="K158" s="245">
        <v>46098</v>
      </c>
      <c r="L158" s="59">
        <f>DATE(YEAR(K158),MONTH(K158)+VLOOKUP($F158,'Membership Level'!$A$3:$B$15,2,FALSE),DAY(K158))</f>
        <v>46129</v>
      </c>
      <c r="M158" s="58">
        <v>3</v>
      </c>
    </row>
    <row r="159" spans="1:13" x14ac:dyDescent="0.35">
      <c r="A159" s="227" t="s">
        <v>423</v>
      </c>
      <c r="B159" s="59">
        <v>46098</v>
      </c>
      <c r="C159" s="93"/>
      <c r="D159" s="93" t="s">
        <v>487</v>
      </c>
      <c r="E159" s="226">
        <v>9304672076</v>
      </c>
      <c r="F159" s="93" t="str">
        <f>'Membership Level'!A12</f>
        <v>Swimming Moth</v>
      </c>
      <c r="G159" s="93" t="s">
        <v>308</v>
      </c>
      <c r="H159" s="75">
        <v>3500</v>
      </c>
      <c r="I159" s="75">
        <v>3500</v>
      </c>
      <c r="J159" s="61">
        <f t="shared" si="2"/>
        <v>0</v>
      </c>
      <c r="K159" s="245">
        <v>46098</v>
      </c>
      <c r="L159" s="59">
        <f>DATE(YEAR(K159),MONTH(K159)+VLOOKUP($F159,'Membership Level'!$A$3:$B$15,2,FALSE),DAY(K159))</f>
        <v>46129</v>
      </c>
      <c r="M159" s="58">
        <v>3</v>
      </c>
    </row>
    <row r="160" spans="1:13" x14ac:dyDescent="0.35">
      <c r="A160" s="227" t="s">
        <v>424</v>
      </c>
      <c r="B160" s="59">
        <v>46098</v>
      </c>
      <c r="C160" s="93"/>
      <c r="D160" s="93" t="s">
        <v>488</v>
      </c>
      <c r="E160" s="226">
        <v>9304672076</v>
      </c>
      <c r="F160" s="93" t="str">
        <f>'Membership Level'!A12</f>
        <v>Swimming Moth</v>
      </c>
      <c r="G160" s="93" t="s">
        <v>308</v>
      </c>
      <c r="H160" s="75">
        <v>3500</v>
      </c>
      <c r="I160" s="75">
        <v>3500</v>
      </c>
      <c r="J160" s="61">
        <f t="shared" si="2"/>
        <v>0</v>
      </c>
      <c r="K160" s="340">
        <v>46129</v>
      </c>
      <c r="L160" s="300">
        <f>DATE(YEAR(K160),MONTH(K160)+VLOOKUP($F160,'Membership Level'!$A$3:$B$15,2,FALSE),DAY(K160))</f>
        <v>46159</v>
      </c>
      <c r="M160" s="58">
        <v>3</v>
      </c>
    </row>
    <row r="161" spans="1:13" x14ac:dyDescent="0.35">
      <c r="A161" s="227" t="s">
        <v>425</v>
      </c>
      <c r="B161" s="59">
        <v>46098</v>
      </c>
      <c r="C161" s="93" t="s">
        <v>490</v>
      </c>
      <c r="D161" s="93" t="s">
        <v>489</v>
      </c>
      <c r="E161" s="226">
        <v>9708888894</v>
      </c>
      <c r="F161" s="93" t="str">
        <f>'Membership Level'!A13</f>
        <v>Swimming Qty</v>
      </c>
      <c r="G161" s="93" t="s">
        <v>455</v>
      </c>
      <c r="H161" s="75">
        <v>7500</v>
      </c>
      <c r="I161" s="75">
        <v>7500</v>
      </c>
      <c r="J161" s="61">
        <f t="shared" si="2"/>
        <v>0</v>
      </c>
      <c r="K161" s="245">
        <v>46098</v>
      </c>
      <c r="L161" s="59">
        <f>DATE(YEAR(K161),MONTH(K161)+VLOOKUP($F161,'Membership Level'!$A$3:$B$15,2,FALSE),DAY(K161))</f>
        <v>46190</v>
      </c>
      <c r="M161" s="58">
        <v>3</v>
      </c>
    </row>
    <row r="162" spans="1:13" x14ac:dyDescent="0.35">
      <c r="A162" s="227" t="s">
        <v>426</v>
      </c>
      <c r="B162" s="59">
        <v>46098</v>
      </c>
      <c r="C162" s="93" t="s">
        <v>492</v>
      </c>
      <c r="D162" s="93" t="s">
        <v>491</v>
      </c>
      <c r="E162" s="226">
        <v>7011370460</v>
      </c>
      <c r="F162" s="93" t="str">
        <f>'Membership Level'!A12</f>
        <v>Swimming Moth</v>
      </c>
      <c r="G162" s="93" t="s">
        <v>248</v>
      </c>
      <c r="H162" s="75">
        <v>4000</v>
      </c>
      <c r="I162" s="75">
        <v>4000</v>
      </c>
      <c r="J162" s="61">
        <f t="shared" si="2"/>
        <v>0</v>
      </c>
      <c r="K162" s="245">
        <v>46098</v>
      </c>
      <c r="L162" s="59">
        <f>DATE(YEAR(K162),MONTH(K162)+VLOOKUP($F162,'Membership Level'!$A$3:$B$15,2,FALSE),DAY(K162))</f>
        <v>46129</v>
      </c>
      <c r="M162" s="58">
        <v>3</v>
      </c>
    </row>
    <row r="163" spans="1:13" x14ac:dyDescent="0.35">
      <c r="A163" s="227" t="s">
        <v>427</v>
      </c>
      <c r="B163" s="59">
        <v>46098</v>
      </c>
      <c r="C163" s="93" t="s">
        <v>333</v>
      </c>
      <c r="D163" s="93" t="s">
        <v>493</v>
      </c>
      <c r="E163" s="226">
        <v>8809148889</v>
      </c>
      <c r="F163" s="93" t="str">
        <f>'Membership Level'!A12</f>
        <v>Swimming Moth</v>
      </c>
      <c r="G163" s="93" t="s">
        <v>494</v>
      </c>
      <c r="H163" s="75">
        <v>2500</v>
      </c>
      <c r="I163" s="75">
        <v>2500</v>
      </c>
      <c r="J163" s="61">
        <f t="shared" si="2"/>
        <v>0</v>
      </c>
      <c r="K163" s="9">
        <v>46098</v>
      </c>
      <c r="L163" s="59">
        <f>DATE(YEAR(K163),MONTH(K163)+VLOOKUP($F163,'Membership Level'!$A$3:$B$15,2,FALSE),DAY(K163))</f>
        <v>46129</v>
      </c>
      <c r="M163" s="58">
        <v>3</v>
      </c>
    </row>
    <row r="164" spans="1:13" x14ac:dyDescent="0.35">
      <c r="A164" s="227" t="s">
        <v>428</v>
      </c>
      <c r="B164" s="59">
        <v>46098</v>
      </c>
      <c r="C164" s="93" t="s">
        <v>30</v>
      </c>
      <c r="D164" s="93" t="s">
        <v>495</v>
      </c>
      <c r="E164" s="226">
        <v>9572078208</v>
      </c>
      <c r="F164" s="93" t="str">
        <f>'Membership Level'!A12</f>
        <v>Swimming Moth</v>
      </c>
      <c r="G164" s="93" t="s">
        <v>455</v>
      </c>
      <c r="H164" s="75">
        <v>2800</v>
      </c>
      <c r="I164" s="75">
        <v>2800</v>
      </c>
      <c r="J164" s="61">
        <f t="shared" si="2"/>
        <v>0</v>
      </c>
      <c r="K164" s="300">
        <v>46119</v>
      </c>
      <c r="L164" s="300">
        <f>DATE(YEAR(K164),MONTH(K164)+VLOOKUP($F164,'Membership Level'!$A$3:$B$15,2,FALSE),DAY(K164))</f>
        <v>46149</v>
      </c>
      <c r="M164" s="58">
        <v>3</v>
      </c>
    </row>
    <row r="165" spans="1:13" x14ac:dyDescent="0.35">
      <c r="A165" s="227" t="s">
        <v>429</v>
      </c>
      <c r="B165" s="59">
        <v>46098</v>
      </c>
      <c r="C165" s="93" t="s">
        <v>496</v>
      </c>
      <c r="D165" s="93" t="s">
        <v>462</v>
      </c>
      <c r="E165" s="226">
        <v>6306775669</v>
      </c>
      <c r="F165" s="93" t="str">
        <f>'Membership Level'!A12</f>
        <v>Swimming Moth</v>
      </c>
      <c r="G165" s="93" t="s">
        <v>248</v>
      </c>
      <c r="H165" s="75">
        <v>4000</v>
      </c>
      <c r="I165" s="75">
        <v>4000</v>
      </c>
      <c r="J165" s="61">
        <f t="shared" si="2"/>
        <v>0</v>
      </c>
      <c r="K165" s="9">
        <v>46098</v>
      </c>
      <c r="L165" s="59">
        <f>DATE(YEAR(K165),MONTH(K165)+VLOOKUP($F165,'Membership Level'!$A$3:$B$15,2,FALSE),DAY(K165))</f>
        <v>46129</v>
      </c>
      <c r="M165" s="58">
        <v>3</v>
      </c>
    </row>
    <row r="166" spans="1:13" x14ac:dyDescent="0.35">
      <c r="A166" s="227" t="s">
        <v>430</v>
      </c>
      <c r="B166" s="59">
        <v>46098</v>
      </c>
      <c r="C166" s="7"/>
      <c r="D166" s="93" t="s">
        <v>497</v>
      </c>
      <c r="E166" s="226">
        <v>6202495176</v>
      </c>
      <c r="F166" s="93" t="str">
        <f>'Membership Level'!A12</f>
        <v>Swimming Moth</v>
      </c>
      <c r="G166" s="93" t="s">
        <v>455</v>
      </c>
      <c r="H166" s="75">
        <v>2800</v>
      </c>
      <c r="I166" s="75">
        <v>2800</v>
      </c>
      <c r="J166" s="61">
        <f t="shared" si="2"/>
        <v>0</v>
      </c>
      <c r="K166" s="9">
        <v>46098</v>
      </c>
      <c r="L166" s="59">
        <f>DATE(YEAR(K166),MONTH(K166)+VLOOKUP($F166,'Membership Level'!$A$3:$B$15,2,FALSE),DAY(K166))</f>
        <v>46129</v>
      </c>
      <c r="M166" s="58">
        <v>3</v>
      </c>
    </row>
    <row r="167" spans="1:13" s="261" customFormat="1" x14ac:dyDescent="0.35">
      <c r="A167" s="255" t="s">
        <v>431</v>
      </c>
      <c r="B167" s="268">
        <v>46098</v>
      </c>
      <c r="C167" s="269"/>
      <c r="D167" s="260" t="s">
        <v>371</v>
      </c>
      <c r="E167" s="257">
        <v>7256818681</v>
      </c>
      <c r="F167" s="260" t="str">
        <f>'Membership Level'!A13</f>
        <v>Swimming Qty</v>
      </c>
      <c r="G167" s="260" t="s">
        <v>216</v>
      </c>
      <c r="H167" s="266">
        <v>11000</v>
      </c>
      <c r="I167" s="266">
        <v>11000</v>
      </c>
      <c r="J167" s="267">
        <f t="shared" si="2"/>
        <v>0</v>
      </c>
      <c r="K167" s="300">
        <v>46098</v>
      </c>
      <c r="L167" s="300">
        <f>DATE(YEAR(K167),MONTH(K167)+VLOOKUP($F167,'Membership Level'!$A$3:$B$15,2,FALSE),DAY(K167))</f>
        <v>46190</v>
      </c>
      <c r="M167" s="269">
        <v>3</v>
      </c>
    </row>
    <row r="168" spans="1:13" s="261" customFormat="1" x14ac:dyDescent="0.35">
      <c r="A168" s="255" t="s">
        <v>432</v>
      </c>
      <c r="B168" s="268">
        <v>46098</v>
      </c>
      <c r="C168" s="260" t="s">
        <v>333</v>
      </c>
      <c r="D168" s="260" t="s">
        <v>362</v>
      </c>
      <c r="E168" s="257">
        <v>7256818681</v>
      </c>
      <c r="F168" s="260" t="str">
        <f>'Membership Level'!A13</f>
        <v>Swimming Qty</v>
      </c>
      <c r="G168" s="260" t="s">
        <v>216</v>
      </c>
      <c r="H168" s="266">
        <v>11000</v>
      </c>
      <c r="I168" s="266">
        <v>11000</v>
      </c>
      <c r="J168" s="267">
        <f t="shared" si="2"/>
        <v>0</v>
      </c>
      <c r="K168" s="300">
        <v>46098</v>
      </c>
      <c r="L168" s="300">
        <f>DATE(YEAR(K168),MONTH(K168)+VLOOKUP($F168,'Membership Level'!$A$3:$B$15,2,FALSE),DAY(K168))</f>
        <v>46190</v>
      </c>
      <c r="M168" s="269">
        <v>3</v>
      </c>
    </row>
    <row r="169" spans="1:13" x14ac:dyDescent="0.35">
      <c r="A169" s="227" t="s">
        <v>499</v>
      </c>
      <c r="B169" s="59">
        <v>46098</v>
      </c>
      <c r="C169" s="93"/>
      <c r="D169" s="93" t="s">
        <v>498</v>
      </c>
      <c r="E169" s="226">
        <v>8873547490</v>
      </c>
      <c r="F169" s="93" t="str">
        <f>'Membership Level'!A12</f>
        <v>Swimming Moth</v>
      </c>
      <c r="G169" s="93" t="s">
        <v>306</v>
      </c>
      <c r="H169" s="75">
        <v>2500</v>
      </c>
      <c r="I169" s="75">
        <v>2500</v>
      </c>
      <c r="J169" s="61">
        <f t="shared" si="2"/>
        <v>0</v>
      </c>
      <c r="K169" s="9">
        <v>46098</v>
      </c>
      <c r="L169" s="59">
        <f>DATE(YEAR(K169),MONTH(K169)+VLOOKUP($F169,'Membership Level'!$A$3:$B$15,2,FALSE),DAY(K169))</f>
        <v>46129</v>
      </c>
      <c r="M169" s="58">
        <v>3</v>
      </c>
    </row>
    <row r="170" spans="1:13" x14ac:dyDescent="0.35">
      <c r="A170" s="227" t="s">
        <v>500</v>
      </c>
      <c r="B170" s="59">
        <v>46099</v>
      </c>
      <c r="C170" s="93" t="s">
        <v>281</v>
      </c>
      <c r="D170" s="93" t="s">
        <v>540</v>
      </c>
      <c r="E170" s="226">
        <v>7970551263</v>
      </c>
      <c r="F170" s="93" t="str">
        <f>'Membership Level'!A12</f>
        <v>Swimming Moth</v>
      </c>
      <c r="G170" s="93" t="s">
        <v>248</v>
      </c>
      <c r="H170" s="75">
        <v>4000</v>
      </c>
      <c r="I170" s="75">
        <v>4000</v>
      </c>
      <c r="J170" s="61">
        <f t="shared" si="2"/>
        <v>0</v>
      </c>
      <c r="K170" s="300">
        <v>46130</v>
      </c>
      <c r="L170" s="300">
        <f>DATE(YEAR(K170),MONTH(K170)+VLOOKUP($F170,'Membership Level'!$A$3:$B$15,2,FALSE),DAY(K170))</f>
        <v>46160</v>
      </c>
      <c r="M170" s="58">
        <v>3</v>
      </c>
    </row>
    <row r="171" spans="1:13" x14ac:dyDescent="0.35">
      <c r="A171" s="227" t="s">
        <v>501</v>
      </c>
      <c r="B171" s="59">
        <v>46099</v>
      </c>
      <c r="C171" s="93"/>
      <c r="D171" s="93" t="s">
        <v>541</v>
      </c>
      <c r="E171" s="235">
        <v>7764025889</v>
      </c>
      <c r="F171" s="93" t="str">
        <f>'Membership Level'!A12</f>
        <v>Swimming Moth</v>
      </c>
      <c r="G171" s="93" t="s">
        <v>248</v>
      </c>
      <c r="H171" s="75">
        <v>4000</v>
      </c>
      <c r="I171" s="75">
        <v>4000</v>
      </c>
      <c r="J171" s="61">
        <f t="shared" si="2"/>
        <v>0</v>
      </c>
      <c r="K171" s="300">
        <v>46130</v>
      </c>
      <c r="L171" s="300">
        <f>DATE(YEAR(K171),MONTH(K171)+VLOOKUP($F171,'Membership Level'!$A$3:$B$15,2,FALSE),DAY(K171))</f>
        <v>46160</v>
      </c>
      <c r="M171" s="58">
        <v>3</v>
      </c>
    </row>
    <row r="172" spans="1:13" x14ac:dyDescent="0.35">
      <c r="A172" s="227" t="s">
        <v>502</v>
      </c>
      <c r="B172" s="59">
        <v>46099</v>
      </c>
      <c r="C172" s="93"/>
      <c r="D172" s="93" t="s">
        <v>542</v>
      </c>
      <c r="E172" s="226">
        <v>9905415111</v>
      </c>
      <c r="F172" s="93" t="str">
        <f>'Membership Level'!A12</f>
        <v>Swimming Moth</v>
      </c>
      <c r="G172" s="93" t="s">
        <v>308</v>
      </c>
      <c r="H172" s="75">
        <v>3800</v>
      </c>
      <c r="I172" s="75">
        <v>3800</v>
      </c>
      <c r="J172" s="61">
        <f t="shared" si="2"/>
        <v>0</v>
      </c>
      <c r="K172" s="9">
        <v>46099</v>
      </c>
      <c r="L172" s="59">
        <f>DATE(YEAR(K172),MONTH(K172)+VLOOKUP($F172,'Membership Level'!$A$3:$B$15,2,FALSE),DAY(K172))</f>
        <v>46130</v>
      </c>
      <c r="M172" s="58">
        <v>3</v>
      </c>
    </row>
    <row r="173" spans="1:13" s="261" customFormat="1" x14ac:dyDescent="0.35">
      <c r="A173" s="255" t="s">
        <v>503</v>
      </c>
      <c r="B173" s="268">
        <v>46099</v>
      </c>
      <c r="C173" s="260" t="s">
        <v>312</v>
      </c>
      <c r="D173" s="260" t="s">
        <v>346</v>
      </c>
      <c r="E173" s="257">
        <v>9007741219</v>
      </c>
      <c r="F173" s="260" t="str">
        <f>'Membership Level'!A13</f>
        <v>Swimming Qty</v>
      </c>
      <c r="G173" s="260" t="s">
        <v>543</v>
      </c>
      <c r="H173" s="266">
        <v>9500</v>
      </c>
      <c r="I173" s="266">
        <v>5000</v>
      </c>
      <c r="J173" s="267">
        <f t="shared" si="2"/>
        <v>4500</v>
      </c>
      <c r="K173" s="268">
        <v>46099</v>
      </c>
      <c r="L173" s="268">
        <f>DATE(YEAR(K173),MONTH(K173)+VLOOKUP($F173,'Membership Level'!$A$3:$B$15,2,FALSE),DAY(K173))</f>
        <v>46191</v>
      </c>
      <c r="M173" s="269">
        <v>3</v>
      </c>
    </row>
    <row r="174" spans="1:13" x14ac:dyDescent="0.35">
      <c r="A174" s="227" t="s">
        <v>504</v>
      </c>
      <c r="B174" s="59">
        <v>46099</v>
      </c>
      <c r="C174" s="93" t="s">
        <v>30</v>
      </c>
      <c r="D174" s="93" t="s">
        <v>544</v>
      </c>
      <c r="E174" s="226">
        <v>8448558100</v>
      </c>
      <c r="F174" s="93" t="str">
        <f>'Membership Level'!A12</f>
        <v>Swimming Moth</v>
      </c>
      <c r="G174" s="93" t="s">
        <v>257</v>
      </c>
      <c r="H174" s="75">
        <v>2800</v>
      </c>
      <c r="I174" s="75">
        <v>2800</v>
      </c>
      <c r="J174" s="61">
        <f t="shared" si="2"/>
        <v>0</v>
      </c>
      <c r="K174" s="9">
        <v>46099</v>
      </c>
      <c r="L174" s="59">
        <f>DATE(YEAR(K174),MONTH(K174)+VLOOKUP($F174,'Membership Level'!$A$3:$B$15,2,FALSE),DAY(K174))</f>
        <v>46130</v>
      </c>
      <c r="M174" s="58">
        <v>3</v>
      </c>
    </row>
    <row r="175" spans="1:13" x14ac:dyDescent="0.35">
      <c r="A175" s="227" t="s">
        <v>505</v>
      </c>
      <c r="B175" s="59">
        <v>46099</v>
      </c>
      <c r="C175" s="93" t="s">
        <v>272</v>
      </c>
      <c r="D175" s="93" t="s">
        <v>545</v>
      </c>
      <c r="E175" s="226">
        <v>7004680950</v>
      </c>
      <c r="F175" s="93" t="str">
        <f>'Membership Level'!A12</f>
        <v>Swimming Moth</v>
      </c>
      <c r="G175" s="93" t="s">
        <v>308</v>
      </c>
      <c r="H175" s="75">
        <v>3500</v>
      </c>
      <c r="I175" s="75">
        <v>3500</v>
      </c>
      <c r="J175" s="61">
        <f t="shared" si="2"/>
        <v>0</v>
      </c>
      <c r="K175" s="9">
        <v>46099</v>
      </c>
      <c r="L175" s="59">
        <f>DATE(YEAR(K175),MONTH(K175)+VLOOKUP($F175,'Membership Level'!$A$3:$B$15,2,FALSE),DAY(K175))</f>
        <v>46130</v>
      </c>
      <c r="M175" s="58">
        <v>3</v>
      </c>
    </row>
    <row r="176" spans="1:13" x14ac:dyDescent="0.35">
      <c r="A176" s="227" t="s">
        <v>506</v>
      </c>
      <c r="B176" s="59">
        <v>46099</v>
      </c>
      <c r="C176" s="93"/>
      <c r="D176" s="93" t="s">
        <v>546</v>
      </c>
      <c r="E176" s="226">
        <v>9801109276</v>
      </c>
      <c r="F176" s="93" t="str">
        <f>'Membership Level'!A12</f>
        <v>Swimming Moth</v>
      </c>
      <c r="G176" s="93" t="s">
        <v>308</v>
      </c>
      <c r="H176" s="75">
        <v>3800</v>
      </c>
      <c r="I176" s="75">
        <v>3800</v>
      </c>
      <c r="J176" s="61">
        <f t="shared" si="2"/>
        <v>0</v>
      </c>
      <c r="K176" s="9">
        <v>46099</v>
      </c>
      <c r="L176" s="59">
        <f>DATE(YEAR(K176),MONTH(K176)+VLOOKUP($F176,'Membership Level'!$A$3:$B$15,2,FALSE),DAY(K176))</f>
        <v>46130</v>
      </c>
      <c r="M176" s="58">
        <v>3</v>
      </c>
    </row>
    <row r="177" spans="1:13" x14ac:dyDescent="0.35">
      <c r="A177" s="227" t="s">
        <v>507</v>
      </c>
      <c r="B177" s="59">
        <v>46099</v>
      </c>
      <c r="C177" s="93"/>
      <c r="D177" s="93" t="s">
        <v>548</v>
      </c>
      <c r="E177" s="226">
        <v>9631949284</v>
      </c>
      <c r="F177" s="93" t="str">
        <f>'Membership Level'!A12</f>
        <v>Swimming Moth</v>
      </c>
      <c r="G177" s="93" t="s">
        <v>455</v>
      </c>
      <c r="H177" s="75">
        <v>2500</v>
      </c>
      <c r="I177" s="75">
        <v>2500</v>
      </c>
      <c r="J177" s="61">
        <f t="shared" si="2"/>
        <v>0</v>
      </c>
      <c r="K177" s="9">
        <v>46099</v>
      </c>
      <c r="L177" s="59">
        <f>DATE(YEAR(K177),MONTH(K177)+VLOOKUP($F177,'Membership Level'!$A$3:$B$15,2,FALSE),DAY(K177))</f>
        <v>46130</v>
      </c>
      <c r="M177" s="58">
        <v>3</v>
      </c>
    </row>
    <row r="178" spans="1:13" x14ac:dyDescent="0.35">
      <c r="A178" s="227" t="s">
        <v>508</v>
      </c>
      <c r="B178" s="59">
        <v>46099</v>
      </c>
      <c r="C178" s="93"/>
      <c r="D178" s="93" t="s">
        <v>547</v>
      </c>
      <c r="E178" s="226">
        <v>9631949284</v>
      </c>
      <c r="F178" s="93" t="str">
        <f>'Membership Level'!A12</f>
        <v>Swimming Moth</v>
      </c>
      <c r="G178" s="93" t="s">
        <v>455</v>
      </c>
      <c r="H178" s="75">
        <v>2500</v>
      </c>
      <c r="I178" s="75">
        <v>2500</v>
      </c>
      <c r="J178" s="61">
        <f t="shared" si="2"/>
        <v>0</v>
      </c>
      <c r="K178" s="9">
        <v>46099</v>
      </c>
      <c r="L178" s="59">
        <f>DATE(YEAR(K178),MONTH(K178)+VLOOKUP($F178,'Membership Level'!$A$3:$B$15,2,FALSE),DAY(K178))</f>
        <v>46130</v>
      </c>
      <c r="M178" s="58">
        <v>3</v>
      </c>
    </row>
    <row r="179" spans="1:13" x14ac:dyDescent="0.35">
      <c r="A179" s="227" t="s">
        <v>509</v>
      </c>
      <c r="B179" s="59">
        <v>46099</v>
      </c>
      <c r="C179" s="93" t="s">
        <v>550</v>
      </c>
      <c r="D179" s="93" t="s">
        <v>549</v>
      </c>
      <c r="E179" s="226">
        <v>7294133113</v>
      </c>
      <c r="F179" s="93" t="str">
        <f>'Membership Level'!A12</f>
        <v>Swimming Moth</v>
      </c>
      <c r="G179" s="93" t="s">
        <v>370</v>
      </c>
      <c r="H179" s="75">
        <v>3800</v>
      </c>
      <c r="I179" s="75">
        <v>3800</v>
      </c>
      <c r="J179" s="61">
        <f t="shared" si="2"/>
        <v>0</v>
      </c>
      <c r="K179" s="9">
        <v>46099</v>
      </c>
      <c r="L179" s="59">
        <f>DATE(YEAR(K179),MONTH(K179)+VLOOKUP($F179,'Membership Level'!$A$3:$B$15,2,FALSE),DAY(K179))</f>
        <v>46130</v>
      </c>
      <c r="M179" s="58">
        <v>3</v>
      </c>
    </row>
    <row r="180" spans="1:13" x14ac:dyDescent="0.35">
      <c r="A180" s="227" t="s">
        <v>510</v>
      </c>
      <c r="B180" s="59">
        <v>46099</v>
      </c>
      <c r="C180" s="93" t="s">
        <v>552</v>
      </c>
      <c r="D180" s="93" t="s">
        <v>551</v>
      </c>
      <c r="E180" s="226">
        <v>7294133113</v>
      </c>
      <c r="F180" s="93" t="str">
        <f>'Membership Level'!A12</f>
        <v>Swimming Moth</v>
      </c>
      <c r="G180" s="93" t="s">
        <v>308</v>
      </c>
      <c r="H180" s="75">
        <v>3800</v>
      </c>
      <c r="I180" s="75">
        <v>3800</v>
      </c>
      <c r="J180" s="61">
        <f t="shared" si="2"/>
        <v>0</v>
      </c>
      <c r="K180" s="9">
        <v>46099</v>
      </c>
      <c r="L180" s="59">
        <f>DATE(YEAR(K180),MONTH(K180)+VLOOKUP($F180,'Membership Level'!$A$3:$B$15,2,FALSE),DAY(K180))</f>
        <v>46130</v>
      </c>
      <c r="M180" s="58">
        <v>3</v>
      </c>
    </row>
    <row r="181" spans="1:13" x14ac:dyDescent="0.35">
      <c r="A181" s="227" t="s">
        <v>511</v>
      </c>
      <c r="B181" s="59">
        <v>46099</v>
      </c>
      <c r="C181" s="93" t="s">
        <v>554</v>
      </c>
      <c r="D181" s="93" t="s">
        <v>553</v>
      </c>
      <c r="E181" s="226">
        <v>8102220701</v>
      </c>
      <c r="F181" s="93" t="str">
        <f>'Membership Level'!A12</f>
        <v>Swimming Moth</v>
      </c>
      <c r="G181" s="93" t="s">
        <v>370</v>
      </c>
      <c r="H181" s="75">
        <v>3500</v>
      </c>
      <c r="I181" s="75">
        <v>3500</v>
      </c>
      <c r="J181" s="61">
        <f t="shared" si="2"/>
        <v>0</v>
      </c>
      <c r="K181" s="9">
        <v>46099</v>
      </c>
      <c r="L181" s="59">
        <f>DATE(YEAR(K181),MONTH(K181)+VLOOKUP($F181,'Membership Level'!$A$3:$B$15,2,FALSE),DAY(K181))</f>
        <v>46130</v>
      </c>
      <c r="M181" s="58">
        <v>3</v>
      </c>
    </row>
    <row r="182" spans="1:13" s="261" customFormat="1" x14ac:dyDescent="0.35">
      <c r="A182" s="255" t="s">
        <v>512</v>
      </c>
      <c r="B182" s="268">
        <v>46099</v>
      </c>
      <c r="C182" s="260" t="s">
        <v>556</v>
      </c>
      <c r="D182" s="260" t="s">
        <v>555</v>
      </c>
      <c r="E182" s="257">
        <v>9934715527</v>
      </c>
      <c r="F182" s="260" t="str">
        <f>'Membership Level'!A13</f>
        <v>Swimming Qty</v>
      </c>
      <c r="G182" s="260" t="s">
        <v>557</v>
      </c>
      <c r="H182" s="266">
        <v>7500</v>
      </c>
      <c r="I182" s="266">
        <v>7500</v>
      </c>
      <c r="J182" s="267">
        <f t="shared" si="2"/>
        <v>0</v>
      </c>
      <c r="K182" s="300">
        <v>46099</v>
      </c>
      <c r="L182" s="300">
        <f>DATE(YEAR(K182),MONTH(K182)+VLOOKUP($F182,'Membership Level'!$A$3:$B$15,2,FALSE),DAY(K182))</f>
        <v>46191</v>
      </c>
      <c r="M182" s="269">
        <v>3</v>
      </c>
    </row>
    <row r="183" spans="1:13" s="261" customFormat="1" x14ac:dyDescent="0.35">
      <c r="A183" s="255" t="s">
        <v>513</v>
      </c>
      <c r="B183" s="268">
        <v>46100</v>
      </c>
      <c r="C183" s="260" t="s">
        <v>559</v>
      </c>
      <c r="D183" s="260" t="s">
        <v>558</v>
      </c>
      <c r="E183" s="257">
        <v>8084018777</v>
      </c>
      <c r="F183" s="260" t="str">
        <f>'Membership Level'!A14</f>
        <v>Swimming HY</v>
      </c>
      <c r="G183" s="260" t="s">
        <v>237</v>
      </c>
      <c r="H183" s="266">
        <v>16000</v>
      </c>
      <c r="I183" s="266">
        <v>16000</v>
      </c>
      <c r="J183" s="267">
        <f t="shared" si="2"/>
        <v>0</v>
      </c>
      <c r="K183" s="300">
        <v>46100</v>
      </c>
      <c r="L183" s="300">
        <f>DATE(YEAR(K183),MONTH(K183)+VLOOKUP($F183,'Membership Level'!$A$3:$B$15,2,FALSE),DAY(K183))</f>
        <v>46284</v>
      </c>
      <c r="M183" s="269">
        <v>3</v>
      </c>
    </row>
    <row r="184" spans="1:13" x14ac:dyDescent="0.35">
      <c r="A184" s="227" t="s">
        <v>514</v>
      </c>
      <c r="B184" s="59">
        <v>46100</v>
      </c>
      <c r="C184" s="93" t="s">
        <v>272</v>
      </c>
      <c r="D184" s="93" t="s">
        <v>560</v>
      </c>
      <c r="E184" s="226">
        <v>7903206658</v>
      </c>
      <c r="F184" s="93" t="str">
        <f>'Membership Level'!A12</f>
        <v>Swimming Moth</v>
      </c>
      <c r="G184" s="93" t="s">
        <v>561</v>
      </c>
      <c r="H184" s="75">
        <v>3000</v>
      </c>
      <c r="I184" s="75">
        <v>3000</v>
      </c>
      <c r="J184" s="61">
        <f t="shared" si="2"/>
        <v>0</v>
      </c>
      <c r="K184" s="9">
        <v>46100</v>
      </c>
      <c r="L184" s="59">
        <f>DATE(YEAR(K184),MONTH(K184)+VLOOKUP($F184,'Membership Level'!$A$3:$B$15,2,FALSE),DAY(K184))</f>
        <v>46131</v>
      </c>
      <c r="M184" s="58">
        <v>3</v>
      </c>
    </row>
    <row r="185" spans="1:13" s="295" customFormat="1" x14ac:dyDescent="0.35">
      <c r="A185" s="289" t="s">
        <v>515</v>
      </c>
      <c r="B185" s="290">
        <v>46100</v>
      </c>
      <c r="C185" s="288" t="s">
        <v>222</v>
      </c>
      <c r="D185" s="296" t="s">
        <v>562</v>
      </c>
      <c r="E185" s="291">
        <v>9643109049</v>
      </c>
      <c r="F185" s="288" t="str">
        <f>'Membership Level'!A13</f>
        <v>Swimming Qty</v>
      </c>
      <c r="G185" s="288" t="s">
        <v>575</v>
      </c>
      <c r="H185" s="292">
        <v>7500</v>
      </c>
      <c r="I185" s="292">
        <v>7500</v>
      </c>
      <c r="J185" s="293">
        <f t="shared" si="2"/>
        <v>0</v>
      </c>
      <c r="K185" s="300">
        <v>46100</v>
      </c>
      <c r="L185" s="300">
        <f>DATE(YEAR(K185),MONTH(K185)+VLOOKUP($F185,'Membership Level'!$A$3:$B$15,2,FALSE),DAY(K185))</f>
        <v>46192</v>
      </c>
      <c r="M185" s="294">
        <v>3</v>
      </c>
    </row>
    <row r="186" spans="1:13" x14ac:dyDescent="0.35">
      <c r="A186" s="227" t="s">
        <v>516</v>
      </c>
      <c r="B186" s="59">
        <v>46100</v>
      </c>
      <c r="C186" s="93" t="s">
        <v>565</v>
      </c>
      <c r="D186" s="93" t="s">
        <v>564</v>
      </c>
      <c r="E186" s="226">
        <v>9431097796</v>
      </c>
      <c r="F186" s="93" t="str">
        <f>'Membership Level'!A12</f>
        <v>Swimming Moth</v>
      </c>
      <c r="G186" s="93" t="s">
        <v>563</v>
      </c>
      <c r="H186" s="75">
        <v>2800</v>
      </c>
      <c r="I186" s="75">
        <v>2800</v>
      </c>
      <c r="J186" s="61">
        <f t="shared" si="2"/>
        <v>0</v>
      </c>
      <c r="K186" s="9">
        <v>46100</v>
      </c>
      <c r="L186" s="59">
        <f>DATE(YEAR(K186),MONTH(K186)+VLOOKUP($F186,'Membership Level'!$A$3:$B$15,2,FALSE),DAY(K186))</f>
        <v>46131</v>
      </c>
      <c r="M186" s="58">
        <v>3</v>
      </c>
    </row>
    <row r="187" spans="1:13" x14ac:dyDescent="0.35">
      <c r="A187" s="227" t="s">
        <v>517</v>
      </c>
      <c r="B187" s="59">
        <v>46100</v>
      </c>
      <c r="C187" s="93" t="s">
        <v>565</v>
      </c>
      <c r="D187" s="93" t="s">
        <v>566</v>
      </c>
      <c r="E187" s="226">
        <v>9431097796</v>
      </c>
      <c r="F187" s="93" t="str">
        <f>'Membership Level'!A12</f>
        <v>Swimming Moth</v>
      </c>
      <c r="G187" s="93" t="s">
        <v>563</v>
      </c>
      <c r="H187" s="75">
        <v>2800</v>
      </c>
      <c r="I187" s="75">
        <v>2800</v>
      </c>
      <c r="J187" s="61">
        <f t="shared" si="2"/>
        <v>0</v>
      </c>
      <c r="K187" s="9">
        <v>46100</v>
      </c>
      <c r="L187" s="59">
        <f>DATE(YEAR(K187),MONTH(K187)+VLOOKUP($F187,'Membership Level'!$A$3:$B$15,2,FALSE),DAY(K187))</f>
        <v>46131</v>
      </c>
      <c r="M187" s="58">
        <v>3</v>
      </c>
    </row>
    <row r="188" spans="1:13" x14ac:dyDescent="0.35">
      <c r="A188" s="227" t="s">
        <v>518</v>
      </c>
      <c r="B188" s="59">
        <v>46100</v>
      </c>
      <c r="C188" s="93"/>
      <c r="D188" s="93" t="s">
        <v>567</v>
      </c>
      <c r="E188" s="226">
        <v>7739054011</v>
      </c>
      <c r="F188" s="93" t="str">
        <f>'Membership Level'!A12</f>
        <v>Swimming Moth</v>
      </c>
      <c r="G188" s="93" t="s">
        <v>248</v>
      </c>
      <c r="H188" s="75">
        <v>3300</v>
      </c>
      <c r="I188" s="75">
        <v>3300</v>
      </c>
      <c r="J188" s="61">
        <f t="shared" si="2"/>
        <v>0</v>
      </c>
      <c r="K188" s="300">
        <v>46131</v>
      </c>
      <c r="L188" s="300">
        <f>DATE(YEAR(K188),MONTH(K188)+VLOOKUP($F188,'Membership Level'!$A$3:$B$15,2,FALSE),DAY(K188))</f>
        <v>46161</v>
      </c>
      <c r="M188" s="58">
        <v>3</v>
      </c>
    </row>
    <row r="189" spans="1:13" x14ac:dyDescent="0.35">
      <c r="A189" s="227" t="s">
        <v>519</v>
      </c>
      <c r="B189" s="59">
        <v>46100</v>
      </c>
      <c r="C189" s="93" t="s">
        <v>249</v>
      </c>
      <c r="D189" s="93" t="s">
        <v>568</v>
      </c>
      <c r="E189" s="226">
        <v>8987377768</v>
      </c>
      <c r="F189" s="93" t="str">
        <f>'Membership Level'!A12</f>
        <v>Swimming Moth</v>
      </c>
      <c r="G189" s="93" t="s">
        <v>325</v>
      </c>
      <c r="H189" s="75">
        <v>3500</v>
      </c>
      <c r="I189" s="75">
        <v>3500</v>
      </c>
      <c r="J189" s="61">
        <f t="shared" si="2"/>
        <v>0</v>
      </c>
      <c r="K189" s="300">
        <v>46131</v>
      </c>
      <c r="L189" s="300">
        <f>DATE(YEAR(K189),MONTH(K189)+VLOOKUP($F189,'Membership Level'!$A$3:$B$15,2,FALSE),DAY(K189))</f>
        <v>46161</v>
      </c>
      <c r="M189" s="58">
        <v>3</v>
      </c>
    </row>
    <row r="190" spans="1:13" x14ac:dyDescent="0.35">
      <c r="A190" s="227" t="s">
        <v>520</v>
      </c>
      <c r="B190" s="59">
        <v>46100</v>
      </c>
      <c r="C190" s="93" t="s">
        <v>249</v>
      </c>
      <c r="D190" s="93" t="s">
        <v>569</v>
      </c>
      <c r="E190" s="226">
        <v>8987377768</v>
      </c>
      <c r="F190" s="93" t="str">
        <f>'Membership Level'!A12</f>
        <v>Swimming Moth</v>
      </c>
      <c r="G190" s="93" t="s">
        <v>308</v>
      </c>
      <c r="H190" s="75">
        <v>3500</v>
      </c>
      <c r="I190" s="75">
        <v>3500</v>
      </c>
      <c r="J190" s="61">
        <f t="shared" si="2"/>
        <v>0</v>
      </c>
      <c r="K190" s="300">
        <v>46131</v>
      </c>
      <c r="L190" s="300">
        <f>DATE(YEAR(K190),MONTH(K190)+VLOOKUP($F190,'Membership Level'!$A$3:$B$15,2,FALSE),DAY(K190))</f>
        <v>46161</v>
      </c>
      <c r="M190" s="58">
        <v>3</v>
      </c>
    </row>
    <row r="191" spans="1:13" x14ac:dyDescent="0.35">
      <c r="A191" s="227" t="s">
        <v>521</v>
      </c>
      <c r="B191" s="59">
        <v>46100</v>
      </c>
      <c r="C191" s="93" t="s">
        <v>249</v>
      </c>
      <c r="D191" s="93" t="s">
        <v>570</v>
      </c>
      <c r="E191" s="226">
        <v>8987377768</v>
      </c>
      <c r="F191" s="93" t="str">
        <f>'Membership Level'!A12</f>
        <v>Swimming Moth</v>
      </c>
      <c r="G191" s="93" t="s">
        <v>248</v>
      </c>
      <c r="H191" s="75">
        <v>4000</v>
      </c>
      <c r="I191" s="75">
        <v>4000</v>
      </c>
      <c r="J191" s="61">
        <f t="shared" si="2"/>
        <v>0</v>
      </c>
      <c r="K191" s="300">
        <v>46131</v>
      </c>
      <c r="L191" s="300">
        <f>DATE(YEAR(K191),MONTH(K191)+VLOOKUP($F191,'Membership Level'!$A$3:$B$15,2,FALSE),DAY(K191))</f>
        <v>46161</v>
      </c>
      <c r="M191" s="58">
        <v>3</v>
      </c>
    </row>
    <row r="192" spans="1:13" x14ac:dyDescent="0.35">
      <c r="A192" s="227" t="s">
        <v>522</v>
      </c>
      <c r="B192" s="59">
        <v>46100</v>
      </c>
      <c r="C192" s="93" t="s">
        <v>572</v>
      </c>
      <c r="D192" s="93" t="s">
        <v>571</v>
      </c>
      <c r="E192" s="226">
        <v>9835289559</v>
      </c>
      <c r="F192" s="93" t="str">
        <f>'Membership Level'!A12</f>
        <v>Swimming Moth</v>
      </c>
      <c r="G192" s="7" t="s">
        <v>308</v>
      </c>
      <c r="H192" s="75">
        <v>3300</v>
      </c>
      <c r="I192" s="75">
        <v>3300</v>
      </c>
      <c r="J192" s="61">
        <f t="shared" si="2"/>
        <v>0</v>
      </c>
      <c r="K192" s="9">
        <v>46100</v>
      </c>
      <c r="L192" s="59">
        <f>DATE(YEAR(K192),MONTH(K192)+VLOOKUP($F192,'Membership Level'!$A$3:$B$15,2,FALSE),DAY(K192))</f>
        <v>46131</v>
      </c>
      <c r="M192" s="58">
        <v>3</v>
      </c>
    </row>
    <row r="193" spans="1:13" s="11" customFormat="1" x14ac:dyDescent="0.35">
      <c r="A193" s="227" t="s">
        <v>523</v>
      </c>
      <c r="B193" s="59">
        <v>46100</v>
      </c>
      <c r="C193" s="241" t="s">
        <v>333</v>
      </c>
      <c r="D193" s="241" t="s">
        <v>573</v>
      </c>
      <c r="E193" s="235">
        <v>8825270316</v>
      </c>
      <c r="F193" s="241" t="str">
        <f>'Membership Level'!A12</f>
        <v>Swimming Moth</v>
      </c>
      <c r="G193" s="241" t="s">
        <v>308</v>
      </c>
      <c r="H193" s="78">
        <v>3500</v>
      </c>
      <c r="I193" s="78">
        <v>3500</v>
      </c>
      <c r="J193" s="61">
        <f t="shared" si="2"/>
        <v>0</v>
      </c>
      <c r="K193" s="59">
        <v>46100</v>
      </c>
      <c r="L193" s="59">
        <f>DATE(YEAR(K193),MONTH(K193)+VLOOKUP($F193,'Membership Level'!$A$3:$B$15,2,FALSE),DAY(K193))</f>
        <v>46131</v>
      </c>
      <c r="M193" s="58">
        <v>3</v>
      </c>
    </row>
    <row r="194" spans="1:13" x14ac:dyDescent="0.35">
      <c r="A194" s="227" t="s">
        <v>524</v>
      </c>
      <c r="B194" s="59">
        <v>46100</v>
      </c>
      <c r="C194" s="93"/>
      <c r="D194" s="93" t="s">
        <v>574</v>
      </c>
      <c r="E194" s="226">
        <v>6201794615</v>
      </c>
      <c r="F194" s="93" t="str">
        <f>'Membership Level'!A12</f>
        <v>Swimming Moth</v>
      </c>
      <c r="G194" s="93" t="s">
        <v>308</v>
      </c>
      <c r="H194" s="75">
        <v>3500</v>
      </c>
      <c r="I194" s="75">
        <v>2000</v>
      </c>
      <c r="J194" s="61">
        <f t="shared" si="2"/>
        <v>1500</v>
      </c>
      <c r="K194" s="9">
        <v>46100</v>
      </c>
      <c r="L194" s="59">
        <f>DATE(YEAR(K194),MONTH(K194)+VLOOKUP($F194,'Membership Level'!$A$3:$B$15,2,FALSE),DAY(K194))</f>
        <v>46131</v>
      </c>
      <c r="M194" s="58">
        <v>3</v>
      </c>
    </row>
    <row r="195" spans="1:13" x14ac:dyDescent="0.35">
      <c r="A195" s="227" t="s">
        <v>525</v>
      </c>
      <c r="B195" s="59">
        <v>46100</v>
      </c>
      <c r="C195" s="93" t="s">
        <v>577</v>
      </c>
      <c r="D195" s="93" t="s">
        <v>576</v>
      </c>
      <c r="E195" s="226">
        <v>9709342330</v>
      </c>
      <c r="F195" s="93" t="str">
        <f>'Membership Level'!A12</f>
        <v>Swimming Moth</v>
      </c>
      <c r="G195" s="93" t="s">
        <v>370</v>
      </c>
      <c r="H195" s="75">
        <v>3000</v>
      </c>
      <c r="I195" s="75">
        <v>3000</v>
      </c>
      <c r="J195" s="61">
        <f t="shared" si="2"/>
        <v>0</v>
      </c>
      <c r="K195" s="9">
        <v>46100</v>
      </c>
      <c r="L195" s="59">
        <f>DATE(YEAR(K195),MONTH(K195)+VLOOKUP($F195,'Membership Level'!$A$3:$B$15,2,FALSE),DAY(K195))</f>
        <v>46131</v>
      </c>
      <c r="M195" s="58">
        <v>3</v>
      </c>
    </row>
    <row r="196" spans="1:13" s="275" customFormat="1" x14ac:dyDescent="0.35">
      <c r="A196" s="271" t="s">
        <v>145</v>
      </c>
      <c r="B196" s="276">
        <v>46100</v>
      </c>
      <c r="C196" s="274" t="s">
        <v>202</v>
      </c>
      <c r="D196" s="277" t="s">
        <v>578</v>
      </c>
      <c r="E196" s="273">
        <v>9955255323</v>
      </c>
      <c r="F196" s="274" t="str">
        <f>'Membership Level'!A12</f>
        <v>Swimming Moth</v>
      </c>
      <c r="G196" s="274" t="s">
        <v>306</v>
      </c>
      <c r="H196" s="278">
        <v>2500</v>
      </c>
      <c r="I196" s="278">
        <v>2500</v>
      </c>
      <c r="J196" s="279">
        <f t="shared" si="2"/>
        <v>0</v>
      </c>
      <c r="K196" s="300">
        <v>46131</v>
      </c>
      <c r="L196" s="300">
        <f>DATE(YEAR(K196),MONTH(K196)+VLOOKUP($F196,'Membership Level'!$A$3:$B$15,2,FALSE),DAY(K196))</f>
        <v>46161</v>
      </c>
      <c r="M196" s="280">
        <v>3</v>
      </c>
    </row>
    <row r="197" spans="1:13" x14ac:dyDescent="0.35">
      <c r="A197" s="227" t="s">
        <v>526</v>
      </c>
      <c r="B197" s="59">
        <v>46101</v>
      </c>
      <c r="C197" s="93" t="s">
        <v>592</v>
      </c>
      <c r="D197" s="270" t="s">
        <v>591</v>
      </c>
      <c r="E197" s="226">
        <v>9905463332</v>
      </c>
      <c r="F197" s="93" t="str">
        <f>'Membership Level'!A12</f>
        <v>Swimming Moth</v>
      </c>
      <c r="G197" s="93" t="s">
        <v>297</v>
      </c>
      <c r="H197" s="75">
        <v>2800</v>
      </c>
      <c r="I197" s="75">
        <v>2800</v>
      </c>
      <c r="J197" s="61">
        <f t="shared" si="2"/>
        <v>0</v>
      </c>
      <c r="K197" s="9">
        <v>46101</v>
      </c>
      <c r="L197" s="59">
        <f>DATE(YEAR(K197),MONTH(K197)+VLOOKUP($F197,'Membership Level'!$A$3:$B$15,2,FALSE),DAY(K197))</f>
        <v>46132</v>
      </c>
      <c r="M197" s="58">
        <v>3</v>
      </c>
    </row>
    <row r="198" spans="1:13" x14ac:dyDescent="0.35">
      <c r="A198" s="227" t="s">
        <v>527</v>
      </c>
      <c r="B198" s="59">
        <v>46101</v>
      </c>
      <c r="C198" s="93" t="s">
        <v>254</v>
      </c>
      <c r="D198" s="93" t="s">
        <v>593</v>
      </c>
      <c r="E198" s="226">
        <v>7091090324</v>
      </c>
      <c r="F198" s="93" t="str">
        <f>'Membership Level'!A12</f>
        <v>Swimming Moth</v>
      </c>
      <c r="G198" s="93" t="s">
        <v>248</v>
      </c>
      <c r="H198" s="75">
        <v>4000</v>
      </c>
      <c r="I198" s="75">
        <v>4000</v>
      </c>
      <c r="J198" s="61">
        <f t="shared" si="2"/>
        <v>0</v>
      </c>
      <c r="K198" s="300">
        <v>46132</v>
      </c>
      <c r="L198" s="300">
        <f>DATE(YEAR(K198),MONTH(K198)+VLOOKUP($F198,'Membership Level'!$A$3:$B$15,2,FALSE),DAY(K198))</f>
        <v>46162</v>
      </c>
      <c r="M198" s="58">
        <v>3</v>
      </c>
    </row>
    <row r="199" spans="1:13" x14ac:dyDescent="0.35">
      <c r="A199" s="227" t="s">
        <v>528</v>
      </c>
      <c r="B199" s="59">
        <v>46101</v>
      </c>
      <c r="C199" s="93" t="s">
        <v>281</v>
      </c>
      <c r="D199" s="93" t="s">
        <v>594</v>
      </c>
      <c r="E199" s="226">
        <v>9902540753</v>
      </c>
      <c r="F199" s="93" t="str">
        <f>'Membership Level'!A12</f>
        <v>Swimming Moth</v>
      </c>
      <c r="G199" s="93" t="s">
        <v>463</v>
      </c>
      <c r="H199" s="75">
        <v>2000</v>
      </c>
      <c r="I199" s="75">
        <v>2000</v>
      </c>
      <c r="J199" s="61">
        <f t="shared" si="2"/>
        <v>0</v>
      </c>
      <c r="K199" s="9">
        <v>46101</v>
      </c>
      <c r="L199" s="59">
        <f>DATE(YEAR(K199),MONTH(K199)+VLOOKUP($F199,'Membership Level'!$A$3:$B$15,2,FALSE),DAY(K199))</f>
        <v>46132</v>
      </c>
      <c r="M199" s="58">
        <v>3</v>
      </c>
    </row>
    <row r="200" spans="1:13" x14ac:dyDescent="0.35">
      <c r="A200" s="227" t="s">
        <v>529</v>
      </c>
      <c r="B200" s="59">
        <v>46101</v>
      </c>
      <c r="C200" s="93" t="s">
        <v>30</v>
      </c>
      <c r="D200" s="270" t="s">
        <v>595</v>
      </c>
      <c r="E200" s="226">
        <v>9681160899</v>
      </c>
      <c r="F200" s="93" t="str">
        <f>'Membership Level'!A12</f>
        <v>Swimming Moth</v>
      </c>
      <c r="G200" s="93" t="s">
        <v>455</v>
      </c>
      <c r="H200" s="75">
        <v>2500</v>
      </c>
      <c r="I200" s="75">
        <v>2500</v>
      </c>
      <c r="J200" s="61">
        <f t="shared" si="2"/>
        <v>0</v>
      </c>
      <c r="K200" s="9">
        <v>46101</v>
      </c>
      <c r="L200" s="59">
        <f>DATE(YEAR(K200),MONTH(K200)+VLOOKUP($F200,'Membership Level'!$A$3:$B$15,2,FALSE),DAY(K200))</f>
        <v>46132</v>
      </c>
      <c r="M200" s="58">
        <v>3</v>
      </c>
    </row>
    <row r="201" spans="1:13" x14ac:dyDescent="0.35">
      <c r="A201" s="227" t="s">
        <v>530</v>
      </c>
      <c r="B201" s="59">
        <v>46101</v>
      </c>
      <c r="C201" s="93" t="s">
        <v>597</v>
      </c>
      <c r="D201" s="93" t="s">
        <v>596</v>
      </c>
      <c r="E201" s="226">
        <v>6202888165</v>
      </c>
      <c r="F201" s="93" t="str">
        <f>'Membership Level'!A12</f>
        <v>Swimming Moth</v>
      </c>
      <c r="G201" s="93" t="s">
        <v>308</v>
      </c>
      <c r="H201" s="75">
        <v>3500</v>
      </c>
      <c r="I201" s="75">
        <v>3500</v>
      </c>
      <c r="J201" s="61">
        <f t="shared" si="2"/>
        <v>0</v>
      </c>
      <c r="K201" s="300">
        <v>46132</v>
      </c>
      <c r="L201" s="300">
        <f>DATE(YEAR(K201),MONTH(K201)+VLOOKUP($F201,'Membership Level'!$A$3:$B$15,2,FALSE),DAY(K201))</f>
        <v>46162</v>
      </c>
      <c r="M201" s="58">
        <v>3</v>
      </c>
    </row>
    <row r="202" spans="1:13" x14ac:dyDescent="0.35">
      <c r="A202" s="227" t="s">
        <v>531</v>
      </c>
      <c r="B202" s="59">
        <v>46102</v>
      </c>
      <c r="C202" s="93" t="s">
        <v>332</v>
      </c>
      <c r="D202" s="93" t="s">
        <v>598</v>
      </c>
      <c r="E202" s="226">
        <v>8956734347</v>
      </c>
      <c r="F202" s="93" t="str">
        <f>'Membership Level'!A12</f>
        <v>Swimming Moth</v>
      </c>
      <c r="G202" s="93" t="s">
        <v>248</v>
      </c>
      <c r="H202" s="75">
        <v>4000</v>
      </c>
      <c r="I202" s="75">
        <v>4000</v>
      </c>
      <c r="J202" s="61">
        <f t="shared" ref="J202:J265" si="3">H202-I202</f>
        <v>0</v>
      </c>
      <c r="K202" s="9">
        <v>46102</v>
      </c>
      <c r="L202" s="59">
        <f>DATE(YEAR(K202),MONTH(K202)+VLOOKUP($F202,'Membership Level'!$A$3:$B$15,2,FALSE),DAY(K202))</f>
        <v>46133</v>
      </c>
      <c r="M202" s="58">
        <v>3</v>
      </c>
    </row>
    <row r="203" spans="1:13" s="10" customFormat="1" x14ac:dyDescent="0.35">
      <c r="A203" s="281" t="s">
        <v>532</v>
      </c>
      <c r="B203" s="100">
        <v>46102</v>
      </c>
      <c r="C203" s="248" t="s">
        <v>461</v>
      </c>
      <c r="D203" s="248" t="s">
        <v>599</v>
      </c>
      <c r="E203" s="283">
        <v>7895312190</v>
      </c>
      <c r="F203" s="248" t="str">
        <f>'Membership Level'!A14</f>
        <v>Swimming HY</v>
      </c>
      <c r="G203" s="248" t="s">
        <v>237</v>
      </c>
      <c r="H203" s="98">
        <v>18000</v>
      </c>
      <c r="I203" s="98">
        <v>10000</v>
      </c>
      <c r="J203" s="99">
        <f t="shared" si="3"/>
        <v>8000</v>
      </c>
      <c r="K203" s="100">
        <v>46102</v>
      </c>
      <c r="L203" s="100">
        <f>DATE(YEAR(K203),MONTH(K203)+VLOOKUP($F203,'Membership Level'!$A$3:$B$15,2,FALSE),DAY(K203))</f>
        <v>46286</v>
      </c>
      <c r="M203" s="79">
        <v>3</v>
      </c>
    </row>
    <row r="204" spans="1:13" x14ac:dyDescent="0.35">
      <c r="A204" s="227" t="s">
        <v>533</v>
      </c>
      <c r="B204" s="59">
        <v>46102</v>
      </c>
      <c r="C204" s="93" t="s">
        <v>467</v>
      </c>
      <c r="D204" s="93" t="s">
        <v>600</v>
      </c>
      <c r="E204" s="226">
        <v>9162570411</v>
      </c>
      <c r="F204" s="93" t="str">
        <f>'Membership Level'!A12</f>
        <v>Swimming Moth</v>
      </c>
      <c r="G204" s="93" t="s">
        <v>306</v>
      </c>
      <c r="H204" s="75">
        <v>2500</v>
      </c>
      <c r="I204" s="75">
        <v>2500</v>
      </c>
      <c r="J204" s="61">
        <f t="shared" si="3"/>
        <v>0</v>
      </c>
      <c r="K204" s="9">
        <v>46102</v>
      </c>
      <c r="L204" s="59">
        <f>DATE(YEAR(K204),MONTH(K204)+VLOOKUP($F204,'Membership Level'!$A$3:$B$15,2,FALSE),DAY(K204))</f>
        <v>46133</v>
      </c>
      <c r="M204" s="58">
        <v>3</v>
      </c>
    </row>
    <row r="205" spans="1:13" x14ac:dyDescent="0.35">
      <c r="A205" s="227" t="s">
        <v>534</v>
      </c>
      <c r="B205" s="59">
        <v>46102</v>
      </c>
      <c r="C205" s="93" t="s">
        <v>233</v>
      </c>
      <c r="D205" s="93" t="s">
        <v>602</v>
      </c>
      <c r="E205" s="226">
        <v>9570645670</v>
      </c>
      <c r="F205" s="93" t="str">
        <f>'Membership Level'!A12</f>
        <v>Swimming Moth</v>
      </c>
      <c r="G205" s="93" t="s">
        <v>248</v>
      </c>
      <c r="H205" s="75">
        <v>2800</v>
      </c>
      <c r="I205" s="75">
        <v>2800</v>
      </c>
      <c r="J205" s="61">
        <f t="shared" si="3"/>
        <v>0</v>
      </c>
      <c r="K205" s="9">
        <v>46102</v>
      </c>
      <c r="L205" s="59">
        <f>DATE(YEAR(K205),MONTH(K205)+VLOOKUP($F205,'Membership Level'!$A$3:$B$15,2,FALSE),DAY(K205))</f>
        <v>46133</v>
      </c>
      <c r="M205" s="58">
        <v>3</v>
      </c>
    </row>
    <row r="206" spans="1:13" s="261" customFormat="1" x14ac:dyDescent="0.35">
      <c r="A206" s="255" t="s">
        <v>535</v>
      </c>
      <c r="B206" s="268">
        <v>46102</v>
      </c>
      <c r="C206" s="260" t="s">
        <v>222</v>
      </c>
      <c r="D206" s="260" t="s">
        <v>373</v>
      </c>
      <c r="E206" s="257">
        <v>9650573612</v>
      </c>
      <c r="F206" s="260" t="str">
        <f>'Membership Level'!A13</f>
        <v>Swimming Qty</v>
      </c>
      <c r="G206" s="260" t="s">
        <v>864</v>
      </c>
      <c r="H206" s="266">
        <v>5500</v>
      </c>
      <c r="I206" s="266">
        <v>5500</v>
      </c>
      <c r="J206" s="267">
        <f t="shared" si="3"/>
        <v>0</v>
      </c>
      <c r="K206" s="268">
        <v>46102</v>
      </c>
      <c r="L206" s="268">
        <f>DATE(YEAR(K206),MONTH(K206)+VLOOKUP($F206,'Membership Level'!$A$3:$B$15,2,FALSE),DAY(K206))</f>
        <v>46194</v>
      </c>
      <c r="M206" s="269">
        <v>3</v>
      </c>
    </row>
    <row r="207" spans="1:13" x14ac:dyDescent="0.35">
      <c r="A207" s="227" t="s">
        <v>536</v>
      </c>
      <c r="B207" s="59">
        <v>46103</v>
      </c>
      <c r="C207" s="93" t="s">
        <v>202</v>
      </c>
      <c r="D207" s="93" t="s">
        <v>604</v>
      </c>
      <c r="E207" s="226">
        <v>8789664949</v>
      </c>
      <c r="F207" s="93" t="str">
        <f>'Membership Level'!A12</f>
        <v>Swimming Moth</v>
      </c>
      <c r="G207" s="93" t="s">
        <v>248</v>
      </c>
      <c r="H207" s="75">
        <v>4400</v>
      </c>
      <c r="I207" s="75">
        <v>4400</v>
      </c>
      <c r="J207" s="61">
        <f t="shared" si="3"/>
        <v>0</v>
      </c>
      <c r="K207" s="300">
        <v>46134</v>
      </c>
      <c r="L207" s="300">
        <v>46225</v>
      </c>
      <c r="M207" s="58">
        <v>3</v>
      </c>
    </row>
    <row r="208" spans="1:13" x14ac:dyDescent="0.35">
      <c r="A208" s="227" t="s">
        <v>537</v>
      </c>
      <c r="B208" s="59">
        <v>46103</v>
      </c>
      <c r="C208" s="93" t="s">
        <v>465</v>
      </c>
      <c r="D208" s="93" t="s">
        <v>605</v>
      </c>
      <c r="E208" s="226">
        <v>9693637987</v>
      </c>
      <c r="F208" s="93" t="str">
        <f>'Membership Level'!A12</f>
        <v>Swimming Moth</v>
      </c>
      <c r="G208" s="93" t="s">
        <v>297</v>
      </c>
      <c r="H208" s="75">
        <v>2000</v>
      </c>
      <c r="I208" s="75">
        <v>2000</v>
      </c>
      <c r="J208" s="61">
        <f t="shared" si="3"/>
        <v>0</v>
      </c>
      <c r="K208" s="300">
        <v>46134</v>
      </c>
      <c r="L208" s="300">
        <f>DATE(YEAR(K208),MONTH(K208)+VLOOKUP($F208,'Membership Level'!$A$3:$B$15,2,FALSE),DAY(K208))</f>
        <v>46164</v>
      </c>
      <c r="M208" s="58">
        <v>3</v>
      </c>
    </row>
    <row r="209" spans="1:13" x14ac:dyDescent="0.35">
      <c r="A209" s="227" t="s">
        <v>538</v>
      </c>
      <c r="B209" s="59">
        <v>46103</v>
      </c>
      <c r="C209" s="93" t="s">
        <v>550</v>
      </c>
      <c r="D209" s="93" t="s">
        <v>606</v>
      </c>
      <c r="E209" s="226">
        <v>9334097834</v>
      </c>
      <c r="F209" s="93" t="str">
        <f>'Membership Level'!A12</f>
        <v>Swimming Moth</v>
      </c>
      <c r="G209" s="93" t="s">
        <v>248</v>
      </c>
      <c r="H209" s="75">
        <v>3500</v>
      </c>
      <c r="I209" s="75">
        <v>3500</v>
      </c>
      <c r="J209" s="61">
        <f t="shared" si="3"/>
        <v>0</v>
      </c>
      <c r="K209" s="300">
        <v>46134</v>
      </c>
      <c r="L209" s="300">
        <f>DATE(YEAR(K209),MONTH(K209)+VLOOKUP($F209,'Membership Level'!$A$3:$B$15,2,FALSE),DAY(K209))</f>
        <v>46164</v>
      </c>
      <c r="M209" s="58">
        <v>3</v>
      </c>
    </row>
    <row r="210" spans="1:13" x14ac:dyDescent="0.35">
      <c r="A210" s="227" t="s">
        <v>539</v>
      </c>
      <c r="B210" s="59">
        <v>46103</v>
      </c>
      <c r="C210" s="93" t="s">
        <v>608</v>
      </c>
      <c r="D210" s="93" t="s">
        <v>607</v>
      </c>
      <c r="E210" s="226">
        <v>9631249477</v>
      </c>
      <c r="F210" s="93" t="str">
        <f>'Membership Level'!A12</f>
        <v>Swimming Moth</v>
      </c>
      <c r="G210" s="93" t="s">
        <v>308</v>
      </c>
      <c r="H210" s="75">
        <v>3800</v>
      </c>
      <c r="I210" s="75">
        <v>3800</v>
      </c>
      <c r="J210" s="61">
        <f t="shared" si="3"/>
        <v>0</v>
      </c>
      <c r="K210" s="300">
        <v>46134</v>
      </c>
      <c r="L210" s="300">
        <f>DATE(YEAR(K210),MONTH(K210)+VLOOKUP($F210,'Membership Level'!$A$3:$B$15,2,FALSE),DAY(K210))</f>
        <v>46164</v>
      </c>
      <c r="M210" s="58">
        <v>3</v>
      </c>
    </row>
    <row r="211" spans="1:13" x14ac:dyDescent="0.35">
      <c r="A211" s="227" t="s">
        <v>579</v>
      </c>
      <c r="B211" s="59">
        <v>46103</v>
      </c>
      <c r="C211" s="93" t="s">
        <v>608</v>
      </c>
      <c r="D211" s="93" t="s">
        <v>249</v>
      </c>
      <c r="E211" s="226">
        <v>9631249477</v>
      </c>
      <c r="F211" s="93" t="str">
        <f>'Membership Level'!A12</f>
        <v>Swimming Moth</v>
      </c>
      <c r="G211" s="93" t="s">
        <v>308</v>
      </c>
      <c r="H211" s="75">
        <v>3800</v>
      </c>
      <c r="I211" s="75">
        <v>3800</v>
      </c>
      <c r="J211" s="61">
        <f t="shared" si="3"/>
        <v>0</v>
      </c>
      <c r="K211" s="300">
        <v>46134</v>
      </c>
      <c r="L211" s="300">
        <f>DATE(YEAR(K211),MONTH(K211)+VLOOKUP($F211,'Membership Level'!$A$3:$B$15,2,FALSE),DAY(K211))</f>
        <v>46164</v>
      </c>
      <c r="M211" s="58">
        <v>3</v>
      </c>
    </row>
    <row r="212" spans="1:13" x14ac:dyDescent="0.35">
      <c r="A212" s="227" t="s">
        <v>580</v>
      </c>
      <c r="B212" s="59">
        <v>46103</v>
      </c>
      <c r="C212" s="93" t="s">
        <v>362</v>
      </c>
      <c r="D212" s="244" t="s">
        <v>599</v>
      </c>
      <c r="E212" s="226">
        <v>9939543349</v>
      </c>
      <c r="F212" s="93" t="str">
        <f>'Membership Level'!A12</f>
        <v>Swimming Moth</v>
      </c>
      <c r="G212" s="93" t="s">
        <v>297</v>
      </c>
      <c r="H212" s="75">
        <v>3300</v>
      </c>
      <c r="I212" s="75">
        <v>3300</v>
      </c>
      <c r="J212" s="61">
        <f t="shared" si="3"/>
        <v>0</v>
      </c>
      <c r="K212" s="300">
        <v>46135</v>
      </c>
      <c r="L212" s="300">
        <f>DATE(YEAR(K212),MONTH(K212)+VLOOKUP($F212,'Membership Level'!$A$3:$B$15,2,FALSE),DAY(K212))</f>
        <v>46165</v>
      </c>
      <c r="M212" s="58">
        <v>3</v>
      </c>
    </row>
    <row r="213" spans="1:13" x14ac:dyDescent="0.35">
      <c r="A213" s="227" t="s">
        <v>581</v>
      </c>
      <c r="B213" s="59">
        <v>46103</v>
      </c>
      <c r="C213" s="93" t="s">
        <v>610</v>
      </c>
      <c r="D213" s="93" t="s">
        <v>609</v>
      </c>
      <c r="E213" s="226">
        <v>9905328362</v>
      </c>
      <c r="F213" s="93" t="str">
        <f>'Membership Level'!A12</f>
        <v>Swimming Moth</v>
      </c>
      <c r="G213" s="93" t="s">
        <v>248</v>
      </c>
      <c r="H213" s="75">
        <v>3000</v>
      </c>
      <c r="I213" s="75">
        <v>3000</v>
      </c>
      <c r="J213" s="61">
        <f t="shared" si="3"/>
        <v>0</v>
      </c>
      <c r="K213" s="9">
        <v>46103</v>
      </c>
      <c r="L213" s="59">
        <f>DATE(YEAR(K213),MONTH(K213)+VLOOKUP($F213,'Membership Level'!$A$3:$B$15,2,FALSE),DAY(K213))</f>
        <v>46134</v>
      </c>
      <c r="M213" s="58">
        <v>3</v>
      </c>
    </row>
    <row r="214" spans="1:13" s="295" customFormat="1" x14ac:dyDescent="0.35">
      <c r="A214" s="289" t="s">
        <v>582</v>
      </c>
      <c r="B214" s="290">
        <v>46105</v>
      </c>
      <c r="C214" s="288" t="s">
        <v>611</v>
      </c>
      <c r="D214" s="288" t="s">
        <v>612</v>
      </c>
      <c r="E214" s="291">
        <v>9110958913</v>
      </c>
      <c r="F214" s="288" t="str">
        <f>'Membership Level'!A13</f>
        <v>Swimming Qty</v>
      </c>
      <c r="G214" s="288" t="s">
        <v>543</v>
      </c>
      <c r="H214" s="292">
        <v>9000</v>
      </c>
      <c r="I214" s="292">
        <v>9000</v>
      </c>
      <c r="J214" s="293">
        <f t="shared" si="3"/>
        <v>0</v>
      </c>
      <c r="K214" s="290">
        <v>46105</v>
      </c>
      <c r="L214" s="290">
        <f>DATE(YEAR(K214),MONTH(K214)+VLOOKUP($F214,'Membership Level'!$A$3:$B$15,2,FALSE),DAY(K214))</f>
        <v>46197</v>
      </c>
      <c r="M214" s="294">
        <v>3</v>
      </c>
    </row>
    <row r="215" spans="1:13" s="295" customFormat="1" x14ac:dyDescent="0.35">
      <c r="A215" s="289" t="s">
        <v>583</v>
      </c>
      <c r="B215" s="290">
        <v>46105</v>
      </c>
      <c r="C215" s="288" t="s">
        <v>32</v>
      </c>
      <c r="D215" s="288" t="s">
        <v>613</v>
      </c>
      <c r="E215" s="291">
        <v>8318084809</v>
      </c>
      <c r="F215" s="288" t="str">
        <f>'Membership Level'!A13</f>
        <v>Swimming Qty</v>
      </c>
      <c r="G215" s="288" t="s">
        <v>543</v>
      </c>
      <c r="H215" s="292">
        <v>9000</v>
      </c>
      <c r="I215" s="292">
        <v>9000</v>
      </c>
      <c r="J215" s="293">
        <f t="shared" si="3"/>
        <v>0</v>
      </c>
      <c r="K215" s="290">
        <v>46105</v>
      </c>
      <c r="L215" s="290">
        <f>DATE(YEAR(K215),MONTH(K215)+VLOOKUP($F215,'Membership Level'!$A$3:$B$15,2,FALSE),DAY(K215))</f>
        <v>46197</v>
      </c>
      <c r="M215" s="294">
        <v>3</v>
      </c>
    </row>
    <row r="216" spans="1:13" x14ac:dyDescent="0.35">
      <c r="A216" s="227" t="s">
        <v>584</v>
      </c>
      <c r="B216" s="59">
        <v>46105</v>
      </c>
      <c r="C216" s="93" t="s">
        <v>615</v>
      </c>
      <c r="D216" s="93" t="s">
        <v>614</v>
      </c>
      <c r="E216" s="226">
        <v>9471011119</v>
      </c>
      <c r="F216" s="93" t="str">
        <f>'Membership Level'!A12</f>
        <v>Swimming Moth</v>
      </c>
      <c r="G216" s="93" t="s">
        <v>308</v>
      </c>
      <c r="H216" s="75">
        <v>3800</v>
      </c>
      <c r="I216" s="75">
        <v>3800</v>
      </c>
      <c r="J216" s="61">
        <f t="shared" si="3"/>
        <v>0</v>
      </c>
      <c r="K216" s="9">
        <v>46105</v>
      </c>
      <c r="L216" s="59">
        <f>DATE(YEAR(K216),MONTH(K216)+VLOOKUP($F216,'Membership Level'!$A$3:$B$15,2,FALSE),DAY(K216))</f>
        <v>46136</v>
      </c>
      <c r="M216" s="58">
        <v>3</v>
      </c>
    </row>
    <row r="217" spans="1:13" x14ac:dyDescent="0.35">
      <c r="A217" s="227" t="s">
        <v>585</v>
      </c>
      <c r="B217" s="59">
        <v>46105</v>
      </c>
      <c r="C217" s="93" t="s">
        <v>222</v>
      </c>
      <c r="D217" s="93" t="s">
        <v>459</v>
      </c>
      <c r="E217" s="226">
        <v>8521226423</v>
      </c>
      <c r="F217" s="93" t="str">
        <f>'Membership Level'!A12</f>
        <v>Swimming Moth</v>
      </c>
      <c r="G217" s="93" t="s">
        <v>308</v>
      </c>
      <c r="H217" s="75">
        <v>3000</v>
      </c>
      <c r="I217" s="75">
        <v>3000</v>
      </c>
      <c r="J217" s="61">
        <f t="shared" si="3"/>
        <v>0</v>
      </c>
      <c r="K217" s="9">
        <v>46105</v>
      </c>
      <c r="L217" s="59">
        <f>DATE(YEAR(K217),MONTH(K217)+VLOOKUP($F217,'Membership Level'!$A$3:$B$15,2,FALSE),DAY(K217))</f>
        <v>46136</v>
      </c>
      <c r="M217" s="58">
        <v>3</v>
      </c>
    </row>
    <row r="218" spans="1:13" s="295" customFormat="1" x14ac:dyDescent="0.35">
      <c r="A218" s="289" t="s">
        <v>586</v>
      </c>
      <c r="B218" s="290">
        <v>46106</v>
      </c>
      <c r="C218" s="288" t="s">
        <v>618</v>
      </c>
      <c r="D218" s="288" t="s">
        <v>616</v>
      </c>
      <c r="E218" s="291">
        <v>8273742704</v>
      </c>
      <c r="F218" s="288" t="str">
        <f>'Membership Level'!A13</f>
        <v>Swimming Qty</v>
      </c>
      <c r="G218" s="288" t="s">
        <v>619</v>
      </c>
      <c r="H218" s="292">
        <v>9500</v>
      </c>
      <c r="I218" s="292">
        <v>9500</v>
      </c>
      <c r="J218" s="293">
        <f t="shared" si="3"/>
        <v>0</v>
      </c>
      <c r="K218" s="290">
        <v>46106</v>
      </c>
      <c r="L218" s="290">
        <f>DATE(YEAR(K218),MONTH(K218)+VLOOKUP($F218,'Membership Level'!$A$3:$B$15,2,FALSE),DAY(K218))</f>
        <v>46198</v>
      </c>
      <c r="M218" s="294">
        <v>3</v>
      </c>
    </row>
    <row r="219" spans="1:13" s="295" customFormat="1" x14ac:dyDescent="0.35">
      <c r="A219" s="289" t="s">
        <v>587</v>
      </c>
      <c r="B219" s="290">
        <v>46106</v>
      </c>
      <c r="C219" s="288" t="s">
        <v>618</v>
      </c>
      <c r="D219" s="288" t="s">
        <v>617</v>
      </c>
      <c r="E219" s="291">
        <v>8273742704</v>
      </c>
      <c r="F219" s="288" t="str">
        <f>'Membership Level'!A13</f>
        <v>Swimming Qty</v>
      </c>
      <c r="G219" s="288" t="s">
        <v>619</v>
      </c>
      <c r="H219" s="292">
        <v>9500</v>
      </c>
      <c r="I219" s="292">
        <v>9500</v>
      </c>
      <c r="J219" s="293">
        <f t="shared" si="3"/>
        <v>0</v>
      </c>
      <c r="K219" s="290">
        <v>46106</v>
      </c>
      <c r="L219" s="290">
        <f>DATE(YEAR(K219),MONTH(K219)+VLOOKUP($F219,'Membership Level'!$A$3:$B$15,2,FALSE),DAY(K219))</f>
        <v>46198</v>
      </c>
      <c r="M219" s="294">
        <v>3</v>
      </c>
    </row>
    <row r="220" spans="1:13" x14ac:dyDescent="0.35">
      <c r="A220" s="227" t="s">
        <v>588</v>
      </c>
      <c r="B220" s="59">
        <v>46106</v>
      </c>
      <c r="C220" s="93" t="s">
        <v>333</v>
      </c>
      <c r="D220" s="93" t="s">
        <v>620</v>
      </c>
      <c r="E220" s="226">
        <v>9766548726</v>
      </c>
      <c r="F220" s="93" t="str">
        <f>'Membership Level'!A12</f>
        <v>Swimming Moth</v>
      </c>
      <c r="G220" s="93" t="s">
        <v>455</v>
      </c>
      <c r="H220" s="75">
        <v>2800</v>
      </c>
      <c r="I220" s="75">
        <v>2800</v>
      </c>
      <c r="J220" s="61">
        <f t="shared" si="3"/>
        <v>0</v>
      </c>
      <c r="K220" s="9">
        <v>46106</v>
      </c>
      <c r="L220" s="59">
        <f>DATE(YEAR(K220),MONTH(K220)+VLOOKUP($F220,'Membership Level'!$A$3:$B$15,2,FALSE),DAY(K220))</f>
        <v>46137</v>
      </c>
      <c r="M220" s="58">
        <v>3</v>
      </c>
    </row>
    <row r="221" spans="1:13" x14ac:dyDescent="0.35">
      <c r="A221" s="227" t="s">
        <v>589</v>
      </c>
      <c r="B221" s="59">
        <v>46106</v>
      </c>
      <c r="C221" s="93" t="s">
        <v>30</v>
      </c>
      <c r="D221" s="93" t="s">
        <v>664</v>
      </c>
      <c r="E221" s="235">
        <v>7007546211</v>
      </c>
      <c r="F221" s="93" t="str">
        <f>'Membership Level'!A12</f>
        <v>Swimming Moth</v>
      </c>
      <c r="G221" s="93" t="s">
        <v>248</v>
      </c>
      <c r="H221" s="75">
        <v>4000</v>
      </c>
      <c r="I221" s="75">
        <v>4000</v>
      </c>
      <c r="J221" s="61">
        <f t="shared" si="3"/>
        <v>0</v>
      </c>
      <c r="K221" s="9">
        <v>46106</v>
      </c>
      <c r="L221" s="59">
        <f>DATE(YEAR(K221),MONTH(K221)+VLOOKUP($F221,'Membership Level'!$A$3:$B$15,2,FALSE),DAY(K221))</f>
        <v>46137</v>
      </c>
      <c r="M221" s="58">
        <v>3</v>
      </c>
    </row>
    <row r="222" spans="1:13" x14ac:dyDescent="0.35">
      <c r="A222" s="227" t="s">
        <v>590</v>
      </c>
      <c r="B222" s="59">
        <v>46106</v>
      </c>
      <c r="C222" s="93" t="s">
        <v>30</v>
      </c>
      <c r="D222" s="93" t="s">
        <v>661</v>
      </c>
      <c r="E222" s="226">
        <v>7007546211</v>
      </c>
      <c r="F222" s="93" t="str">
        <f>'Membership Level'!A12</f>
        <v>Swimming Moth</v>
      </c>
      <c r="G222" s="93" t="s">
        <v>455</v>
      </c>
      <c r="H222" s="75">
        <v>2800</v>
      </c>
      <c r="I222" s="75">
        <v>2800</v>
      </c>
      <c r="J222" s="61">
        <f t="shared" si="3"/>
        <v>0</v>
      </c>
      <c r="K222" s="9">
        <v>46106</v>
      </c>
      <c r="L222" s="59">
        <f>DATE(YEAR(K222),MONTH(K222)+VLOOKUP($F222,'Membership Level'!$A$3:$B$15,2,FALSE),DAY(K222))</f>
        <v>46137</v>
      </c>
      <c r="M222" s="58">
        <v>3</v>
      </c>
    </row>
    <row r="223" spans="1:13" x14ac:dyDescent="0.35">
      <c r="A223" s="227" t="s">
        <v>621</v>
      </c>
      <c r="B223" s="59">
        <v>46106</v>
      </c>
      <c r="C223" s="93" t="s">
        <v>660</v>
      </c>
      <c r="D223" s="93" t="s">
        <v>659</v>
      </c>
      <c r="E223" s="226">
        <v>8210513904</v>
      </c>
      <c r="F223" s="93" t="str">
        <f>'Membership Level'!A12</f>
        <v>Swimming Moth</v>
      </c>
      <c r="G223" s="93" t="s">
        <v>248</v>
      </c>
      <c r="H223" s="75">
        <v>3800</v>
      </c>
      <c r="I223" s="75">
        <v>3800</v>
      </c>
      <c r="J223" s="61">
        <f t="shared" si="3"/>
        <v>0</v>
      </c>
      <c r="K223" s="9">
        <v>46106</v>
      </c>
      <c r="L223" s="59">
        <f>DATE(YEAR(K223),MONTH(K223)+VLOOKUP($F223,'Membership Level'!$A$3:$B$15,2,FALSE),DAY(K223))</f>
        <v>46137</v>
      </c>
      <c r="M223" s="58">
        <v>3</v>
      </c>
    </row>
    <row r="224" spans="1:13" x14ac:dyDescent="0.35">
      <c r="A224" s="227" t="s">
        <v>622</v>
      </c>
      <c r="B224" s="59">
        <v>46106</v>
      </c>
      <c r="C224" s="93" t="s">
        <v>663</v>
      </c>
      <c r="D224" s="93" t="s">
        <v>662</v>
      </c>
      <c r="E224" s="226">
        <v>7479711217</v>
      </c>
      <c r="F224" s="93" t="str">
        <f>'Membership Level'!A12</f>
        <v>Swimming Moth</v>
      </c>
      <c r="G224" s="93" t="s">
        <v>248</v>
      </c>
      <c r="H224" s="75">
        <v>3800</v>
      </c>
      <c r="I224" s="75">
        <v>3800</v>
      </c>
      <c r="J224" s="61">
        <f t="shared" si="3"/>
        <v>0</v>
      </c>
      <c r="K224" s="9">
        <v>46106</v>
      </c>
      <c r="L224" s="59">
        <f>DATE(YEAR(K224),MONTH(K224)+VLOOKUP($F224,'Membership Level'!$A$3:$B$15,2,FALSE),DAY(K224))</f>
        <v>46137</v>
      </c>
      <c r="M224" s="58">
        <v>3</v>
      </c>
    </row>
    <row r="225" spans="1:13" x14ac:dyDescent="0.35">
      <c r="A225" s="227" t="s">
        <v>623</v>
      </c>
      <c r="B225" s="59">
        <v>46106</v>
      </c>
      <c r="C225" s="93" t="s">
        <v>259</v>
      </c>
      <c r="D225" s="93" t="s">
        <v>666</v>
      </c>
      <c r="E225" s="226">
        <v>6201389070</v>
      </c>
      <c r="F225" s="93" t="str">
        <f>'Membership Level'!A12</f>
        <v>Swimming Moth</v>
      </c>
      <c r="G225" s="93" t="s">
        <v>308</v>
      </c>
      <c r="H225" s="75">
        <v>3000</v>
      </c>
      <c r="I225" s="75">
        <v>3000</v>
      </c>
      <c r="J225" s="61">
        <f t="shared" si="3"/>
        <v>0</v>
      </c>
      <c r="K225" s="9">
        <v>46106</v>
      </c>
      <c r="L225" s="59">
        <f>DATE(YEAR(K225),MONTH(K225)+VLOOKUP($F225,'Membership Level'!$A$3:$B$15,2,FALSE),DAY(K225))</f>
        <v>46137</v>
      </c>
      <c r="M225" s="58">
        <v>3</v>
      </c>
    </row>
    <row r="226" spans="1:13" x14ac:dyDescent="0.35">
      <c r="A226" s="227" t="s">
        <v>624</v>
      </c>
      <c r="B226" s="59">
        <v>46106</v>
      </c>
      <c r="C226" s="93" t="s">
        <v>272</v>
      </c>
      <c r="D226" s="93" t="s">
        <v>665</v>
      </c>
      <c r="E226" s="226">
        <v>8287027991</v>
      </c>
      <c r="F226" s="93" t="str">
        <f>'Membership Level'!A12</f>
        <v>Swimming Moth</v>
      </c>
      <c r="G226" s="93" t="s">
        <v>455</v>
      </c>
      <c r="H226" s="75">
        <v>2800</v>
      </c>
      <c r="I226" s="75">
        <v>2800</v>
      </c>
      <c r="J226" s="61">
        <f t="shared" si="3"/>
        <v>0</v>
      </c>
      <c r="K226" s="9">
        <v>46106</v>
      </c>
      <c r="L226" s="59">
        <f>DATE(YEAR(K226),MONTH(K226)+VLOOKUP($F226,'Membership Level'!$A$3:$B$15,2,FALSE),DAY(K226))</f>
        <v>46137</v>
      </c>
      <c r="M226" s="58">
        <v>3</v>
      </c>
    </row>
    <row r="227" spans="1:13" x14ac:dyDescent="0.35">
      <c r="A227" s="227" t="s">
        <v>625</v>
      </c>
      <c r="B227" s="59">
        <v>46107</v>
      </c>
      <c r="C227" s="93" t="s">
        <v>592</v>
      </c>
      <c r="D227" s="93" t="s">
        <v>667</v>
      </c>
      <c r="E227" s="226">
        <v>9835114455</v>
      </c>
      <c r="F227" s="93" t="str">
        <f>'Membership Level'!A12</f>
        <v>Swimming Moth</v>
      </c>
      <c r="G227" s="93" t="s">
        <v>668</v>
      </c>
      <c r="H227" s="75">
        <v>2500</v>
      </c>
      <c r="I227" s="75">
        <v>2500</v>
      </c>
      <c r="J227" s="61">
        <f t="shared" si="3"/>
        <v>0</v>
      </c>
      <c r="K227" s="9">
        <v>46107</v>
      </c>
      <c r="L227" s="59">
        <f>DATE(YEAR(K227),MONTH(K227)+VLOOKUP($F227,'Membership Level'!$A$3:$B$15,2,FALSE),DAY(K227))</f>
        <v>46138</v>
      </c>
      <c r="M227" s="58">
        <v>3</v>
      </c>
    </row>
    <row r="228" spans="1:13" x14ac:dyDescent="0.35">
      <c r="A228" s="227" t="s">
        <v>626</v>
      </c>
      <c r="B228" s="59">
        <v>46107</v>
      </c>
      <c r="C228" s="93" t="s">
        <v>669</v>
      </c>
      <c r="D228" s="93" t="s">
        <v>459</v>
      </c>
      <c r="E228" s="226">
        <v>7033399779</v>
      </c>
      <c r="F228" s="93" t="str">
        <f>'Membership Level'!A12</f>
        <v>Swimming Moth</v>
      </c>
      <c r="G228" s="93" t="s">
        <v>670</v>
      </c>
      <c r="H228" s="75">
        <v>3500</v>
      </c>
      <c r="I228" s="75">
        <v>3500</v>
      </c>
      <c r="J228" s="61">
        <f t="shared" si="3"/>
        <v>0</v>
      </c>
      <c r="K228" s="9">
        <v>46107</v>
      </c>
      <c r="L228" s="59">
        <f>DATE(YEAR(K228),MONTH(K228)+VLOOKUP($F228,'Membership Level'!$A$3:$B$15,2,FALSE),DAY(K228))</f>
        <v>46138</v>
      </c>
      <c r="M228" s="58">
        <v>3</v>
      </c>
    </row>
    <row r="229" spans="1:13" s="295" customFormat="1" x14ac:dyDescent="0.35">
      <c r="A229" s="289" t="s">
        <v>627</v>
      </c>
      <c r="B229" s="290">
        <v>46107</v>
      </c>
      <c r="C229" s="288"/>
      <c r="D229" s="288" t="s">
        <v>671</v>
      </c>
      <c r="E229" s="291">
        <v>9308090656</v>
      </c>
      <c r="F229" s="288" t="str">
        <f>'Membership Level'!A14</f>
        <v>Swimming HY</v>
      </c>
      <c r="G229" s="288" t="s">
        <v>672</v>
      </c>
      <c r="H229" s="292">
        <v>23000</v>
      </c>
      <c r="I229" s="292">
        <v>13000</v>
      </c>
      <c r="J229" s="293">
        <f t="shared" si="3"/>
        <v>10000</v>
      </c>
      <c r="K229" s="9">
        <v>46107</v>
      </c>
      <c r="L229" s="290">
        <f>DATE(YEAR(K229),MONTH(K229)+VLOOKUP($F229,'Membership Level'!$A$3:$B$15,2,FALSE),DAY(K229))</f>
        <v>46291</v>
      </c>
      <c r="M229" s="294">
        <v>3</v>
      </c>
    </row>
    <row r="230" spans="1:13" x14ac:dyDescent="0.35">
      <c r="A230" s="227" t="s">
        <v>628</v>
      </c>
      <c r="B230" s="59">
        <v>46107</v>
      </c>
      <c r="C230" s="93"/>
      <c r="D230" s="93" t="s">
        <v>673</v>
      </c>
      <c r="E230" s="226">
        <v>7759943439</v>
      </c>
      <c r="F230" s="93" t="str">
        <f>'Membership Level'!A12</f>
        <v>Swimming Moth</v>
      </c>
      <c r="G230" s="93" t="s">
        <v>257</v>
      </c>
      <c r="H230" s="75">
        <v>4400</v>
      </c>
      <c r="I230" s="75">
        <v>4400</v>
      </c>
      <c r="J230" s="61">
        <f t="shared" si="3"/>
        <v>0</v>
      </c>
      <c r="K230" s="9">
        <v>46107</v>
      </c>
      <c r="L230" s="59">
        <f>DATE(YEAR(K230),MONTH(K230)+VLOOKUP($F230,'Membership Level'!$A$3:$B$15,2,FALSE),DAY(K230))</f>
        <v>46138</v>
      </c>
      <c r="M230" s="58">
        <v>3</v>
      </c>
    </row>
    <row r="231" spans="1:13" s="261" customFormat="1" x14ac:dyDescent="0.35">
      <c r="A231" s="255" t="s">
        <v>629</v>
      </c>
      <c r="B231" s="268">
        <v>46108</v>
      </c>
      <c r="C231" s="260" t="s">
        <v>674</v>
      </c>
      <c r="D231" s="260" t="s">
        <v>675</v>
      </c>
      <c r="E231" s="257">
        <v>9334994319</v>
      </c>
      <c r="F231" s="260" t="str">
        <f>'Membership Level'!A13</f>
        <v>Swimming Qty</v>
      </c>
      <c r="G231" s="260" t="s">
        <v>236</v>
      </c>
      <c r="H231" s="266">
        <v>10500</v>
      </c>
      <c r="I231" s="266">
        <v>10500</v>
      </c>
      <c r="J231" s="267">
        <f t="shared" si="3"/>
        <v>0</v>
      </c>
      <c r="K231" s="268">
        <v>46108</v>
      </c>
      <c r="L231" s="268">
        <f>DATE(YEAR(K231),MONTH(K231)+VLOOKUP($F231,'Membership Level'!$A$3:$B$15,2,FALSE),DAY(K231))</f>
        <v>46200</v>
      </c>
      <c r="M231" s="269">
        <v>3</v>
      </c>
    </row>
    <row r="232" spans="1:13" x14ac:dyDescent="0.35">
      <c r="A232" s="227" t="s">
        <v>630</v>
      </c>
      <c r="B232" s="59">
        <v>46108</v>
      </c>
      <c r="C232" s="93"/>
      <c r="D232" s="93" t="s">
        <v>676</v>
      </c>
      <c r="E232" s="226">
        <v>9939681300</v>
      </c>
      <c r="F232" s="93" t="str">
        <f>'Membership Level'!A12</f>
        <v>Swimming Moth</v>
      </c>
      <c r="G232" s="93" t="s">
        <v>248</v>
      </c>
      <c r="H232" s="75">
        <v>4000</v>
      </c>
      <c r="I232" s="75">
        <v>4000</v>
      </c>
      <c r="J232" s="61">
        <f t="shared" si="3"/>
        <v>0</v>
      </c>
      <c r="K232" s="9">
        <v>46108</v>
      </c>
      <c r="L232" s="59">
        <f>DATE(YEAR(K232),MONTH(K232)+VLOOKUP($F232,'Membership Level'!$A$3:$B$15,2,FALSE),DAY(K232))</f>
        <v>46139</v>
      </c>
      <c r="M232" s="58">
        <v>3</v>
      </c>
    </row>
    <row r="233" spans="1:13" x14ac:dyDescent="0.35">
      <c r="A233" s="227" t="s">
        <v>631</v>
      </c>
      <c r="B233" s="59">
        <v>46108</v>
      </c>
      <c r="C233" s="93" t="s">
        <v>678</v>
      </c>
      <c r="D233" s="93" t="s">
        <v>677</v>
      </c>
      <c r="E233" s="226">
        <v>9162495055</v>
      </c>
      <c r="F233" s="93" t="str">
        <f>'Membership Level'!A12</f>
        <v>Swimming Moth</v>
      </c>
      <c r="G233" s="93" t="s">
        <v>463</v>
      </c>
      <c r="H233" s="75">
        <v>2200</v>
      </c>
      <c r="I233" s="75">
        <v>2200</v>
      </c>
      <c r="J233" s="61">
        <f t="shared" si="3"/>
        <v>0</v>
      </c>
      <c r="K233" s="9">
        <v>46108</v>
      </c>
      <c r="L233" s="59">
        <f>DATE(YEAR(K233),MONTH(K233)+VLOOKUP($F233,'Membership Level'!$A$3:$B$15,2,FALSE),DAY(K233))</f>
        <v>46139</v>
      </c>
      <c r="M233" s="58">
        <v>3</v>
      </c>
    </row>
    <row r="234" spans="1:13" s="261" customFormat="1" x14ac:dyDescent="0.35">
      <c r="A234" s="255" t="s">
        <v>632</v>
      </c>
      <c r="B234" s="268">
        <v>46108</v>
      </c>
      <c r="C234" s="260" t="s">
        <v>680</v>
      </c>
      <c r="D234" s="260" t="s">
        <v>679</v>
      </c>
      <c r="E234" s="257">
        <v>7488098092</v>
      </c>
      <c r="F234" s="260" t="str">
        <f>'Membership Level'!A13</f>
        <v>Swimming Qty</v>
      </c>
      <c r="G234" s="260" t="s">
        <v>543</v>
      </c>
      <c r="H234" s="266">
        <v>10000</v>
      </c>
      <c r="I234" s="266">
        <v>10000</v>
      </c>
      <c r="J234" s="267">
        <f t="shared" si="3"/>
        <v>0</v>
      </c>
      <c r="K234" s="268">
        <v>46108</v>
      </c>
      <c r="L234" s="268">
        <f>DATE(YEAR(K234),MONTH(K234)+VLOOKUP($F234,'Membership Level'!$A$3:$B$15,2,FALSE),DAY(K234))</f>
        <v>46200</v>
      </c>
      <c r="M234" s="269">
        <v>3</v>
      </c>
    </row>
    <row r="235" spans="1:13" x14ac:dyDescent="0.35">
      <c r="A235" s="227" t="s">
        <v>633</v>
      </c>
      <c r="B235" s="59">
        <v>46108</v>
      </c>
      <c r="C235" s="93"/>
      <c r="D235" s="93" t="s">
        <v>681</v>
      </c>
      <c r="E235" s="226">
        <v>7667401201</v>
      </c>
      <c r="F235" s="93" t="str">
        <f>'Membership Level'!A12</f>
        <v>Swimming Moth</v>
      </c>
      <c r="G235" s="93" t="s">
        <v>297</v>
      </c>
      <c r="H235" s="75">
        <v>3000</v>
      </c>
      <c r="I235" s="75">
        <v>3000</v>
      </c>
      <c r="J235" s="61">
        <f t="shared" si="3"/>
        <v>0</v>
      </c>
      <c r="K235" s="9">
        <v>46108</v>
      </c>
      <c r="L235" s="59">
        <f>DATE(YEAR(K235),MONTH(K235)+VLOOKUP($F235,'Membership Level'!$A$3:$B$15,2,FALSE),DAY(K235))</f>
        <v>46139</v>
      </c>
      <c r="M235" s="58">
        <v>3</v>
      </c>
    </row>
    <row r="236" spans="1:13" s="6" customFormat="1" x14ac:dyDescent="0.35">
      <c r="A236" s="227" t="s">
        <v>634</v>
      </c>
      <c r="B236" s="59">
        <v>46108</v>
      </c>
      <c r="C236" s="93"/>
      <c r="D236" s="93" t="s">
        <v>682</v>
      </c>
      <c r="E236" s="226">
        <v>8527141651</v>
      </c>
      <c r="F236" s="93" t="str">
        <f>'Membership Level'!A12</f>
        <v>Swimming Moth</v>
      </c>
      <c r="G236" s="93" t="s">
        <v>306</v>
      </c>
      <c r="H236" s="75">
        <v>2500</v>
      </c>
      <c r="I236" s="75">
        <v>2500</v>
      </c>
      <c r="J236" s="61">
        <f t="shared" si="3"/>
        <v>0</v>
      </c>
      <c r="K236" s="9">
        <v>46108</v>
      </c>
      <c r="L236" s="59">
        <f>DATE(YEAR(K236),MONTH(K236)+VLOOKUP($F236,'Membership Level'!$A$3:$B$15,2,FALSE),DAY(K236))</f>
        <v>46139</v>
      </c>
      <c r="M236" s="58">
        <v>3</v>
      </c>
    </row>
    <row r="237" spans="1:13" x14ac:dyDescent="0.35">
      <c r="A237" s="227" t="s">
        <v>635</v>
      </c>
      <c r="B237" s="59">
        <v>46108</v>
      </c>
      <c r="C237" s="93" t="s">
        <v>291</v>
      </c>
      <c r="D237" s="93" t="s">
        <v>264</v>
      </c>
      <c r="E237" s="226">
        <v>8210191935</v>
      </c>
      <c r="F237" s="93" t="str">
        <f>'Membership Level'!A12</f>
        <v>Swimming Moth</v>
      </c>
      <c r="G237" s="93" t="s">
        <v>306</v>
      </c>
      <c r="H237" s="75">
        <v>2500</v>
      </c>
      <c r="I237" s="75">
        <v>2500</v>
      </c>
      <c r="J237" s="61">
        <f t="shared" si="3"/>
        <v>0</v>
      </c>
      <c r="K237" s="9">
        <v>46108</v>
      </c>
      <c r="L237" s="59">
        <f>DATE(YEAR(K237),MONTH(K237)+VLOOKUP($F237,'Membership Level'!$A$3:$B$15,2,FALSE),DAY(K237))</f>
        <v>46139</v>
      </c>
      <c r="M237" s="58">
        <v>3</v>
      </c>
    </row>
    <row r="238" spans="1:13" x14ac:dyDescent="0.35">
      <c r="A238" s="227" t="s">
        <v>636</v>
      </c>
      <c r="B238" s="59">
        <v>46109</v>
      </c>
      <c r="C238" s="93" t="s">
        <v>281</v>
      </c>
      <c r="D238" s="93" t="s">
        <v>683</v>
      </c>
      <c r="E238" s="226">
        <v>9631182298</v>
      </c>
      <c r="F238" s="93" t="str">
        <f>'Membership Level'!A12</f>
        <v>Swimming Moth</v>
      </c>
      <c r="G238" s="93" t="s">
        <v>248</v>
      </c>
      <c r="H238" s="75">
        <v>4000</v>
      </c>
      <c r="I238" s="75">
        <v>4000</v>
      </c>
      <c r="J238" s="61">
        <f t="shared" si="3"/>
        <v>0</v>
      </c>
      <c r="K238" s="9">
        <v>46109</v>
      </c>
      <c r="L238" s="59">
        <f>DATE(YEAR(K238),MONTH(K238)+VLOOKUP($F238,'Membership Level'!$A$3:$B$15,2,FALSE),DAY(K238))</f>
        <v>46140</v>
      </c>
      <c r="M238" s="58">
        <v>3</v>
      </c>
    </row>
    <row r="239" spans="1:13" s="11" customFormat="1" x14ac:dyDescent="0.35">
      <c r="A239" s="227" t="s">
        <v>637</v>
      </c>
      <c r="B239" s="59">
        <v>46109</v>
      </c>
      <c r="C239" s="241"/>
      <c r="D239" s="241" t="s">
        <v>684</v>
      </c>
      <c r="E239" s="235">
        <v>9798020649</v>
      </c>
      <c r="F239" s="241" t="str">
        <f>'Membership Level'!A12</f>
        <v>Swimming Moth</v>
      </c>
      <c r="G239" s="241" t="s">
        <v>455</v>
      </c>
      <c r="H239" s="78">
        <v>2800</v>
      </c>
      <c r="I239" s="78">
        <v>2800</v>
      </c>
      <c r="J239" s="61">
        <f t="shared" si="3"/>
        <v>0</v>
      </c>
      <c r="K239" s="59">
        <v>46110</v>
      </c>
      <c r="L239" s="59">
        <f>DATE(YEAR(K239),MONTH(K239)+VLOOKUP($F239,'Membership Level'!$A$3:$B$15,2,FALSE),DAY(K239))</f>
        <v>46141</v>
      </c>
      <c r="M239" s="58">
        <v>3</v>
      </c>
    </row>
    <row r="240" spans="1:13" x14ac:dyDescent="0.35">
      <c r="A240" s="227" t="s">
        <v>638</v>
      </c>
      <c r="B240" s="59">
        <v>46109</v>
      </c>
      <c r="C240" s="93" t="s">
        <v>30</v>
      </c>
      <c r="D240" s="93" t="s">
        <v>666</v>
      </c>
      <c r="E240" s="226">
        <v>9065527632</v>
      </c>
      <c r="F240" s="93" t="str">
        <f>'Membership Level'!A12</f>
        <v>Swimming Moth</v>
      </c>
      <c r="G240" s="93" t="s">
        <v>308</v>
      </c>
      <c r="H240" s="75">
        <v>3500</v>
      </c>
      <c r="I240" s="75">
        <v>3500</v>
      </c>
      <c r="J240" s="61">
        <f t="shared" si="3"/>
        <v>0</v>
      </c>
      <c r="K240" s="9">
        <v>46109</v>
      </c>
      <c r="L240" s="59">
        <f>DATE(YEAR(K240),MONTH(K240)+VLOOKUP($F240,'Membership Level'!$A$3:$B$15,2,FALSE),DAY(K240))</f>
        <v>46140</v>
      </c>
      <c r="M240" s="58">
        <v>3</v>
      </c>
    </row>
    <row r="241" spans="1:13" s="11" customFormat="1" x14ac:dyDescent="0.35">
      <c r="A241" s="227" t="s">
        <v>639</v>
      </c>
      <c r="B241" s="59">
        <v>46109</v>
      </c>
      <c r="C241" s="301"/>
      <c r="D241" s="301" t="s">
        <v>685</v>
      </c>
      <c r="E241" s="302">
        <v>9304012828</v>
      </c>
      <c r="F241" s="303" t="str">
        <f>'Membership Level'!A12</f>
        <v>Swimming Moth</v>
      </c>
      <c r="G241" s="303" t="s">
        <v>297</v>
      </c>
      <c r="H241" s="78">
        <v>3300</v>
      </c>
      <c r="I241" s="78">
        <v>3300</v>
      </c>
      <c r="J241" s="61">
        <f t="shared" si="3"/>
        <v>0</v>
      </c>
      <c r="K241" s="59">
        <v>46112</v>
      </c>
      <c r="L241" s="59">
        <f>DATE(YEAR(K241),MONTH(K241)+VLOOKUP($F241,'Membership Level'!$A$3:$B$15,2,FALSE),DAY(K241))</f>
        <v>46143</v>
      </c>
    </row>
    <row r="242" spans="1:13" x14ac:dyDescent="0.35">
      <c r="A242" s="227" t="s">
        <v>640</v>
      </c>
      <c r="B242" s="59">
        <v>46109</v>
      </c>
      <c r="C242" s="93" t="s">
        <v>687</v>
      </c>
      <c r="D242" s="93" t="s">
        <v>686</v>
      </c>
      <c r="E242" s="226">
        <v>9819879204</v>
      </c>
      <c r="F242" s="93" t="str">
        <f>'Membership Level'!A12</f>
        <v>Swimming Moth</v>
      </c>
      <c r="G242" s="93" t="s">
        <v>463</v>
      </c>
      <c r="H242" s="75">
        <v>2200</v>
      </c>
      <c r="I242" s="75">
        <v>2200</v>
      </c>
      <c r="J242" s="61">
        <f t="shared" si="3"/>
        <v>0</v>
      </c>
      <c r="K242" s="9">
        <v>46109</v>
      </c>
      <c r="L242" s="59">
        <f>DATE(YEAR(K242),MONTH(K242)+VLOOKUP($F242,'Membership Level'!$A$3:$B$15,2,FALSE),DAY(K242))</f>
        <v>46140</v>
      </c>
      <c r="M242" s="58">
        <v>3</v>
      </c>
    </row>
    <row r="243" spans="1:13" x14ac:dyDescent="0.35">
      <c r="A243" s="227" t="s">
        <v>641</v>
      </c>
      <c r="B243" s="59">
        <v>46109</v>
      </c>
      <c r="C243" s="93" t="s">
        <v>202</v>
      </c>
      <c r="D243" s="93" t="s">
        <v>688</v>
      </c>
      <c r="E243" s="226">
        <v>8291090077</v>
      </c>
      <c r="F243" s="93" t="str">
        <f>'Membership Level'!A12</f>
        <v>Swimming Moth</v>
      </c>
      <c r="G243" s="93" t="s">
        <v>306</v>
      </c>
      <c r="H243" s="75">
        <v>2500</v>
      </c>
      <c r="I243" s="75">
        <v>2500</v>
      </c>
      <c r="J243" s="61">
        <f t="shared" si="3"/>
        <v>0</v>
      </c>
      <c r="K243" s="9">
        <v>46109</v>
      </c>
      <c r="L243" s="59">
        <f>DATE(YEAR(K243),MONTH(K243)+VLOOKUP($F243,'Membership Level'!$A$3:$B$15,2,FALSE),DAY(K243))</f>
        <v>46140</v>
      </c>
      <c r="M243" s="58">
        <v>3</v>
      </c>
    </row>
    <row r="244" spans="1:13" x14ac:dyDescent="0.35">
      <c r="A244" s="227" t="s">
        <v>642</v>
      </c>
      <c r="B244" s="59">
        <v>46109</v>
      </c>
      <c r="C244" s="93"/>
      <c r="D244" s="93" t="s">
        <v>689</v>
      </c>
      <c r="E244" s="226">
        <v>8291090077</v>
      </c>
      <c r="F244" s="93" t="str">
        <f>'Membership Level'!A12</f>
        <v>Swimming Moth</v>
      </c>
      <c r="G244" s="93" t="s">
        <v>306</v>
      </c>
      <c r="H244" s="75">
        <v>2500</v>
      </c>
      <c r="I244" s="75">
        <v>2500</v>
      </c>
      <c r="J244" s="61">
        <f t="shared" si="3"/>
        <v>0</v>
      </c>
      <c r="K244" s="9">
        <v>46109</v>
      </c>
      <c r="L244" s="59">
        <f>DATE(YEAR(K244),MONTH(K244)+VLOOKUP($F244,'Membership Level'!$A$3:$B$15,2,FALSE),DAY(K244))</f>
        <v>46140</v>
      </c>
      <c r="M244" s="58">
        <v>3</v>
      </c>
    </row>
    <row r="245" spans="1:13" x14ac:dyDescent="0.35">
      <c r="A245" s="227" t="s">
        <v>643</v>
      </c>
      <c r="B245" s="59">
        <v>46109</v>
      </c>
      <c r="C245" s="93" t="s">
        <v>691</v>
      </c>
      <c r="D245" s="93" t="s">
        <v>690</v>
      </c>
      <c r="E245" s="226">
        <v>8291090077</v>
      </c>
      <c r="F245" s="93" t="str">
        <f>'Membership Level'!A12</f>
        <v>Swimming Moth</v>
      </c>
      <c r="G245" s="93" t="s">
        <v>603</v>
      </c>
      <c r="H245" s="75">
        <v>2000</v>
      </c>
      <c r="I245" s="75">
        <v>2000</v>
      </c>
      <c r="J245" s="61">
        <f t="shared" si="3"/>
        <v>0</v>
      </c>
      <c r="K245" s="9">
        <v>46109</v>
      </c>
      <c r="L245" s="59">
        <f>DATE(YEAR(K245),MONTH(K245)+VLOOKUP($F245,'Membership Level'!$A$3:$B$15,2,FALSE),DAY(K245))</f>
        <v>46140</v>
      </c>
      <c r="M245" s="58">
        <v>3</v>
      </c>
    </row>
    <row r="246" spans="1:13" x14ac:dyDescent="0.35">
      <c r="A246" s="227" t="s">
        <v>644</v>
      </c>
      <c r="B246" s="59">
        <v>46109</v>
      </c>
      <c r="C246" s="93" t="s">
        <v>692</v>
      </c>
      <c r="D246" s="93" t="s">
        <v>693</v>
      </c>
      <c r="E246" s="226">
        <v>8072515062</v>
      </c>
      <c r="F246" s="93" t="str">
        <f>'Membership Level'!A12</f>
        <v>Swimming Moth</v>
      </c>
      <c r="G246" s="93" t="s">
        <v>455</v>
      </c>
      <c r="H246" s="75">
        <v>2800</v>
      </c>
      <c r="I246" s="75">
        <v>2800</v>
      </c>
      <c r="J246" s="61">
        <f t="shared" si="3"/>
        <v>0</v>
      </c>
      <c r="K246" s="9">
        <v>46109</v>
      </c>
      <c r="L246" s="59">
        <f>DATE(YEAR(K246),MONTH(K246)+VLOOKUP($F246,'Membership Level'!$A$3:$B$15,2,FALSE),DAY(K246))</f>
        <v>46140</v>
      </c>
      <c r="M246" s="58">
        <v>3</v>
      </c>
    </row>
    <row r="247" spans="1:13" x14ac:dyDescent="0.35">
      <c r="A247" s="227" t="s">
        <v>645</v>
      </c>
      <c r="B247" s="59">
        <v>46109</v>
      </c>
      <c r="C247" s="93" t="s">
        <v>492</v>
      </c>
      <c r="D247" s="93" t="s">
        <v>271</v>
      </c>
      <c r="E247" s="226">
        <v>9279662386</v>
      </c>
      <c r="F247" s="93" t="str">
        <f>'Membership Level'!A12</f>
        <v>Swimming Moth</v>
      </c>
      <c r="G247" s="93" t="s">
        <v>257</v>
      </c>
      <c r="H247" s="75">
        <v>4000</v>
      </c>
      <c r="I247" s="75">
        <v>0</v>
      </c>
      <c r="J247" s="61">
        <f t="shared" si="3"/>
        <v>4000</v>
      </c>
      <c r="K247" s="9">
        <v>46109</v>
      </c>
      <c r="L247" s="59">
        <f>DATE(YEAR(K247),MONTH(K247)+VLOOKUP($F247,'Membership Level'!$A$3:$B$15,2,FALSE),DAY(K247))</f>
        <v>46140</v>
      </c>
      <c r="M247" s="58">
        <v>3</v>
      </c>
    </row>
    <row r="248" spans="1:13" x14ac:dyDescent="0.35">
      <c r="A248" s="227" t="s">
        <v>646</v>
      </c>
      <c r="B248" s="59">
        <v>46110</v>
      </c>
      <c r="C248" s="93"/>
      <c r="D248" s="93" t="s">
        <v>694</v>
      </c>
      <c r="E248" s="226">
        <v>6207443533</v>
      </c>
      <c r="F248" s="93" t="str">
        <f>'Membership Level'!A12</f>
        <v>Swimming Moth</v>
      </c>
      <c r="G248" s="93" t="s">
        <v>248</v>
      </c>
      <c r="H248" s="75">
        <v>3800</v>
      </c>
      <c r="I248" s="75">
        <v>3800</v>
      </c>
      <c r="J248" s="61">
        <f t="shared" si="3"/>
        <v>0</v>
      </c>
      <c r="K248" s="9">
        <v>46110</v>
      </c>
      <c r="L248" s="59">
        <f>DATE(YEAR(K248),MONTH(K248)+VLOOKUP($F248,'Membership Level'!$A$3:$B$15,2,FALSE),DAY(K248))</f>
        <v>46141</v>
      </c>
      <c r="M248" s="58">
        <v>3</v>
      </c>
    </row>
    <row r="249" spans="1:13" x14ac:dyDescent="0.35">
      <c r="A249" s="227" t="s">
        <v>647</v>
      </c>
      <c r="B249" s="59">
        <v>46110</v>
      </c>
      <c r="C249" s="93" t="s">
        <v>222</v>
      </c>
      <c r="D249" s="93" t="s">
        <v>473</v>
      </c>
      <c r="E249" s="226">
        <v>8130163828</v>
      </c>
      <c r="F249" s="93" t="str">
        <f>'Membership Level'!A12</f>
        <v>Swimming Moth</v>
      </c>
      <c r="G249" s="93" t="s">
        <v>463</v>
      </c>
      <c r="H249" s="75">
        <v>2200</v>
      </c>
      <c r="I249" s="75">
        <v>2200</v>
      </c>
      <c r="J249" s="61">
        <f t="shared" si="3"/>
        <v>0</v>
      </c>
      <c r="K249" s="9">
        <v>46110</v>
      </c>
      <c r="L249" s="59">
        <f>DATE(YEAR(K249),MONTH(K249)+VLOOKUP($F249,'Membership Level'!$A$3:$B$15,2,FALSE),DAY(K249))</f>
        <v>46141</v>
      </c>
      <c r="M249" s="58">
        <v>3</v>
      </c>
    </row>
    <row r="250" spans="1:13" x14ac:dyDescent="0.35">
      <c r="A250" s="227" t="s">
        <v>648</v>
      </c>
      <c r="B250" s="59">
        <v>46110</v>
      </c>
      <c r="C250" s="93" t="s">
        <v>202</v>
      </c>
      <c r="D250" s="93" t="s">
        <v>695</v>
      </c>
      <c r="E250" s="226">
        <v>7091001000</v>
      </c>
      <c r="F250" s="93" t="str">
        <f>'Membership Level'!A12</f>
        <v>Swimming Moth</v>
      </c>
      <c r="G250" s="93" t="s">
        <v>248</v>
      </c>
      <c r="H250" s="75">
        <v>4000</v>
      </c>
      <c r="I250" s="75">
        <v>4000</v>
      </c>
      <c r="J250" s="61">
        <f t="shared" si="3"/>
        <v>0</v>
      </c>
      <c r="K250" s="9">
        <v>46110</v>
      </c>
      <c r="L250" s="59">
        <f>DATE(YEAR(K250),MONTH(K250)+VLOOKUP($F250,'Membership Level'!$A$3:$B$15,2,FALSE),DAY(K250))</f>
        <v>46141</v>
      </c>
      <c r="M250" s="58">
        <v>3</v>
      </c>
    </row>
    <row r="251" spans="1:13" x14ac:dyDescent="0.35">
      <c r="A251" s="227" t="s">
        <v>649</v>
      </c>
      <c r="B251" s="59">
        <v>46110</v>
      </c>
      <c r="C251" s="93" t="s">
        <v>202</v>
      </c>
      <c r="D251" s="93" t="s">
        <v>696</v>
      </c>
      <c r="E251" s="226">
        <v>8521736988</v>
      </c>
      <c r="F251" s="93" t="str">
        <f>'Membership Level'!A12</f>
        <v>Swimming Moth</v>
      </c>
      <c r="G251" s="93" t="s">
        <v>297</v>
      </c>
      <c r="H251" s="75">
        <v>3000</v>
      </c>
      <c r="I251" s="75">
        <v>3000</v>
      </c>
      <c r="J251" s="61">
        <f t="shared" si="3"/>
        <v>0</v>
      </c>
      <c r="K251" s="9">
        <v>46110</v>
      </c>
      <c r="L251" s="59">
        <f>DATE(YEAR(K251),MONTH(K251)+VLOOKUP($F251,'Membership Level'!$A$3:$B$15,2,FALSE),DAY(K251))</f>
        <v>46141</v>
      </c>
      <c r="M251" s="58">
        <v>3</v>
      </c>
    </row>
    <row r="252" spans="1:13" x14ac:dyDescent="0.35">
      <c r="A252" s="227" t="s">
        <v>650</v>
      </c>
      <c r="B252" s="59">
        <v>46110</v>
      </c>
      <c r="C252" s="93" t="s">
        <v>32</v>
      </c>
      <c r="D252" s="93" t="s">
        <v>697</v>
      </c>
      <c r="E252" s="226">
        <v>8521736988</v>
      </c>
      <c r="F252" s="93" t="str">
        <f>'Membership Level'!A12</f>
        <v>Swimming Moth</v>
      </c>
      <c r="G252" s="93" t="s">
        <v>297</v>
      </c>
      <c r="H252" s="75">
        <v>3000</v>
      </c>
      <c r="I252" s="75">
        <v>3000</v>
      </c>
      <c r="J252" s="61">
        <f t="shared" si="3"/>
        <v>0</v>
      </c>
      <c r="K252" s="9">
        <v>46110</v>
      </c>
      <c r="L252" s="59">
        <f>DATE(YEAR(K252),MONTH(K252)+VLOOKUP($F252,'Membership Level'!$A$3:$B$15,2,FALSE),DAY(K252))</f>
        <v>46141</v>
      </c>
      <c r="M252" s="58">
        <v>3</v>
      </c>
    </row>
    <row r="253" spans="1:13" s="261" customFormat="1" x14ac:dyDescent="0.35">
      <c r="A253" s="255" t="s">
        <v>651</v>
      </c>
      <c r="B253" s="268">
        <v>46110</v>
      </c>
      <c r="C253" s="260" t="s">
        <v>698</v>
      </c>
      <c r="D253" s="260" t="s">
        <v>688</v>
      </c>
      <c r="E253" s="305">
        <v>9798550864</v>
      </c>
      <c r="F253" s="260" t="str">
        <f>'Membership Level'!A13</f>
        <v>Swimming Qty</v>
      </c>
      <c r="G253" s="260" t="s">
        <v>700</v>
      </c>
      <c r="H253" s="266">
        <v>7000</v>
      </c>
      <c r="I253" s="266">
        <v>7000</v>
      </c>
      <c r="J253" s="267">
        <f t="shared" si="3"/>
        <v>0</v>
      </c>
      <c r="K253" s="268">
        <v>46110</v>
      </c>
      <c r="L253" s="268">
        <f>DATE(YEAR(K253),MONTH(K253)+VLOOKUP($F253,'Membership Level'!$A$3:$B$15,2,FALSE),DAY(K253))</f>
        <v>46202</v>
      </c>
      <c r="M253" s="269">
        <v>3</v>
      </c>
    </row>
    <row r="254" spans="1:13" s="261" customFormat="1" x14ac:dyDescent="0.35">
      <c r="A254" s="255" t="s">
        <v>652</v>
      </c>
      <c r="B254" s="268">
        <v>46110</v>
      </c>
      <c r="C254" s="260" t="s">
        <v>699</v>
      </c>
      <c r="D254" s="260" t="s">
        <v>567</v>
      </c>
      <c r="E254" s="305">
        <v>9798550864</v>
      </c>
      <c r="F254" s="260" t="str">
        <f>'Membership Level'!A13</f>
        <v>Swimming Qty</v>
      </c>
      <c r="G254" s="260" t="s">
        <v>701</v>
      </c>
      <c r="H254" s="266">
        <v>5500</v>
      </c>
      <c r="I254" s="266">
        <v>5500</v>
      </c>
      <c r="J254" s="267">
        <f t="shared" si="3"/>
        <v>0</v>
      </c>
      <c r="K254" s="268">
        <v>46110</v>
      </c>
      <c r="L254" s="268">
        <f>DATE(YEAR(K254),MONTH(K254)+VLOOKUP($F254,'Membership Level'!$A$3:$B$15,2,FALSE),DAY(K254))</f>
        <v>46202</v>
      </c>
      <c r="M254" s="269">
        <v>3</v>
      </c>
    </row>
    <row r="255" spans="1:13" s="261" customFormat="1" x14ac:dyDescent="0.35">
      <c r="A255" s="255" t="s">
        <v>653</v>
      </c>
      <c r="B255" s="268">
        <v>46110</v>
      </c>
      <c r="C255" s="260" t="s">
        <v>698</v>
      </c>
      <c r="D255" s="260" t="s">
        <v>346</v>
      </c>
      <c r="E255" s="305">
        <v>9798550864</v>
      </c>
      <c r="F255" s="260" t="str">
        <f>'Membership Level'!A13</f>
        <v>Swimming Qty</v>
      </c>
      <c r="G255" s="260" t="s">
        <v>701</v>
      </c>
      <c r="H255" s="266">
        <v>5500</v>
      </c>
      <c r="I255" s="266">
        <v>5500</v>
      </c>
      <c r="J255" s="267">
        <f t="shared" si="3"/>
        <v>0</v>
      </c>
      <c r="K255" s="268">
        <v>46110</v>
      </c>
      <c r="L255" s="268">
        <f>DATE(YEAR(K255),MONTH(K255)+VLOOKUP($F255,'Membership Level'!$A$3:$B$15,2,FALSE),DAY(K255))</f>
        <v>46202</v>
      </c>
      <c r="M255" s="269">
        <v>3</v>
      </c>
    </row>
    <row r="256" spans="1:13" x14ac:dyDescent="0.35">
      <c r="A256" s="227" t="s">
        <v>654</v>
      </c>
      <c r="B256" s="59">
        <v>46110</v>
      </c>
      <c r="C256" s="93" t="s">
        <v>222</v>
      </c>
      <c r="D256" s="93" t="s">
        <v>352</v>
      </c>
      <c r="E256" s="226">
        <v>9818250881</v>
      </c>
      <c r="F256" s="93" t="str">
        <f>'Membership Level'!A12</f>
        <v>Swimming Moth</v>
      </c>
      <c r="G256" s="93" t="s">
        <v>306</v>
      </c>
      <c r="H256" s="75">
        <v>2500</v>
      </c>
      <c r="I256" s="75">
        <v>2500</v>
      </c>
      <c r="J256" s="61">
        <f t="shared" si="3"/>
        <v>0</v>
      </c>
      <c r="K256" s="9">
        <v>46110</v>
      </c>
      <c r="L256" s="59">
        <f>DATE(YEAR(K256),MONTH(K256)+VLOOKUP($F256,'Membership Level'!$A$3:$B$15,2,FALSE),DAY(K256))</f>
        <v>46141</v>
      </c>
      <c r="M256" s="58">
        <v>3</v>
      </c>
    </row>
    <row r="257" spans="1:13" x14ac:dyDescent="0.35">
      <c r="A257" s="227" t="s">
        <v>655</v>
      </c>
      <c r="B257" s="59">
        <v>46110</v>
      </c>
      <c r="C257" s="93" t="s">
        <v>32</v>
      </c>
      <c r="D257" s="93" t="s">
        <v>702</v>
      </c>
      <c r="E257" s="226">
        <v>8252832224</v>
      </c>
      <c r="F257" s="93" t="str">
        <f>'Membership Level'!A12</f>
        <v>Swimming Moth</v>
      </c>
      <c r="G257" s="93" t="s">
        <v>248</v>
      </c>
      <c r="H257" s="75">
        <v>4000</v>
      </c>
      <c r="I257" s="75">
        <v>4000</v>
      </c>
      <c r="J257" s="61">
        <f t="shared" si="3"/>
        <v>0</v>
      </c>
      <c r="K257" s="9">
        <v>46110</v>
      </c>
      <c r="L257" s="59">
        <f>DATE(YEAR(K257),MONTH(K257)+VLOOKUP($F257,'Membership Level'!$A$3:$B$15,2,FALSE),DAY(K257))</f>
        <v>46141</v>
      </c>
      <c r="M257" s="58">
        <v>3</v>
      </c>
    </row>
    <row r="258" spans="1:13" s="11" customFormat="1" x14ac:dyDescent="0.35">
      <c r="A258" s="227" t="s">
        <v>656</v>
      </c>
      <c r="B258" s="59">
        <v>46110</v>
      </c>
      <c r="C258" s="241" t="s">
        <v>272</v>
      </c>
      <c r="D258" s="241" t="s">
        <v>703</v>
      </c>
      <c r="E258" s="235">
        <v>7070518657</v>
      </c>
      <c r="F258" s="241" t="str">
        <f>'Membership Level'!A12</f>
        <v>Swimming Moth</v>
      </c>
      <c r="G258" s="241" t="s">
        <v>881</v>
      </c>
      <c r="H258" s="78">
        <v>2200</v>
      </c>
      <c r="I258" s="78">
        <v>2200</v>
      </c>
      <c r="J258" s="61">
        <f t="shared" si="3"/>
        <v>0</v>
      </c>
      <c r="K258" s="307">
        <v>46147</v>
      </c>
      <c r="L258" s="307">
        <f>DATE(YEAR(K258),MONTH(K258)+VLOOKUP($F258,'Membership Level'!$A$3:$B$15,2,FALSE),DAY(K258))</f>
        <v>46178</v>
      </c>
      <c r="M258" s="58">
        <v>3</v>
      </c>
    </row>
    <row r="259" spans="1:13" x14ac:dyDescent="0.35">
      <c r="A259" s="227" t="s">
        <v>657</v>
      </c>
      <c r="B259" s="59">
        <v>46110</v>
      </c>
      <c r="C259" s="93" t="s">
        <v>618</v>
      </c>
      <c r="D259" s="93" t="s">
        <v>704</v>
      </c>
      <c r="E259" s="226">
        <v>9086576485</v>
      </c>
      <c r="F259" s="93" t="str">
        <f>'Membership Level'!A12</f>
        <v>Swimming Moth</v>
      </c>
      <c r="G259" s="93" t="s">
        <v>455</v>
      </c>
      <c r="H259" s="75">
        <v>2800</v>
      </c>
      <c r="I259" s="75">
        <v>2800</v>
      </c>
      <c r="J259" s="61">
        <f t="shared" si="3"/>
        <v>0</v>
      </c>
      <c r="K259" s="300">
        <v>46159</v>
      </c>
      <c r="L259" s="300">
        <f>DATE(YEAR(K259),MONTH(K259)+VLOOKUP($F259,'Membership Level'!$A$3:$B$15,2,FALSE),DAY(K259))</f>
        <v>46190</v>
      </c>
      <c r="M259" s="58">
        <v>3</v>
      </c>
    </row>
    <row r="260" spans="1:13" x14ac:dyDescent="0.35">
      <c r="A260" s="227" t="s">
        <v>658</v>
      </c>
      <c r="B260" s="59">
        <v>46110</v>
      </c>
      <c r="C260" s="93" t="s">
        <v>259</v>
      </c>
      <c r="D260" s="93" t="s">
        <v>705</v>
      </c>
      <c r="E260" s="226">
        <v>7277229155</v>
      </c>
      <c r="F260" s="93" t="str">
        <f>'Membership Level'!A12</f>
        <v>Swimming Moth</v>
      </c>
      <c r="G260" s="93" t="s">
        <v>728</v>
      </c>
      <c r="H260" s="75">
        <v>2200</v>
      </c>
      <c r="I260" s="75">
        <v>2200</v>
      </c>
      <c r="J260" s="61">
        <f t="shared" si="3"/>
        <v>0</v>
      </c>
      <c r="K260" s="9">
        <v>46110</v>
      </c>
      <c r="L260" s="59">
        <f>DATE(YEAR(K260),MONTH(K260)+VLOOKUP($F260,'Membership Level'!$A$3:$B$15,2,FALSE),DAY(K260))</f>
        <v>46141</v>
      </c>
      <c r="M260" s="58">
        <v>3</v>
      </c>
    </row>
    <row r="261" spans="1:13" x14ac:dyDescent="0.35">
      <c r="A261" s="227" t="s">
        <v>706</v>
      </c>
      <c r="B261" s="59">
        <v>46110</v>
      </c>
      <c r="C261" s="93" t="s">
        <v>727</v>
      </c>
      <c r="D261" s="93" t="s">
        <v>726</v>
      </c>
      <c r="E261" s="226">
        <v>7091687106</v>
      </c>
      <c r="F261" s="93" t="str">
        <f>'Membership Level'!A12</f>
        <v>Swimming Moth</v>
      </c>
      <c r="G261" s="93" t="s">
        <v>297</v>
      </c>
      <c r="H261" s="75">
        <v>3000</v>
      </c>
      <c r="I261" s="75">
        <v>3000</v>
      </c>
      <c r="J261" s="61">
        <f t="shared" si="3"/>
        <v>0</v>
      </c>
      <c r="K261" s="300">
        <v>46143</v>
      </c>
      <c r="L261" s="300">
        <f>DATE(YEAR(K261),MONTH(K261)+VLOOKUP($F261,'Membership Level'!$A$3:$B$15,2,FALSE),DAY(K261))</f>
        <v>46174</v>
      </c>
      <c r="M261" s="58">
        <v>3</v>
      </c>
    </row>
    <row r="262" spans="1:13" x14ac:dyDescent="0.35">
      <c r="A262" s="227" t="s">
        <v>707</v>
      </c>
      <c r="B262" s="59">
        <v>46110</v>
      </c>
      <c r="C262" s="93" t="s">
        <v>202</v>
      </c>
      <c r="D262" s="93" t="s">
        <v>729</v>
      </c>
      <c r="E262" s="226">
        <v>7979990910</v>
      </c>
      <c r="F262" s="93" t="str">
        <f>'Membership Level'!A12</f>
        <v>Swimming Moth</v>
      </c>
      <c r="G262" s="93" t="s">
        <v>306</v>
      </c>
      <c r="H262" s="75">
        <v>2500</v>
      </c>
      <c r="I262" s="75">
        <v>2500</v>
      </c>
      <c r="J262" s="61">
        <f t="shared" si="3"/>
        <v>0</v>
      </c>
      <c r="K262" s="9">
        <v>46110</v>
      </c>
      <c r="L262" s="59">
        <f>DATE(YEAR(K262),MONTH(K262)+VLOOKUP($F262,'Membership Level'!$A$3:$B$15,2,FALSE),DAY(K262))</f>
        <v>46141</v>
      </c>
      <c r="M262" s="58">
        <v>3</v>
      </c>
    </row>
    <row r="263" spans="1:13" x14ac:dyDescent="0.35">
      <c r="A263" s="227" t="s">
        <v>708</v>
      </c>
      <c r="B263" s="59">
        <v>46110</v>
      </c>
      <c r="C263" s="93" t="s">
        <v>687</v>
      </c>
      <c r="D263" s="93" t="s">
        <v>730</v>
      </c>
      <c r="E263" s="226">
        <v>8002571401</v>
      </c>
      <c r="F263" s="93" t="str">
        <f>'Membership Level'!A12</f>
        <v>Swimming Moth</v>
      </c>
      <c r="G263" s="93" t="s">
        <v>306</v>
      </c>
      <c r="H263" s="75">
        <v>2500</v>
      </c>
      <c r="I263" s="75">
        <v>2500</v>
      </c>
      <c r="J263" s="61">
        <f t="shared" si="3"/>
        <v>0</v>
      </c>
      <c r="K263" s="9">
        <v>46110</v>
      </c>
      <c r="L263" s="59">
        <f>DATE(YEAR(K263),MONTH(K263)+VLOOKUP($F263,'Membership Level'!$A$3:$B$15,2,FALSE),DAY(K263))</f>
        <v>46141</v>
      </c>
      <c r="M263" s="58">
        <v>3</v>
      </c>
    </row>
    <row r="264" spans="1:13" s="261" customFormat="1" x14ac:dyDescent="0.35">
      <c r="A264" s="255" t="s">
        <v>709</v>
      </c>
      <c r="B264" s="268">
        <v>46110</v>
      </c>
      <c r="C264" s="260" t="s">
        <v>597</v>
      </c>
      <c r="D264" s="260" t="s">
        <v>731</v>
      </c>
      <c r="E264" s="257">
        <v>8002571401</v>
      </c>
      <c r="F264" s="260" t="str">
        <f>'Membership Level'!A13</f>
        <v>Swimming Qty</v>
      </c>
      <c r="G264" s="260" t="s">
        <v>732</v>
      </c>
      <c r="H264" s="266">
        <v>11000</v>
      </c>
      <c r="I264" s="266">
        <v>5000</v>
      </c>
      <c r="J264" s="267">
        <f t="shared" si="3"/>
        <v>6000</v>
      </c>
      <c r="K264" s="268">
        <v>46110</v>
      </c>
      <c r="L264" s="268">
        <f>DATE(YEAR(K264),MONTH(K264)+VLOOKUP($F264,'Membership Level'!$A$3:$B$15,2,FALSE),DAY(K264))</f>
        <v>46202</v>
      </c>
      <c r="M264" s="269">
        <v>3</v>
      </c>
    </row>
    <row r="265" spans="1:13" x14ac:dyDescent="0.35">
      <c r="A265" s="227" t="s">
        <v>710</v>
      </c>
      <c r="B265" s="59">
        <v>46110</v>
      </c>
      <c r="C265" s="93" t="s">
        <v>734</v>
      </c>
      <c r="D265" s="93" t="s">
        <v>733</v>
      </c>
      <c r="E265" s="226">
        <v>7980573804</v>
      </c>
      <c r="F265" s="93" t="str">
        <f>'Membership Level'!A12</f>
        <v>Swimming Moth</v>
      </c>
      <c r="G265" s="93" t="s">
        <v>440</v>
      </c>
      <c r="H265" s="75">
        <v>2800</v>
      </c>
      <c r="I265" s="75">
        <v>2800</v>
      </c>
      <c r="J265" s="61">
        <f t="shared" si="3"/>
        <v>0</v>
      </c>
      <c r="K265" s="300">
        <v>46141</v>
      </c>
      <c r="L265" s="300">
        <f>DATE(YEAR(K265),MONTH(K265)+VLOOKUP($F265,'Membership Level'!$A$3:$B$15,2,FALSE),DAY(K265))</f>
        <v>46171</v>
      </c>
      <c r="M265" s="58">
        <v>3</v>
      </c>
    </row>
    <row r="266" spans="1:13" x14ac:dyDescent="0.35">
      <c r="A266" s="227" t="s">
        <v>711</v>
      </c>
      <c r="B266" s="59">
        <v>46110</v>
      </c>
      <c r="C266" s="93" t="s">
        <v>698</v>
      </c>
      <c r="D266" s="245" t="s">
        <v>735</v>
      </c>
      <c r="E266" s="226">
        <v>9432274471</v>
      </c>
      <c r="F266" s="93" t="str">
        <f>'Membership Level'!A12</f>
        <v>Swimming Moth</v>
      </c>
      <c r="G266" s="93" t="s">
        <v>248</v>
      </c>
      <c r="H266" s="75">
        <v>4000</v>
      </c>
      <c r="I266" s="75">
        <v>4000</v>
      </c>
      <c r="J266" s="61">
        <f t="shared" ref="J266:J330" si="4">H266-I266</f>
        <v>0</v>
      </c>
      <c r="K266" s="9">
        <v>46110</v>
      </c>
      <c r="L266" s="59">
        <f>DATE(YEAR(K266),MONTH(K266)+VLOOKUP($F266,'Membership Level'!$A$3:$B$15,2,FALSE),DAY(K266))</f>
        <v>46141</v>
      </c>
      <c r="M266" s="58">
        <v>3</v>
      </c>
    </row>
    <row r="267" spans="1:13" x14ac:dyDescent="0.35">
      <c r="A267" s="227" t="s">
        <v>712</v>
      </c>
      <c r="B267" s="9">
        <v>46112</v>
      </c>
      <c r="C267" s="93" t="s">
        <v>30</v>
      </c>
      <c r="D267" s="93" t="s">
        <v>736</v>
      </c>
      <c r="E267" s="226">
        <v>7979749313</v>
      </c>
      <c r="F267" s="93" t="str">
        <f>'Membership Level'!A12</f>
        <v>Swimming Moth</v>
      </c>
      <c r="G267" s="93" t="s">
        <v>308</v>
      </c>
      <c r="H267" s="75">
        <v>3800</v>
      </c>
      <c r="I267" s="75">
        <v>3800</v>
      </c>
      <c r="J267" s="61">
        <f t="shared" si="4"/>
        <v>0</v>
      </c>
      <c r="K267" s="9">
        <v>46112</v>
      </c>
      <c r="L267" s="59">
        <f>DATE(YEAR(K267),MONTH(K267)+VLOOKUP($F267,'Membership Level'!$A$3:$B$15,2,FALSE),DAY(K267))</f>
        <v>46143</v>
      </c>
      <c r="M267" s="58">
        <v>3</v>
      </c>
    </row>
    <row r="268" spans="1:13" x14ac:dyDescent="0.35">
      <c r="A268" s="227" t="s">
        <v>713</v>
      </c>
      <c r="B268" s="9">
        <v>46112</v>
      </c>
      <c r="C268" s="93" t="s">
        <v>202</v>
      </c>
      <c r="D268" s="93" t="s">
        <v>688</v>
      </c>
      <c r="E268" s="226">
        <v>9065435577</v>
      </c>
      <c r="F268" s="93" t="str">
        <f>'Membership Level'!A12</f>
        <v>Swimming Moth</v>
      </c>
      <c r="G268" s="93" t="s">
        <v>248</v>
      </c>
      <c r="H268" s="75">
        <v>4000</v>
      </c>
      <c r="I268" s="75">
        <v>4000</v>
      </c>
      <c r="J268" s="61">
        <f t="shared" si="4"/>
        <v>0</v>
      </c>
      <c r="K268" s="9">
        <v>46112</v>
      </c>
      <c r="L268" s="59">
        <f>DATE(YEAR(K268),MONTH(K268)+VLOOKUP($F268,'Membership Level'!$A$3:$B$15,2,FALSE),DAY(K268))</f>
        <v>46143</v>
      </c>
      <c r="M268" s="58">
        <v>3</v>
      </c>
    </row>
    <row r="269" spans="1:13" s="261" customFormat="1" x14ac:dyDescent="0.35">
      <c r="A269" s="255" t="s">
        <v>714</v>
      </c>
      <c r="B269" s="268">
        <v>46112</v>
      </c>
      <c r="C269" s="260" t="s">
        <v>738</v>
      </c>
      <c r="D269" s="260" t="s">
        <v>316</v>
      </c>
      <c r="E269" s="257">
        <v>7739936283</v>
      </c>
      <c r="F269" s="260" t="str">
        <f>'Membership Level'!A14</f>
        <v>Swimming HY</v>
      </c>
      <c r="G269" s="260" t="s">
        <v>739</v>
      </c>
      <c r="H269" s="266">
        <v>17000</v>
      </c>
      <c r="I269" s="266">
        <v>17000</v>
      </c>
      <c r="J269" s="267">
        <f t="shared" si="4"/>
        <v>0</v>
      </c>
      <c r="K269" s="268">
        <v>46112</v>
      </c>
      <c r="L269" s="268">
        <f>DATE(YEAR(K269),MONTH(K269)+VLOOKUP($F269,'Membership Level'!$A$3:$B$15,2,FALSE),DAY(K269))</f>
        <v>46296</v>
      </c>
      <c r="M269" s="269">
        <v>3</v>
      </c>
    </row>
    <row r="270" spans="1:13" s="261" customFormat="1" x14ac:dyDescent="0.35">
      <c r="A270" s="255" t="s">
        <v>715</v>
      </c>
      <c r="B270" s="268">
        <v>46112</v>
      </c>
      <c r="C270" s="260" t="s">
        <v>738</v>
      </c>
      <c r="D270" s="260" t="s">
        <v>737</v>
      </c>
      <c r="E270" s="257">
        <v>7739936283</v>
      </c>
      <c r="F270" s="260" t="str">
        <f>'Membership Level'!A14</f>
        <v>Swimming HY</v>
      </c>
      <c r="G270" s="260" t="s">
        <v>739</v>
      </c>
      <c r="H270" s="266">
        <v>17000</v>
      </c>
      <c r="I270" s="266">
        <v>17000</v>
      </c>
      <c r="J270" s="267">
        <f t="shared" si="4"/>
        <v>0</v>
      </c>
      <c r="K270" s="268">
        <v>46112</v>
      </c>
      <c r="L270" s="268">
        <f>DATE(YEAR(K270),MONTH(K270)+VLOOKUP($F270,'Membership Level'!$A$3:$B$15,2,FALSE),DAY(K270))</f>
        <v>46296</v>
      </c>
      <c r="M270" s="269">
        <v>3</v>
      </c>
    </row>
    <row r="271" spans="1:13" x14ac:dyDescent="0.35">
      <c r="A271" s="227" t="s">
        <v>716</v>
      </c>
      <c r="B271" s="9">
        <v>46112</v>
      </c>
      <c r="C271" s="93" t="s">
        <v>333</v>
      </c>
      <c r="D271" s="93" t="s">
        <v>740</v>
      </c>
      <c r="E271" s="226">
        <v>8271562083</v>
      </c>
      <c r="F271" s="93" t="str">
        <f>'Membership Level'!A12</f>
        <v>Swimming Moth</v>
      </c>
      <c r="G271" s="93" t="s">
        <v>455</v>
      </c>
      <c r="H271" s="75">
        <v>2800</v>
      </c>
      <c r="I271" s="75">
        <v>2800</v>
      </c>
      <c r="J271" s="61">
        <f t="shared" si="4"/>
        <v>0</v>
      </c>
      <c r="K271" s="9">
        <v>46112</v>
      </c>
      <c r="L271" s="59">
        <f>DATE(YEAR(K271),MONTH(K271)+VLOOKUP($F271,'Membership Level'!$A$3:$B$15,2,FALSE),DAY(K271))</f>
        <v>46143</v>
      </c>
      <c r="M271" s="58">
        <v>3</v>
      </c>
    </row>
    <row r="272" spans="1:13" x14ac:dyDescent="0.35">
      <c r="A272" s="227" t="s">
        <v>717</v>
      </c>
      <c r="B272" s="9">
        <v>46112</v>
      </c>
      <c r="C272" s="93"/>
      <c r="D272" s="93" t="s">
        <v>760</v>
      </c>
      <c r="E272" s="226">
        <v>9065649781</v>
      </c>
      <c r="F272" s="93" t="str">
        <f>'Membership Level'!A12</f>
        <v>Swimming Moth</v>
      </c>
      <c r="G272" s="93" t="s">
        <v>297</v>
      </c>
      <c r="H272" s="75">
        <v>3000</v>
      </c>
      <c r="I272" s="75">
        <v>3000</v>
      </c>
      <c r="J272" s="61">
        <f t="shared" si="4"/>
        <v>0</v>
      </c>
      <c r="K272" s="300">
        <v>46143</v>
      </c>
      <c r="L272" s="300">
        <v>46174</v>
      </c>
      <c r="M272" s="58"/>
    </row>
    <row r="273" spans="1:13" x14ac:dyDescent="0.35">
      <c r="A273" s="227" t="s">
        <v>718</v>
      </c>
      <c r="B273" s="9">
        <v>46112</v>
      </c>
      <c r="C273" s="93"/>
      <c r="D273" s="93" t="s">
        <v>741</v>
      </c>
      <c r="E273" s="226">
        <v>8725003744</v>
      </c>
      <c r="F273" s="93" t="str">
        <f>'Membership Level'!A12</f>
        <v>Swimming Moth</v>
      </c>
      <c r="G273" s="93" t="s">
        <v>308</v>
      </c>
      <c r="H273" s="75">
        <v>3500</v>
      </c>
      <c r="I273" s="75">
        <v>3500</v>
      </c>
      <c r="J273" s="61">
        <f t="shared" si="4"/>
        <v>0</v>
      </c>
      <c r="K273" s="9">
        <v>46112</v>
      </c>
      <c r="L273" s="59">
        <f>DATE(YEAR(K273),MONTH(K273)+VLOOKUP($F273,'Membership Level'!$A$3:$B$15,2,FALSE),DAY(K273))</f>
        <v>46143</v>
      </c>
      <c r="M273" s="58">
        <v>3</v>
      </c>
    </row>
    <row r="274" spans="1:13" x14ac:dyDescent="0.35">
      <c r="A274" s="227" t="s">
        <v>719</v>
      </c>
      <c r="B274" s="9">
        <v>46112</v>
      </c>
      <c r="C274" s="93" t="s">
        <v>743</v>
      </c>
      <c r="D274" s="93" t="s">
        <v>742</v>
      </c>
      <c r="E274" s="226">
        <v>7000179235</v>
      </c>
      <c r="F274" s="93" t="str">
        <f>'Membership Level'!A12</f>
        <v>Swimming Moth</v>
      </c>
      <c r="G274" s="93" t="s">
        <v>297</v>
      </c>
      <c r="H274" s="75">
        <v>3300</v>
      </c>
      <c r="I274" s="75">
        <v>3300</v>
      </c>
      <c r="J274" s="61">
        <f t="shared" si="4"/>
        <v>0</v>
      </c>
      <c r="K274" s="9">
        <v>46173</v>
      </c>
      <c r="L274" s="59">
        <f>DATE(YEAR(K274),MONTH(K274)+VLOOKUP($F274,'Membership Level'!$A$3:$B$15,2,FALSE),DAY(K274))</f>
        <v>46204</v>
      </c>
      <c r="M274" s="58">
        <v>3</v>
      </c>
    </row>
    <row r="275" spans="1:13" x14ac:dyDescent="0.35">
      <c r="A275" s="227" t="s">
        <v>720</v>
      </c>
      <c r="B275" s="9">
        <v>46112</v>
      </c>
      <c r="C275" s="93"/>
      <c r="D275" s="93" t="s">
        <v>744</v>
      </c>
      <c r="E275" s="226">
        <v>9308899882</v>
      </c>
      <c r="F275" s="93" t="str">
        <f>'Membership Level'!A12</f>
        <v>Swimming Moth</v>
      </c>
      <c r="G275" s="93" t="s">
        <v>248</v>
      </c>
      <c r="H275" s="75">
        <v>4000</v>
      </c>
      <c r="I275" s="75">
        <v>4000</v>
      </c>
      <c r="J275" s="61">
        <f t="shared" si="4"/>
        <v>0</v>
      </c>
      <c r="K275" s="300">
        <v>46143</v>
      </c>
      <c r="L275" s="300">
        <f>DATE(YEAR(K275),MONTH(K275)+VLOOKUP($F275,'Membership Level'!$A$3:$B$15,2,FALSE),DAY(K275))</f>
        <v>46174</v>
      </c>
      <c r="M275" s="58">
        <v>3</v>
      </c>
    </row>
    <row r="276" spans="1:13" s="82" customFormat="1" x14ac:dyDescent="0.35">
      <c r="A276" s="227" t="s">
        <v>721</v>
      </c>
      <c r="B276" s="9">
        <v>46112</v>
      </c>
      <c r="C276" s="93"/>
      <c r="D276" s="93" t="s">
        <v>745</v>
      </c>
      <c r="E276" s="226">
        <v>8130877587</v>
      </c>
      <c r="F276" s="93" t="str">
        <f>'Membership Level'!A12</f>
        <v>Swimming Moth</v>
      </c>
      <c r="G276" s="93" t="s">
        <v>308</v>
      </c>
      <c r="H276" s="75">
        <v>3800</v>
      </c>
      <c r="I276" s="75">
        <v>3800</v>
      </c>
      <c r="J276" s="61">
        <f t="shared" si="4"/>
        <v>0</v>
      </c>
      <c r="K276" s="9">
        <v>46112</v>
      </c>
      <c r="L276" s="59">
        <f>DATE(YEAR(K276),MONTH(K276)+VLOOKUP($F276,'Membership Level'!$A$3:$B$15,2,FALSE),DAY(K276))</f>
        <v>46143</v>
      </c>
      <c r="M276" s="58">
        <v>3</v>
      </c>
    </row>
    <row r="277" spans="1:13" x14ac:dyDescent="0.35">
      <c r="A277" s="227" t="s">
        <v>722</v>
      </c>
      <c r="B277" s="9">
        <v>46112</v>
      </c>
      <c r="C277" s="93"/>
      <c r="D277" s="93" t="s">
        <v>746</v>
      </c>
      <c r="E277" s="226">
        <v>7633863696</v>
      </c>
      <c r="F277" s="93" t="str">
        <f>'Membership Level'!A12</f>
        <v>Swimming Moth</v>
      </c>
      <c r="G277" s="93" t="s">
        <v>248</v>
      </c>
      <c r="H277" s="75">
        <v>4400</v>
      </c>
      <c r="I277" s="75">
        <v>4400</v>
      </c>
      <c r="J277" s="61">
        <f t="shared" si="4"/>
        <v>0</v>
      </c>
      <c r="K277" s="9">
        <v>46112</v>
      </c>
      <c r="L277" s="59">
        <f>DATE(YEAR(K277),MONTH(K277)+VLOOKUP($F277,'Membership Level'!$A$3:$B$15,2,FALSE),DAY(K277))</f>
        <v>46143</v>
      </c>
      <c r="M277" s="58">
        <v>3</v>
      </c>
    </row>
    <row r="278" spans="1:13" x14ac:dyDescent="0.35">
      <c r="A278" s="227" t="s">
        <v>723</v>
      </c>
      <c r="B278" s="9">
        <v>46112</v>
      </c>
      <c r="C278" s="93" t="s">
        <v>202</v>
      </c>
      <c r="D278" s="93" t="s">
        <v>747</v>
      </c>
      <c r="E278" s="226">
        <v>6201920364</v>
      </c>
      <c r="F278" s="93" t="str">
        <f>'Membership Level'!A12</f>
        <v>Swimming Moth</v>
      </c>
      <c r="G278" s="93" t="s">
        <v>248</v>
      </c>
      <c r="H278" s="75">
        <v>4400</v>
      </c>
      <c r="I278" s="75">
        <v>4400</v>
      </c>
      <c r="J278" s="61">
        <f t="shared" si="4"/>
        <v>0</v>
      </c>
      <c r="K278" s="300">
        <v>46143</v>
      </c>
      <c r="L278" s="300">
        <f>DATE(YEAR(K278),MONTH(K278)+VLOOKUP($F278,'Membership Level'!$A$3:$B$15,2,FALSE),DAY(K278))</f>
        <v>46174</v>
      </c>
      <c r="M278" s="58">
        <v>3</v>
      </c>
    </row>
    <row r="279" spans="1:13" x14ac:dyDescent="0.35">
      <c r="A279" s="227" t="s">
        <v>724</v>
      </c>
      <c r="B279" s="9">
        <v>46112</v>
      </c>
      <c r="C279" s="93" t="s">
        <v>749</v>
      </c>
      <c r="D279" s="93" t="s">
        <v>748</v>
      </c>
      <c r="E279" s="226">
        <v>9471873016</v>
      </c>
      <c r="F279" s="93" t="str">
        <f>'Membership Level'!A12</f>
        <v>Swimming Moth</v>
      </c>
      <c r="G279" s="93" t="s">
        <v>248</v>
      </c>
      <c r="H279" s="75">
        <v>3300</v>
      </c>
      <c r="I279" s="75">
        <v>3300</v>
      </c>
      <c r="J279" s="61">
        <f t="shared" si="4"/>
        <v>0</v>
      </c>
      <c r="K279" s="300">
        <v>46155</v>
      </c>
      <c r="L279" s="300">
        <f>DATE(YEAR(K279),MONTH(K279)+VLOOKUP($F279,'Membership Level'!$A$3:$B$15,2,FALSE),DAY(K279))</f>
        <v>46186</v>
      </c>
      <c r="M279" s="58">
        <v>3</v>
      </c>
    </row>
    <row r="280" spans="1:13" x14ac:dyDescent="0.35">
      <c r="A280" s="227" t="s">
        <v>725</v>
      </c>
      <c r="B280" s="9">
        <v>46112</v>
      </c>
      <c r="C280" s="93"/>
      <c r="D280" s="93" t="s">
        <v>761</v>
      </c>
      <c r="E280" s="226">
        <v>8725003744</v>
      </c>
      <c r="F280" s="93" t="str">
        <f>'Membership Level'!A12</f>
        <v>Swimming Moth</v>
      </c>
      <c r="G280" s="93" t="s">
        <v>308</v>
      </c>
      <c r="H280" s="75">
        <v>3500</v>
      </c>
      <c r="I280" s="75">
        <v>3500</v>
      </c>
      <c r="J280" s="61">
        <f t="shared" si="4"/>
        <v>0</v>
      </c>
      <c r="K280" s="9">
        <v>46112</v>
      </c>
      <c r="L280" s="59">
        <f>DATE(YEAR(K280),MONTH(K280)+VLOOKUP($F280,'Membership Level'!$A$3:$B$15,2,FALSE),DAY(K280))</f>
        <v>46143</v>
      </c>
      <c r="M280" s="58">
        <v>3</v>
      </c>
    </row>
    <row r="281" spans="1:13" x14ac:dyDescent="0.35">
      <c r="A281" s="227" t="s">
        <v>750</v>
      </c>
      <c r="B281" s="9">
        <v>46112</v>
      </c>
      <c r="C281" s="93"/>
      <c r="D281" s="93" t="s">
        <v>762</v>
      </c>
      <c r="E281" s="226">
        <v>8873141433</v>
      </c>
      <c r="F281" s="93" t="str">
        <f>'Membership Level'!A12</f>
        <v>Swimming Moth</v>
      </c>
      <c r="G281" s="93" t="s">
        <v>308</v>
      </c>
      <c r="H281" s="75">
        <v>3500</v>
      </c>
      <c r="I281" s="75">
        <v>3500</v>
      </c>
      <c r="J281" s="61">
        <f t="shared" si="4"/>
        <v>0</v>
      </c>
      <c r="K281" s="9">
        <v>46112</v>
      </c>
      <c r="L281" s="59">
        <f>DATE(YEAR(K281),MONTH(K281)+VLOOKUP($F281,'Membership Level'!$A$3:$B$15,2,FALSE),DAY(K281))</f>
        <v>46143</v>
      </c>
      <c r="M281" s="58">
        <v>3</v>
      </c>
    </row>
    <row r="282" spans="1:13" x14ac:dyDescent="0.35">
      <c r="A282" s="227" t="s">
        <v>751</v>
      </c>
      <c r="B282" s="244">
        <v>46112</v>
      </c>
      <c r="C282" s="93" t="s">
        <v>764</v>
      </c>
      <c r="D282" s="93" t="s">
        <v>763</v>
      </c>
      <c r="E282" s="226">
        <v>8789397902</v>
      </c>
      <c r="F282" s="93" t="str">
        <f>'Membership Level'!A12</f>
        <v>Swimming Moth</v>
      </c>
      <c r="G282" s="93" t="s">
        <v>455</v>
      </c>
      <c r="H282" s="75">
        <v>2800</v>
      </c>
      <c r="I282" s="75">
        <v>2800</v>
      </c>
      <c r="J282" s="61">
        <f t="shared" si="4"/>
        <v>0</v>
      </c>
      <c r="K282" s="9">
        <v>46112</v>
      </c>
      <c r="L282" s="59">
        <f>DATE(YEAR(K282),MONTH(K282)+VLOOKUP($F282,'Membership Level'!$A$3:$B$15,2,FALSE),DAY(K282))</f>
        <v>46143</v>
      </c>
      <c r="M282" s="58">
        <v>3</v>
      </c>
    </row>
    <row r="283" spans="1:13" x14ac:dyDescent="0.35">
      <c r="A283" s="227" t="s">
        <v>752</v>
      </c>
      <c r="B283" s="244">
        <v>46112</v>
      </c>
      <c r="C283" s="93" t="s">
        <v>766</v>
      </c>
      <c r="D283" s="93" t="s">
        <v>765</v>
      </c>
      <c r="E283" s="226">
        <v>7979724566</v>
      </c>
      <c r="F283" s="93" t="str">
        <f>'Membership Level'!A12</f>
        <v>Swimming Moth</v>
      </c>
      <c r="G283" s="93" t="s">
        <v>463</v>
      </c>
      <c r="H283" s="75">
        <v>2000</v>
      </c>
      <c r="I283" s="75">
        <v>2000</v>
      </c>
      <c r="J283" s="61">
        <f t="shared" si="4"/>
        <v>0</v>
      </c>
      <c r="K283" s="9">
        <v>46112</v>
      </c>
      <c r="L283" s="59">
        <f>DATE(YEAR(K283),MONTH(K283)+VLOOKUP($F283,'Membership Level'!$A$3:$B$15,2,FALSE),DAY(K283))</f>
        <v>46143</v>
      </c>
      <c r="M283" s="58">
        <v>3</v>
      </c>
    </row>
    <row r="284" spans="1:13" x14ac:dyDescent="0.35">
      <c r="A284" s="227" t="s">
        <v>753</v>
      </c>
      <c r="B284" s="244">
        <v>46113</v>
      </c>
      <c r="C284" s="93" t="s">
        <v>30</v>
      </c>
      <c r="D284" s="93" t="s">
        <v>776</v>
      </c>
      <c r="E284" s="226">
        <v>9868607919</v>
      </c>
      <c r="F284" s="93" t="str">
        <f>'Membership Level'!A12</f>
        <v>Swimming Moth</v>
      </c>
      <c r="G284" s="93" t="s">
        <v>777</v>
      </c>
      <c r="H284" s="75">
        <v>2800</v>
      </c>
      <c r="I284" s="75">
        <v>2800</v>
      </c>
      <c r="J284" s="61">
        <f t="shared" si="4"/>
        <v>0</v>
      </c>
      <c r="K284" s="300">
        <v>46143</v>
      </c>
      <c r="L284" s="300">
        <f>DATE(YEAR(K284),MONTH(K284)+VLOOKUP($F284,'Membership Level'!$A$3:$B$15,2,FALSE),DAY(K284))</f>
        <v>46174</v>
      </c>
      <c r="M284" s="58">
        <v>3</v>
      </c>
    </row>
    <row r="285" spans="1:13" x14ac:dyDescent="0.35">
      <c r="A285" s="227" t="s">
        <v>754</v>
      </c>
      <c r="B285" s="244">
        <v>46113</v>
      </c>
      <c r="C285" s="93" t="s">
        <v>249</v>
      </c>
      <c r="D285" s="93" t="s">
        <v>951</v>
      </c>
      <c r="E285" s="226">
        <v>7739139261</v>
      </c>
      <c r="F285" s="93" t="str">
        <f>'Membership Level'!A12</f>
        <v>Swimming Moth</v>
      </c>
      <c r="G285" s="93" t="s">
        <v>248</v>
      </c>
      <c r="H285" s="75">
        <v>3500</v>
      </c>
      <c r="I285" s="75">
        <v>1400</v>
      </c>
      <c r="J285" s="61">
        <f t="shared" si="4"/>
        <v>2100</v>
      </c>
      <c r="K285" s="9">
        <v>46113</v>
      </c>
      <c r="L285" s="59">
        <f>DATE(YEAR(K285),MONTH(K285)+VLOOKUP($F285,'Membership Level'!$A$3:$B$15,2,FALSE),DAY(K285))</f>
        <v>46143</v>
      </c>
      <c r="M285" s="58">
        <v>3</v>
      </c>
    </row>
    <row r="286" spans="1:13" x14ac:dyDescent="0.35">
      <c r="A286" s="227" t="s">
        <v>755</v>
      </c>
      <c r="B286" s="244">
        <v>46113</v>
      </c>
      <c r="C286" s="93" t="s">
        <v>333</v>
      </c>
      <c r="D286" s="93" t="s">
        <v>778</v>
      </c>
      <c r="E286" s="226">
        <v>7667896408</v>
      </c>
      <c r="F286" s="93" t="str">
        <f>'Membership Level'!A12</f>
        <v>Swimming Moth</v>
      </c>
      <c r="G286" s="93" t="s">
        <v>248</v>
      </c>
      <c r="H286" s="75">
        <v>3500</v>
      </c>
      <c r="I286" s="75">
        <v>1400</v>
      </c>
      <c r="J286" s="61">
        <f t="shared" si="4"/>
        <v>2100</v>
      </c>
      <c r="K286" s="9">
        <v>46113</v>
      </c>
      <c r="L286" s="59">
        <f>DATE(YEAR(K286),MONTH(K286)+VLOOKUP($F286,'Membership Level'!$A$3:$B$15,2,FALSE),DAY(K286))</f>
        <v>46143</v>
      </c>
      <c r="M286" s="58">
        <v>3</v>
      </c>
    </row>
    <row r="287" spans="1:13" x14ac:dyDescent="0.35">
      <c r="A287" s="227" t="s">
        <v>756</v>
      </c>
      <c r="B287" s="244">
        <v>46113</v>
      </c>
      <c r="C287" s="93" t="s">
        <v>30</v>
      </c>
      <c r="D287" s="93" t="s">
        <v>779</v>
      </c>
      <c r="E287" s="226">
        <v>8789370388</v>
      </c>
      <c r="F287" s="93" t="str">
        <f>'Membership Level'!A12</f>
        <v>Swimming Moth</v>
      </c>
      <c r="G287" s="93" t="s">
        <v>248</v>
      </c>
      <c r="H287" s="75">
        <v>3500</v>
      </c>
      <c r="I287" s="75">
        <v>1400</v>
      </c>
      <c r="J287" s="61">
        <f t="shared" si="4"/>
        <v>2100</v>
      </c>
      <c r="K287" s="9">
        <v>46113</v>
      </c>
      <c r="L287" s="59">
        <f>DATE(YEAR(K287),MONTH(K287)+VLOOKUP($F287,'Membership Level'!$A$3:$B$15,2,FALSE),DAY(K287))</f>
        <v>46143</v>
      </c>
      <c r="M287" s="58">
        <v>3</v>
      </c>
    </row>
    <row r="288" spans="1:13" x14ac:dyDescent="0.35">
      <c r="A288" s="227" t="s">
        <v>757</v>
      </c>
      <c r="B288" s="244">
        <v>46113</v>
      </c>
      <c r="C288" s="93" t="s">
        <v>333</v>
      </c>
      <c r="D288" s="93" t="s">
        <v>780</v>
      </c>
      <c r="E288" s="226">
        <v>8252159692</v>
      </c>
      <c r="F288" s="93" t="str">
        <f>'Membership Level'!A12</f>
        <v>Swimming Moth</v>
      </c>
      <c r="G288" s="93" t="s">
        <v>248</v>
      </c>
      <c r="H288" s="75">
        <v>3500</v>
      </c>
      <c r="I288" s="75">
        <v>1400</v>
      </c>
      <c r="J288" s="61">
        <f t="shared" si="4"/>
        <v>2100</v>
      </c>
      <c r="K288" s="9">
        <v>46113</v>
      </c>
      <c r="L288" s="59">
        <f>DATE(YEAR(K288),MONTH(K288)+VLOOKUP($F288,'Membership Level'!$A$3:$B$15,2,FALSE),DAY(K288))</f>
        <v>46143</v>
      </c>
      <c r="M288" s="58">
        <v>3</v>
      </c>
    </row>
    <row r="289" spans="1:13" x14ac:dyDescent="0.35">
      <c r="A289" s="227" t="s">
        <v>758</v>
      </c>
      <c r="B289" s="244">
        <v>46113</v>
      </c>
      <c r="C289" s="93" t="s">
        <v>249</v>
      </c>
      <c r="D289" s="93" t="s">
        <v>781</v>
      </c>
      <c r="E289" s="226">
        <v>6203734546</v>
      </c>
      <c r="F289" s="93" t="str">
        <f>'Membership Level'!A12</f>
        <v>Swimming Moth</v>
      </c>
      <c r="G289" s="93" t="s">
        <v>248</v>
      </c>
      <c r="H289" s="75">
        <v>3500</v>
      </c>
      <c r="I289" s="75">
        <v>1400</v>
      </c>
      <c r="J289" s="61">
        <f t="shared" si="4"/>
        <v>2100</v>
      </c>
      <c r="K289" s="9">
        <v>46113</v>
      </c>
      <c r="L289" s="59">
        <f>DATE(YEAR(K289),MONTH(K289)+VLOOKUP($F289,'Membership Level'!$A$3:$B$15,2,FALSE),DAY(K289))</f>
        <v>46143</v>
      </c>
      <c r="M289" s="58">
        <v>3</v>
      </c>
    </row>
    <row r="290" spans="1:13" x14ac:dyDescent="0.35">
      <c r="A290" s="227" t="s">
        <v>759</v>
      </c>
      <c r="B290" s="244">
        <v>46113</v>
      </c>
      <c r="C290" s="93" t="s">
        <v>333</v>
      </c>
      <c r="D290" s="93" t="s">
        <v>782</v>
      </c>
      <c r="E290" s="226">
        <v>9826470062</v>
      </c>
      <c r="F290" s="93" t="str">
        <f>'Membership Level'!A12</f>
        <v>Swimming Moth</v>
      </c>
      <c r="G290" s="93" t="s">
        <v>455</v>
      </c>
      <c r="H290" s="75">
        <v>2800</v>
      </c>
      <c r="I290" s="75">
        <v>2800</v>
      </c>
      <c r="J290" s="61">
        <f t="shared" si="4"/>
        <v>0</v>
      </c>
      <c r="K290" s="300">
        <v>46143</v>
      </c>
      <c r="L290" s="300">
        <f>DATE(YEAR(K290),MONTH(K290)+VLOOKUP($F290,'Membership Level'!$A$3:$B$15,2,FALSE),DAY(K290))</f>
        <v>46174</v>
      </c>
      <c r="M290" s="58">
        <v>3</v>
      </c>
    </row>
    <row r="291" spans="1:13" x14ac:dyDescent="0.35">
      <c r="A291" s="227" t="s">
        <v>767</v>
      </c>
      <c r="B291" s="244">
        <v>46113</v>
      </c>
      <c r="C291" s="93" t="s">
        <v>783</v>
      </c>
      <c r="D291" s="93" t="s">
        <v>784</v>
      </c>
      <c r="E291" s="226">
        <v>8873141433</v>
      </c>
      <c r="F291" s="93" t="str">
        <f>'Membership Level'!A12</f>
        <v>Swimming Moth</v>
      </c>
      <c r="G291" s="93" t="s">
        <v>248</v>
      </c>
      <c r="H291" s="75">
        <v>4000</v>
      </c>
      <c r="I291" s="75">
        <v>4000</v>
      </c>
      <c r="J291" s="61">
        <f t="shared" si="4"/>
        <v>0</v>
      </c>
      <c r="K291" s="9">
        <v>46113</v>
      </c>
      <c r="L291" s="59">
        <f>DATE(YEAR(K291),MONTH(K291)+VLOOKUP($F291,'Membership Level'!$A$3:$B$15,2,FALSE),DAY(K291))</f>
        <v>46143</v>
      </c>
      <c r="M291" s="58">
        <v>3</v>
      </c>
    </row>
    <row r="292" spans="1:13" x14ac:dyDescent="0.35">
      <c r="A292" s="227" t="s">
        <v>768</v>
      </c>
      <c r="B292" s="244">
        <v>46113</v>
      </c>
      <c r="C292" s="93" t="s">
        <v>786</v>
      </c>
      <c r="D292" s="93" t="s">
        <v>785</v>
      </c>
      <c r="E292" s="226">
        <v>8873141433</v>
      </c>
      <c r="F292" s="93" t="str">
        <f>'Membership Level'!A12</f>
        <v>Swimming Moth</v>
      </c>
      <c r="G292" s="93" t="s">
        <v>370</v>
      </c>
      <c r="H292" s="75">
        <v>3500</v>
      </c>
      <c r="I292" s="75">
        <v>3500</v>
      </c>
      <c r="J292" s="61">
        <f t="shared" si="4"/>
        <v>0</v>
      </c>
      <c r="K292" s="9">
        <v>46113</v>
      </c>
      <c r="L292" s="59">
        <f>DATE(YEAR(K292),MONTH(K292)+VLOOKUP($F292,'Membership Level'!$A$3:$B$15,2,FALSE),DAY(K292))</f>
        <v>46143</v>
      </c>
      <c r="M292" s="58">
        <v>3</v>
      </c>
    </row>
    <row r="293" spans="1:13" x14ac:dyDescent="0.35">
      <c r="A293" s="227" t="s">
        <v>769</v>
      </c>
      <c r="B293" s="244">
        <v>46113</v>
      </c>
      <c r="C293" s="93" t="s">
        <v>333</v>
      </c>
      <c r="D293" s="93" t="s">
        <v>788</v>
      </c>
      <c r="E293" s="226">
        <v>9631986791</v>
      </c>
      <c r="F293" s="93" t="str">
        <f>'Membership Level'!A12</f>
        <v>Swimming Moth</v>
      </c>
      <c r="G293" s="93" t="s">
        <v>308</v>
      </c>
      <c r="H293" s="75">
        <v>3500</v>
      </c>
      <c r="I293" s="75">
        <v>3500</v>
      </c>
      <c r="J293" s="61">
        <f t="shared" si="4"/>
        <v>0</v>
      </c>
      <c r="K293" s="9">
        <v>46113</v>
      </c>
      <c r="L293" s="59">
        <f>DATE(YEAR(K293),MONTH(K293)+VLOOKUP($F293,'Membership Level'!$A$3:$B$15,2,FALSE),DAY(K293))</f>
        <v>46143</v>
      </c>
      <c r="M293" s="58">
        <v>3</v>
      </c>
    </row>
    <row r="294" spans="1:13" x14ac:dyDescent="0.35">
      <c r="A294" s="227" t="s">
        <v>770</v>
      </c>
      <c r="B294" s="244">
        <v>46113</v>
      </c>
      <c r="C294" s="93" t="s">
        <v>333</v>
      </c>
      <c r="D294" s="93" t="s">
        <v>491</v>
      </c>
      <c r="E294" s="226">
        <v>9631986791</v>
      </c>
      <c r="F294" s="93" t="str">
        <f>'Membership Level'!A12</f>
        <v>Swimming Moth</v>
      </c>
      <c r="G294" s="93" t="s">
        <v>308</v>
      </c>
      <c r="H294" s="75">
        <v>3500</v>
      </c>
      <c r="I294" s="75">
        <v>3500</v>
      </c>
      <c r="J294" s="61">
        <f t="shared" si="4"/>
        <v>0</v>
      </c>
      <c r="K294" s="9">
        <v>46113</v>
      </c>
      <c r="L294" s="59">
        <f>DATE(YEAR(K294),MONTH(K294)+VLOOKUP($F294,'Membership Level'!$A$3:$B$15,2,FALSE),DAY(K294))</f>
        <v>46143</v>
      </c>
      <c r="M294" s="58">
        <v>3</v>
      </c>
    </row>
    <row r="295" spans="1:13" x14ac:dyDescent="0.35">
      <c r="A295" s="227" t="s">
        <v>771</v>
      </c>
      <c r="B295" s="244">
        <v>46113</v>
      </c>
      <c r="C295" s="93" t="s">
        <v>32</v>
      </c>
      <c r="D295" s="93" t="s">
        <v>789</v>
      </c>
      <c r="E295" s="226">
        <v>9631986791</v>
      </c>
      <c r="F295" s="93" t="str">
        <f>'Membership Level'!A12</f>
        <v>Swimming Moth</v>
      </c>
      <c r="G295" s="93" t="s">
        <v>248</v>
      </c>
      <c r="H295" s="75">
        <v>4000</v>
      </c>
      <c r="I295" s="75">
        <v>4000</v>
      </c>
      <c r="J295" s="61">
        <f t="shared" si="4"/>
        <v>0</v>
      </c>
      <c r="K295" s="9">
        <v>46113</v>
      </c>
      <c r="L295" s="59">
        <f>DATE(YEAR(K295),MONTH(K295)+VLOOKUP($F295,'Membership Level'!$A$3:$B$15,2,FALSE),DAY(K295))</f>
        <v>46143</v>
      </c>
      <c r="M295" s="58">
        <v>3</v>
      </c>
    </row>
    <row r="296" spans="1:13" x14ac:dyDescent="0.35">
      <c r="A296" s="227" t="s">
        <v>772</v>
      </c>
      <c r="B296" s="244">
        <v>46113</v>
      </c>
      <c r="C296" s="93" t="s">
        <v>202</v>
      </c>
      <c r="D296" s="93" t="s">
        <v>790</v>
      </c>
      <c r="E296" s="226">
        <v>7677370738</v>
      </c>
      <c r="F296" s="93" t="str">
        <f>'Membership Level'!A12</f>
        <v>Swimming Moth</v>
      </c>
      <c r="G296" s="93" t="s">
        <v>297</v>
      </c>
      <c r="H296" s="75">
        <v>3000</v>
      </c>
      <c r="I296" s="75">
        <v>3000</v>
      </c>
      <c r="J296" s="61">
        <f t="shared" si="4"/>
        <v>0</v>
      </c>
      <c r="K296" s="9">
        <v>46113</v>
      </c>
      <c r="L296" s="59">
        <f>DATE(YEAR(K296),MONTH(K296)+VLOOKUP($F296,'Membership Level'!$A$3:$B$15,2,FALSE),DAY(K296))</f>
        <v>46143</v>
      </c>
      <c r="M296" s="58">
        <v>3</v>
      </c>
    </row>
    <row r="297" spans="1:13" x14ac:dyDescent="0.35">
      <c r="A297" s="227" t="s">
        <v>773</v>
      </c>
      <c r="B297" s="244">
        <v>46113</v>
      </c>
      <c r="C297" s="93" t="s">
        <v>792</v>
      </c>
      <c r="D297" s="93" t="s">
        <v>791</v>
      </c>
      <c r="E297" s="226">
        <v>8527987346</v>
      </c>
      <c r="F297" s="93" t="str">
        <f>'Membership Level'!A12</f>
        <v>Swimming Moth</v>
      </c>
      <c r="G297" s="93" t="s">
        <v>297</v>
      </c>
      <c r="H297" s="75">
        <v>3000</v>
      </c>
      <c r="I297" s="75">
        <v>3000</v>
      </c>
      <c r="J297" s="61">
        <f t="shared" si="4"/>
        <v>0</v>
      </c>
      <c r="K297" s="9">
        <v>46113</v>
      </c>
      <c r="L297" s="59">
        <f>DATE(YEAR(K297),MONTH(K297)+VLOOKUP($F297,'Membership Level'!$A$3:$B$15,2,FALSE),DAY(K297))</f>
        <v>46143</v>
      </c>
      <c r="M297" s="58">
        <v>3</v>
      </c>
    </row>
    <row r="298" spans="1:13" x14ac:dyDescent="0.35">
      <c r="A298" s="227" t="s">
        <v>774</v>
      </c>
      <c r="B298" s="244">
        <v>46113</v>
      </c>
      <c r="C298" s="93" t="s">
        <v>787</v>
      </c>
      <c r="D298" s="93" t="s">
        <v>366</v>
      </c>
      <c r="E298" s="226">
        <v>9807189239</v>
      </c>
      <c r="F298" s="93" t="str">
        <f>'Membership Level'!A12</f>
        <v>Swimming Moth</v>
      </c>
      <c r="G298" s="93" t="s">
        <v>455</v>
      </c>
      <c r="H298" s="75">
        <v>2800</v>
      </c>
      <c r="I298" s="75">
        <v>2800</v>
      </c>
      <c r="J298" s="61">
        <f t="shared" si="4"/>
        <v>0</v>
      </c>
      <c r="K298" s="9">
        <v>46113</v>
      </c>
      <c r="L298" s="59">
        <f>DATE(YEAR(K298),MONTH(K298)+VLOOKUP($F298,'Membership Level'!$A$3:$B$15,2,FALSE),DAY(K298))</f>
        <v>46143</v>
      </c>
      <c r="M298" s="58">
        <v>3</v>
      </c>
    </row>
    <row r="299" spans="1:13" x14ac:dyDescent="0.35">
      <c r="A299" s="227" t="s">
        <v>793</v>
      </c>
      <c r="B299" s="244">
        <v>46114</v>
      </c>
      <c r="C299" s="93" t="s">
        <v>333</v>
      </c>
      <c r="D299" s="93" t="s">
        <v>813</v>
      </c>
      <c r="E299" s="226">
        <v>9661626476</v>
      </c>
      <c r="F299" s="93" t="str">
        <f>'Membership Level'!A12</f>
        <v>Swimming Moth</v>
      </c>
      <c r="G299" s="93" t="s">
        <v>308</v>
      </c>
      <c r="H299" s="75">
        <v>3500</v>
      </c>
      <c r="I299" s="75">
        <v>3500</v>
      </c>
      <c r="J299" s="61">
        <f t="shared" si="4"/>
        <v>0</v>
      </c>
      <c r="K299" s="300">
        <v>46144</v>
      </c>
      <c r="L299" s="300">
        <f>DATE(YEAR(K299),MONTH(K299)+VLOOKUP($F299,'Membership Level'!$A$3:$B$15,2,FALSE),DAY(K299))</f>
        <v>46175</v>
      </c>
      <c r="M299" s="58">
        <v>3</v>
      </c>
    </row>
    <row r="300" spans="1:13" x14ac:dyDescent="0.35">
      <c r="A300" s="227"/>
      <c r="B300" s="244"/>
      <c r="C300" s="93"/>
      <c r="D300" s="93"/>
      <c r="E300" s="226"/>
      <c r="F300" s="93"/>
      <c r="G300" s="93"/>
      <c r="H300" s="75"/>
      <c r="I300" s="75"/>
      <c r="J300" s="61"/>
      <c r="K300" s="9"/>
      <c r="L300" s="59"/>
      <c r="M300" s="58">
        <v>3</v>
      </c>
    </row>
    <row r="301" spans="1:13" x14ac:dyDescent="0.35">
      <c r="A301" s="227"/>
      <c r="B301" s="244"/>
      <c r="C301" s="93"/>
      <c r="D301" s="93"/>
      <c r="E301" s="226"/>
      <c r="F301" s="93"/>
      <c r="G301" s="93"/>
      <c r="H301" s="75"/>
      <c r="I301" s="75"/>
      <c r="J301" s="61"/>
      <c r="K301" s="9"/>
      <c r="L301" s="59"/>
      <c r="M301" s="58">
        <v>3</v>
      </c>
    </row>
    <row r="302" spans="1:13" x14ac:dyDescent="0.35">
      <c r="A302" s="227" t="s">
        <v>794</v>
      </c>
      <c r="B302" s="244">
        <v>46114</v>
      </c>
      <c r="C302" s="93" t="s">
        <v>618</v>
      </c>
      <c r="D302" s="93" t="s">
        <v>495</v>
      </c>
      <c r="E302" s="226">
        <v>9725831347</v>
      </c>
      <c r="F302" s="93" t="str">
        <f>'Membership Level'!A12</f>
        <v>Swimming Moth</v>
      </c>
      <c r="G302" s="93" t="s">
        <v>463</v>
      </c>
      <c r="H302" s="75">
        <v>2000</v>
      </c>
      <c r="I302" s="75">
        <v>2000</v>
      </c>
      <c r="J302" s="61">
        <f t="shared" si="4"/>
        <v>0</v>
      </c>
      <c r="K302" s="300">
        <v>46144</v>
      </c>
      <c r="L302" s="300">
        <f>DATE(YEAR(K302),MONTH(K302)+VLOOKUP($F302,'Membership Level'!$A$3:$B$15,2,FALSE),DAY(K302))</f>
        <v>46175</v>
      </c>
      <c r="M302" s="58">
        <v>3</v>
      </c>
    </row>
    <row r="303" spans="1:13" x14ac:dyDescent="0.35">
      <c r="A303" s="227" t="s">
        <v>795</v>
      </c>
      <c r="B303" s="244">
        <v>46114</v>
      </c>
      <c r="C303" s="93" t="s">
        <v>821</v>
      </c>
      <c r="D303" s="93" t="s">
        <v>820</v>
      </c>
      <c r="E303" s="226">
        <v>7209003164</v>
      </c>
      <c r="F303" s="93" t="str">
        <f>'Membership Level'!A12</f>
        <v>Swimming Moth</v>
      </c>
      <c r="G303" s="93" t="s">
        <v>455</v>
      </c>
      <c r="H303" s="75">
        <v>2800</v>
      </c>
      <c r="I303" s="75">
        <v>2800</v>
      </c>
      <c r="J303" s="61">
        <f t="shared" si="4"/>
        <v>0</v>
      </c>
      <c r="K303" s="9">
        <v>46114</v>
      </c>
      <c r="L303" s="59">
        <f>DATE(YEAR(K303),MONTH(K303)+VLOOKUP($F303,'Membership Level'!$A$3:$B$15,2,FALSE),DAY(K303))</f>
        <v>46144</v>
      </c>
      <c r="M303" s="58">
        <v>3</v>
      </c>
    </row>
    <row r="304" spans="1:13" s="6" customFormat="1" x14ac:dyDescent="0.35">
      <c r="A304" s="227" t="s">
        <v>796</v>
      </c>
      <c r="B304" s="244">
        <v>46114</v>
      </c>
      <c r="C304" s="93" t="s">
        <v>249</v>
      </c>
      <c r="D304" s="93" t="s">
        <v>464</v>
      </c>
      <c r="E304" s="226">
        <v>7542857777</v>
      </c>
      <c r="F304" s="93" t="str">
        <f>'Membership Level'!A12</f>
        <v>Swimming Moth</v>
      </c>
      <c r="G304" s="93" t="s">
        <v>306</v>
      </c>
      <c r="H304" s="75">
        <v>2000</v>
      </c>
      <c r="I304" s="75">
        <v>2000</v>
      </c>
      <c r="J304" s="61">
        <f t="shared" si="4"/>
        <v>0</v>
      </c>
      <c r="K304" s="9">
        <v>46114</v>
      </c>
      <c r="L304" s="59">
        <f>DATE(YEAR(K304),MONTH(K304)+VLOOKUP($F304,'Membership Level'!$A$3:$B$15,2,FALSE),DAY(K304))</f>
        <v>46144</v>
      </c>
      <c r="M304" s="62">
        <v>3</v>
      </c>
    </row>
    <row r="305" spans="1:13" x14ac:dyDescent="0.35">
      <c r="A305" s="227" t="s">
        <v>797</v>
      </c>
      <c r="B305" s="244">
        <v>46114</v>
      </c>
      <c r="C305" s="93" t="s">
        <v>202</v>
      </c>
      <c r="D305" s="93" t="s">
        <v>819</v>
      </c>
      <c r="E305" s="226">
        <v>7542857777</v>
      </c>
      <c r="F305" s="93" t="str">
        <f>'Membership Level'!A12</f>
        <v>Swimming Moth</v>
      </c>
      <c r="G305" s="93" t="s">
        <v>306</v>
      </c>
      <c r="H305" s="75">
        <v>2000</v>
      </c>
      <c r="I305" s="75">
        <v>2000</v>
      </c>
      <c r="J305" s="61">
        <f t="shared" si="4"/>
        <v>0</v>
      </c>
      <c r="K305" s="9">
        <v>46114</v>
      </c>
      <c r="L305" s="59">
        <f>DATE(YEAR(K305),MONTH(K305)+VLOOKUP($F305,'Membership Level'!$A$3:$B$15,2,FALSE),DAY(K305))</f>
        <v>46144</v>
      </c>
      <c r="M305" s="58">
        <v>3</v>
      </c>
    </row>
    <row r="306" spans="1:13" x14ac:dyDescent="0.35">
      <c r="A306" s="227" t="s">
        <v>798</v>
      </c>
      <c r="B306" s="244">
        <v>46114</v>
      </c>
      <c r="C306" s="93" t="s">
        <v>680</v>
      </c>
      <c r="D306" s="93" t="s">
        <v>818</v>
      </c>
      <c r="E306" s="226">
        <v>9205721907</v>
      </c>
      <c r="F306" s="93" t="str">
        <f>'Membership Level'!A12</f>
        <v>Swimming Moth</v>
      </c>
      <c r="G306" s="93" t="s">
        <v>308</v>
      </c>
      <c r="H306" s="75">
        <v>3500</v>
      </c>
      <c r="I306" s="75">
        <v>3500</v>
      </c>
      <c r="J306" s="61">
        <f t="shared" si="4"/>
        <v>0</v>
      </c>
      <c r="K306" s="300">
        <v>46144</v>
      </c>
      <c r="L306" s="300">
        <f>DATE(YEAR(K306),MONTH(K306)+VLOOKUP($F306,'Membership Level'!$A$3:$B$15,2,FALSE),DAY(K306))</f>
        <v>46175</v>
      </c>
      <c r="M306" s="58">
        <v>3</v>
      </c>
    </row>
    <row r="307" spans="1:13" x14ac:dyDescent="0.35">
      <c r="A307" s="227" t="s">
        <v>799</v>
      </c>
      <c r="B307" s="244">
        <v>46114</v>
      </c>
      <c r="C307" s="93" t="s">
        <v>817</v>
      </c>
      <c r="D307" s="93" t="s">
        <v>816</v>
      </c>
      <c r="E307" s="226">
        <v>9334753731</v>
      </c>
      <c r="F307" s="93" t="str">
        <f>'Membership Level'!A12</f>
        <v>Swimming Moth</v>
      </c>
      <c r="G307" s="93" t="s">
        <v>248</v>
      </c>
      <c r="H307" s="75">
        <v>4000</v>
      </c>
      <c r="I307" s="75">
        <v>4000</v>
      </c>
      <c r="J307" s="61">
        <f t="shared" si="4"/>
        <v>0</v>
      </c>
      <c r="K307" s="9">
        <v>46114</v>
      </c>
      <c r="L307" s="59">
        <f>DATE(YEAR(K307),MONTH(K307)+VLOOKUP($F307,'Membership Level'!$A$3:$B$15,2,FALSE),DAY(K307))</f>
        <v>46144</v>
      </c>
      <c r="M307" s="58">
        <v>3</v>
      </c>
    </row>
    <row r="308" spans="1:13" s="261" customFormat="1" x14ac:dyDescent="0.35">
      <c r="A308" s="255" t="s">
        <v>800</v>
      </c>
      <c r="B308" s="263">
        <v>46114</v>
      </c>
      <c r="C308" s="260"/>
      <c r="D308" s="260" t="s">
        <v>815</v>
      </c>
      <c r="E308" s="257">
        <v>9431459947</v>
      </c>
      <c r="F308" s="260" t="str">
        <f>'Membership Level'!A13</f>
        <v>Swimming Qty</v>
      </c>
      <c r="G308" s="260" t="s">
        <v>216</v>
      </c>
      <c r="H308" s="266">
        <v>11000</v>
      </c>
      <c r="I308" s="266">
        <v>11000</v>
      </c>
      <c r="J308" s="267">
        <f t="shared" si="4"/>
        <v>0</v>
      </c>
      <c r="K308" s="268">
        <v>46114</v>
      </c>
      <c r="L308" s="268">
        <f>DATE(YEAR(K308),MONTH(K308)+VLOOKUP($F308,'Membership Level'!$A$3:$B$15,2,FALSE),DAY(K308))</f>
        <v>46205</v>
      </c>
      <c r="M308" s="269">
        <v>3</v>
      </c>
    </row>
    <row r="309" spans="1:13" s="261" customFormat="1" x14ac:dyDescent="0.35">
      <c r="A309" s="255" t="s">
        <v>801</v>
      </c>
      <c r="B309" s="263">
        <v>46114</v>
      </c>
      <c r="C309" s="260"/>
      <c r="D309" s="260" t="s">
        <v>822</v>
      </c>
      <c r="E309" s="257">
        <v>9560939718</v>
      </c>
      <c r="F309" s="260" t="str">
        <f>'Membership Level'!A13</f>
        <v>Swimming Qty</v>
      </c>
      <c r="G309" s="260" t="s">
        <v>824</v>
      </c>
      <c r="H309" s="266">
        <v>7000</v>
      </c>
      <c r="I309" s="266">
        <v>3500</v>
      </c>
      <c r="J309" s="267">
        <f t="shared" si="4"/>
        <v>3500</v>
      </c>
      <c r="K309" s="268">
        <v>46114</v>
      </c>
      <c r="L309" s="268">
        <f>DATE(YEAR(K309),MONTH(K309)+VLOOKUP($F309,'Membership Level'!$A$3:$B$15,2,FALSE),DAY(K309))</f>
        <v>46205</v>
      </c>
      <c r="M309" s="269">
        <v>3</v>
      </c>
    </row>
    <row r="310" spans="1:13" s="261" customFormat="1" x14ac:dyDescent="0.35">
      <c r="A310" s="255" t="s">
        <v>802</v>
      </c>
      <c r="B310" s="263">
        <v>46114</v>
      </c>
      <c r="C310" s="260"/>
      <c r="D310" s="260" t="s">
        <v>823</v>
      </c>
      <c r="E310" s="257">
        <v>9560939718</v>
      </c>
      <c r="F310" s="260" t="str">
        <f>'Membership Level'!A13</f>
        <v>Swimming Qty</v>
      </c>
      <c r="G310" s="260" t="s">
        <v>824</v>
      </c>
      <c r="H310" s="266">
        <v>7000</v>
      </c>
      <c r="I310" s="266">
        <v>3500</v>
      </c>
      <c r="J310" s="267">
        <f t="shared" si="4"/>
        <v>3500</v>
      </c>
      <c r="K310" s="268">
        <v>46114</v>
      </c>
      <c r="L310" s="268">
        <f>DATE(YEAR(K310),MONTH(K310)+VLOOKUP($F310,'Membership Level'!$A$3:$B$15,2,FALSE),DAY(K310))</f>
        <v>46205</v>
      </c>
      <c r="M310" s="269">
        <v>3</v>
      </c>
    </row>
    <row r="311" spans="1:13" x14ac:dyDescent="0.35">
      <c r="A311" s="227" t="s">
        <v>803</v>
      </c>
      <c r="B311" s="59">
        <v>46115</v>
      </c>
      <c r="C311" s="93" t="s">
        <v>333</v>
      </c>
      <c r="D311" s="93" t="s">
        <v>825</v>
      </c>
      <c r="E311" s="226">
        <v>7001469621</v>
      </c>
      <c r="F311" s="93" t="str">
        <f>'Membership Level'!A12</f>
        <v>Swimming Moth</v>
      </c>
      <c r="G311" s="93" t="s">
        <v>308</v>
      </c>
      <c r="H311" s="75">
        <v>3500</v>
      </c>
      <c r="I311" s="75">
        <v>3500</v>
      </c>
      <c r="J311" s="61">
        <f t="shared" si="4"/>
        <v>0</v>
      </c>
      <c r="K311" s="9">
        <v>46115</v>
      </c>
      <c r="L311" s="59">
        <f>DATE(YEAR(K311),MONTH(K311)+VLOOKUP($F311,'Membership Level'!$A$3:$B$15,2,FALSE),DAY(K311))</f>
        <v>46145</v>
      </c>
      <c r="M311" s="58">
        <v>3</v>
      </c>
    </row>
    <row r="312" spans="1:13" s="82" customFormat="1" x14ac:dyDescent="0.35">
      <c r="A312" s="227" t="s">
        <v>804</v>
      </c>
      <c r="B312" s="59">
        <v>46115</v>
      </c>
      <c r="C312" s="93" t="s">
        <v>30</v>
      </c>
      <c r="D312" s="93" t="s">
        <v>1359</v>
      </c>
      <c r="E312" s="226">
        <v>7001469621</v>
      </c>
      <c r="F312" s="93" t="str">
        <f>'Membership Level'!A12</f>
        <v>Swimming Moth</v>
      </c>
      <c r="G312" s="93" t="s">
        <v>308</v>
      </c>
      <c r="H312" s="75">
        <v>3500</v>
      </c>
      <c r="I312" s="75">
        <v>3500</v>
      </c>
      <c r="J312" s="61">
        <f t="shared" si="4"/>
        <v>0</v>
      </c>
      <c r="K312" s="9">
        <v>46115</v>
      </c>
      <c r="L312" s="59">
        <f>DATE(YEAR(K312),MONTH(K312)+VLOOKUP($F312,'Membership Level'!$A$3:$B$15,2,FALSE),DAY(K312))</f>
        <v>46145</v>
      </c>
      <c r="M312" s="58">
        <v>3</v>
      </c>
    </row>
    <row r="313" spans="1:13" x14ac:dyDescent="0.35">
      <c r="A313" s="227" t="s">
        <v>805</v>
      </c>
      <c r="B313" s="59">
        <v>46115</v>
      </c>
      <c r="C313" s="93" t="s">
        <v>493</v>
      </c>
      <c r="D313" s="93" t="s">
        <v>281</v>
      </c>
      <c r="E313" s="226">
        <v>7488216460</v>
      </c>
      <c r="F313" s="93" t="str">
        <f>'Membership Level'!A12</f>
        <v>Swimming Moth</v>
      </c>
      <c r="G313" s="93" t="s">
        <v>308</v>
      </c>
      <c r="H313" s="75">
        <v>3500</v>
      </c>
      <c r="I313" s="75">
        <v>3500</v>
      </c>
      <c r="J313" s="61">
        <f t="shared" si="4"/>
        <v>0</v>
      </c>
      <c r="K313" s="300">
        <v>46145</v>
      </c>
      <c r="L313" s="300">
        <f>DATE(YEAR(K313),MONTH(K313)+VLOOKUP($F313,'Membership Level'!$A$3:$B$15,2,FALSE),DAY(K313))</f>
        <v>46176</v>
      </c>
      <c r="M313" s="58">
        <v>3</v>
      </c>
    </row>
    <row r="314" spans="1:13" x14ac:dyDescent="0.35">
      <c r="A314" s="227" t="s">
        <v>806</v>
      </c>
      <c r="B314" s="59">
        <v>46115</v>
      </c>
      <c r="C314" s="93" t="s">
        <v>333</v>
      </c>
      <c r="D314" s="93" t="s">
        <v>826</v>
      </c>
      <c r="E314" s="226">
        <v>9554135692</v>
      </c>
      <c r="F314" s="93" t="str">
        <f>'Membership Level'!A12</f>
        <v>Swimming Moth</v>
      </c>
      <c r="G314" s="93" t="s">
        <v>455</v>
      </c>
      <c r="H314" s="75">
        <v>2800</v>
      </c>
      <c r="I314" s="75">
        <v>2800</v>
      </c>
      <c r="J314" s="61">
        <f t="shared" si="4"/>
        <v>0</v>
      </c>
      <c r="K314" s="300">
        <v>46146</v>
      </c>
      <c r="L314" s="300">
        <f>DATE(YEAR(K314),MONTH(K314)+VLOOKUP($F314,'Membership Level'!$A$3:$B$15,2,FALSE),DAY(K314))</f>
        <v>46177</v>
      </c>
      <c r="M314" s="58">
        <v>3</v>
      </c>
    </row>
    <row r="315" spans="1:13" s="10" customFormat="1" x14ac:dyDescent="0.35">
      <c r="A315" s="227" t="s">
        <v>807</v>
      </c>
      <c r="B315" s="59">
        <v>46115</v>
      </c>
      <c r="C315" s="93" t="s">
        <v>333</v>
      </c>
      <c r="D315" s="93" t="s">
        <v>827</v>
      </c>
      <c r="E315" s="226">
        <v>9554135692</v>
      </c>
      <c r="F315" s="93" t="str">
        <f>'Membership Level'!A12</f>
        <v>Swimming Moth</v>
      </c>
      <c r="G315" s="93" t="s">
        <v>379</v>
      </c>
      <c r="H315" s="75">
        <v>2800</v>
      </c>
      <c r="I315" s="75">
        <v>2800</v>
      </c>
      <c r="J315" s="61">
        <f t="shared" si="4"/>
        <v>0</v>
      </c>
      <c r="K315" s="300">
        <v>46146</v>
      </c>
      <c r="L315" s="300">
        <f>DATE(YEAR(K315),MONTH(K315)+VLOOKUP($F315,'Membership Level'!$A$3:$B$15,2,FALSE),DAY(K315))</f>
        <v>46177</v>
      </c>
      <c r="M315" s="58">
        <v>3</v>
      </c>
    </row>
    <row r="316" spans="1:13" x14ac:dyDescent="0.35">
      <c r="A316" s="227" t="s">
        <v>808</v>
      </c>
      <c r="B316" s="59">
        <v>46115</v>
      </c>
      <c r="C316" s="93" t="s">
        <v>333</v>
      </c>
      <c r="D316" s="93" t="s">
        <v>316</v>
      </c>
      <c r="E316" s="226">
        <v>8292349998</v>
      </c>
      <c r="F316" s="93" t="str">
        <f>'Membership Level'!A12</f>
        <v>Swimming Moth</v>
      </c>
      <c r="G316" s="93" t="s">
        <v>455</v>
      </c>
      <c r="H316" s="75">
        <v>2800</v>
      </c>
      <c r="I316" s="75">
        <v>2800</v>
      </c>
      <c r="J316" s="61">
        <f t="shared" si="4"/>
        <v>0</v>
      </c>
      <c r="K316" s="9">
        <v>46115</v>
      </c>
      <c r="L316" s="59">
        <f>DATE(YEAR(K316),MONTH(K316)+VLOOKUP($F316,'Membership Level'!$A$3:$B$15,2,FALSE),DAY(K316))</f>
        <v>46145</v>
      </c>
      <c r="M316" s="58">
        <v>3</v>
      </c>
    </row>
    <row r="317" spans="1:13" x14ac:dyDescent="0.35">
      <c r="A317" s="227" t="s">
        <v>809</v>
      </c>
      <c r="B317" s="59">
        <v>46115</v>
      </c>
      <c r="C317" s="93" t="s">
        <v>783</v>
      </c>
      <c r="D317" s="93" t="s">
        <v>828</v>
      </c>
      <c r="E317" s="226">
        <v>7761035111</v>
      </c>
      <c r="F317" s="93" t="str">
        <f>'Membership Level'!A12</f>
        <v>Swimming Moth</v>
      </c>
      <c r="G317" s="93" t="s">
        <v>248</v>
      </c>
      <c r="H317" s="75">
        <v>4000</v>
      </c>
      <c r="I317" s="75">
        <v>4000</v>
      </c>
      <c r="J317" s="61">
        <f t="shared" si="4"/>
        <v>0</v>
      </c>
      <c r="K317" s="300">
        <v>46145</v>
      </c>
      <c r="L317" s="300">
        <v>46176</v>
      </c>
      <c r="M317" s="58">
        <v>3</v>
      </c>
    </row>
    <row r="318" spans="1:13" x14ac:dyDescent="0.35">
      <c r="A318" s="227" t="s">
        <v>810</v>
      </c>
      <c r="B318" s="59">
        <v>46115</v>
      </c>
      <c r="C318" s="93" t="s">
        <v>577</v>
      </c>
      <c r="D318" s="93" t="s">
        <v>829</v>
      </c>
      <c r="E318" s="226">
        <v>7376761415</v>
      </c>
      <c r="F318" s="93" t="str">
        <f>'Membership Level'!A12</f>
        <v>Swimming Moth</v>
      </c>
      <c r="G318" s="93" t="s">
        <v>297</v>
      </c>
      <c r="H318" s="75">
        <v>3000</v>
      </c>
      <c r="I318" s="75">
        <v>3000</v>
      </c>
      <c r="J318" s="61">
        <f t="shared" si="4"/>
        <v>0</v>
      </c>
      <c r="K318" s="9">
        <v>46115</v>
      </c>
      <c r="L318" s="59">
        <f>DATE(YEAR(K318),MONTH(K318)+VLOOKUP($F318,'Membership Level'!$A$3:$B$15,2,FALSE),DAY(K318))</f>
        <v>46145</v>
      </c>
      <c r="M318" s="58">
        <v>3</v>
      </c>
    </row>
    <row r="319" spans="1:13" x14ac:dyDescent="0.35">
      <c r="A319" s="227" t="s">
        <v>811</v>
      </c>
      <c r="B319" s="59">
        <v>46115</v>
      </c>
      <c r="C319" s="93" t="s">
        <v>577</v>
      </c>
      <c r="D319" s="93" t="s">
        <v>830</v>
      </c>
      <c r="E319" s="226">
        <v>7376761415</v>
      </c>
      <c r="F319" s="93" t="str">
        <f>'Membership Level'!A12</f>
        <v>Swimming Moth</v>
      </c>
      <c r="G319" s="93" t="s">
        <v>297</v>
      </c>
      <c r="H319" s="75">
        <v>3000</v>
      </c>
      <c r="I319" s="75">
        <v>3000</v>
      </c>
      <c r="J319" s="61">
        <f t="shared" si="4"/>
        <v>0</v>
      </c>
      <c r="K319" s="9">
        <v>46115</v>
      </c>
      <c r="L319" s="59">
        <f>DATE(YEAR(K319),MONTH(K319)+VLOOKUP($F319,'Membership Level'!$A$3:$B$15,2,FALSE),DAY(K319))</f>
        <v>46145</v>
      </c>
      <c r="M319" s="58">
        <v>3</v>
      </c>
    </row>
    <row r="320" spans="1:13" x14ac:dyDescent="0.35">
      <c r="A320" s="227" t="s">
        <v>812</v>
      </c>
      <c r="B320" s="59">
        <v>46116</v>
      </c>
      <c r="C320" s="93" t="s">
        <v>861</v>
      </c>
      <c r="D320" s="93" t="s">
        <v>860</v>
      </c>
      <c r="E320" s="226">
        <v>8252633944</v>
      </c>
      <c r="F320" s="93" t="str">
        <f>'Membership Level'!A12</f>
        <v>Swimming Moth</v>
      </c>
      <c r="G320" s="93" t="s">
        <v>463</v>
      </c>
      <c r="H320" s="75">
        <v>2200</v>
      </c>
      <c r="I320" s="75">
        <v>2200</v>
      </c>
      <c r="J320" s="61">
        <f t="shared" si="4"/>
        <v>0</v>
      </c>
      <c r="K320" s="9">
        <v>46116</v>
      </c>
      <c r="L320" s="59">
        <f>DATE(YEAR(K320),MONTH(K320)+VLOOKUP($F320,'Membership Level'!$A$3:$B$15,2,FALSE),DAY(K320))</f>
        <v>46146</v>
      </c>
      <c r="M320" s="58">
        <v>3</v>
      </c>
    </row>
    <row r="321" spans="1:13" s="295" customFormat="1" x14ac:dyDescent="0.35">
      <c r="A321" s="289" t="s">
        <v>831</v>
      </c>
      <c r="B321" s="290">
        <v>46116</v>
      </c>
      <c r="C321" s="288" t="s">
        <v>461</v>
      </c>
      <c r="D321" s="288" t="s">
        <v>862</v>
      </c>
      <c r="E321" s="291">
        <v>8757611245</v>
      </c>
      <c r="F321" s="288" t="str">
        <f>'Membership Level'!A13</f>
        <v>Swimming Qty</v>
      </c>
      <c r="G321" s="288" t="s">
        <v>824</v>
      </c>
      <c r="H321" s="292">
        <v>7500</v>
      </c>
      <c r="I321" s="292">
        <v>7500</v>
      </c>
      <c r="J321" s="293">
        <f t="shared" si="4"/>
        <v>0</v>
      </c>
      <c r="K321" s="290">
        <v>46116</v>
      </c>
      <c r="L321" s="290">
        <f>DATE(YEAR(K321),MONTH(K321)+VLOOKUP($F321,'Membership Level'!$A$3:$B$15,2,FALSE),DAY(K321))</f>
        <v>46207</v>
      </c>
      <c r="M321" s="294">
        <v>3</v>
      </c>
    </row>
    <row r="322" spans="1:13" s="173" customFormat="1" x14ac:dyDescent="0.35">
      <c r="A322" s="227" t="s">
        <v>832</v>
      </c>
      <c r="B322" s="9">
        <v>46116</v>
      </c>
      <c r="C322" s="93" t="s">
        <v>333</v>
      </c>
      <c r="D322" s="93" t="s">
        <v>863</v>
      </c>
      <c r="E322" s="226">
        <v>6299413312</v>
      </c>
      <c r="F322" s="93" t="str">
        <f>'Membership Level'!A12</f>
        <v>Swimming Moth</v>
      </c>
      <c r="G322" s="93" t="s">
        <v>248</v>
      </c>
      <c r="H322" s="75">
        <v>3900</v>
      </c>
      <c r="I322" s="75">
        <v>3900</v>
      </c>
      <c r="J322" s="61">
        <f t="shared" si="4"/>
        <v>0</v>
      </c>
      <c r="K322" s="300">
        <v>46146</v>
      </c>
      <c r="L322" s="300">
        <f>DATE(YEAR(K322),MONTH(K322)+VLOOKUP($F322,'Membership Level'!$A$3:$B$15,2,FALSE),DAY(K322))</f>
        <v>46177</v>
      </c>
      <c r="M322" s="172">
        <v>3</v>
      </c>
    </row>
    <row r="323" spans="1:13" x14ac:dyDescent="0.35">
      <c r="A323" s="227" t="s">
        <v>833</v>
      </c>
      <c r="B323" s="9">
        <v>46116</v>
      </c>
      <c r="C323" s="93"/>
      <c r="D323" s="93" t="s">
        <v>593</v>
      </c>
      <c r="E323" s="226">
        <v>6299413312</v>
      </c>
      <c r="F323" s="93" t="str">
        <f>'Membership Level'!A12</f>
        <v>Swimming Moth</v>
      </c>
      <c r="G323" s="93" t="s">
        <v>248</v>
      </c>
      <c r="H323" s="75">
        <v>3900</v>
      </c>
      <c r="I323" s="75">
        <v>3900</v>
      </c>
      <c r="J323" s="61">
        <f t="shared" si="4"/>
        <v>0</v>
      </c>
      <c r="K323" s="300">
        <v>46146</v>
      </c>
      <c r="L323" s="300">
        <f>DATE(YEAR(K323),MONTH(K323)+VLOOKUP($F323,'Membership Level'!$A$3:$B$15,2,FALSE),DAY(K323))</f>
        <v>46177</v>
      </c>
      <c r="M323" s="58">
        <v>3</v>
      </c>
    </row>
    <row r="324" spans="1:13" x14ac:dyDescent="0.35">
      <c r="A324" s="227" t="s">
        <v>834</v>
      </c>
      <c r="B324" s="9">
        <v>46116</v>
      </c>
      <c r="C324" s="93" t="s">
        <v>567</v>
      </c>
      <c r="D324" s="93" t="s">
        <v>202</v>
      </c>
      <c r="E324" s="226">
        <v>9004974701</v>
      </c>
      <c r="F324" s="93" t="str">
        <f>'Membership Level'!A12</f>
        <v>Swimming Moth</v>
      </c>
      <c r="G324" s="93" t="s">
        <v>248</v>
      </c>
      <c r="H324" s="75">
        <v>4000</v>
      </c>
      <c r="I324" s="75">
        <v>4000</v>
      </c>
      <c r="J324" s="61">
        <f t="shared" si="4"/>
        <v>0</v>
      </c>
      <c r="K324" s="9">
        <v>46116</v>
      </c>
      <c r="L324" s="59">
        <f>DATE(YEAR(K324),MONTH(K324)+VLOOKUP($F324,'Membership Level'!$A$3:$B$15,2,FALSE),DAY(K324))</f>
        <v>46146</v>
      </c>
      <c r="M324" s="58">
        <v>3</v>
      </c>
    </row>
    <row r="325" spans="1:13" s="295" customFormat="1" x14ac:dyDescent="0.35">
      <c r="A325" s="289" t="s">
        <v>835</v>
      </c>
      <c r="B325" s="290">
        <v>46116</v>
      </c>
      <c r="C325" s="288" t="s">
        <v>222</v>
      </c>
      <c r="D325" s="288" t="s">
        <v>605</v>
      </c>
      <c r="E325" s="291">
        <v>9650573612</v>
      </c>
      <c r="F325" s="288" t="str">
        <f>'Membership Level'!A13</f>
        <v>Swimming Qty</v>
      </c>
      <c r="G325" s="288" t="s">
        <v>701</v>
      </c>
      <c r="H325" s="292">
        <v>5500</v>
      </c>
      <c r="I325" s="292">
        <v>5500</v>
      </c>
      <c r="J325" s="293">
        <f t="shared" si="4"/>
        <v>0</v>
      </c>
      <c r="K325" s="290">
        <v>46116</v>
      </c>
      <c r="L325" s="290">
        <f>DATE(YEAR(K325),MONTH(K325)+VLOOKUP($F325,'Membership Level'!$A$3:$B$15,2,FALSE),DAY(K325))</f>
        <v>46207</v>
      </c>
      <c r="M325" s="294">
        <v>3</v>
      </c>
    </row>
    <row r="326" spans="1:13" s="295" customFormat="1" x14ac:dyDescent="0.35">
      <c r="A326" s="289" t="s">
        <v>836</v>
      </c>
      <c r="B326" s="290">
        <v>46116</v>
      </c>
      <c r="C326" s="288"/>
      <c r="D326" s="288" t="s">
        <v>865</v>
      </c>
      <c r="E326" s="291">
        <v>7295995611</v>
      </c>
      <c r="F326" s="288" t="str">
        <f>'Membership Level'!A13</f>
        <v>Swimming Qty</v>
      </c>
      <c r="G326" s="288" t="s">
        <v>824</v>
      </c>
      <c r="H326" s="292">
        <v>7500</v>
      </c>
      <c r="I326" s="292">
        <v>7500</v>
      </c>
      <c r="J326" s="293">
        <f t="shared" si="4"/>
        <v>0</v>
      </c>
      <c r="K326" s="290">
        <v>46116</v>
      </c>
      <c r="L326" s="290">
        <f>DATE(YEAR(K326),MONTH(K326)+VLOOKUP($F326,'Membership Level'!$A$3:$B$15,2,FALSE),DAY(K326))</f>
        <v>46207</v>
      </c>
      <c r="M326" s="294">
        <v>3</v>
      </c>
    </row>
    <row r="327" spans="1:13" s="295" customFormat="1" x14ac:dyDescent="0.35">
      <c r="A327" s="289" t="s">
        <v>837</v>
      </c>
      <c r="B327" s="290">
        <v>46116</v>
      </c>
      <c r="C327" s="288" t="s">
        <v>249</v>
      </c>
      <c r="D327" s="288" t="s">
        <v>491</v>
      </c>
      <c r="E327" s="291">
        <v>7992413107</v>
      </c>
      <c r="F327" s="288" t="str">
        <f>'Membership Level'!A13</f>
        <v>Swimming Qty</v>
      </c>
      <c r="G327" s="288" t="s">
        <v>732</v>
      </c>
      <c r="H327" s="292">
        <v>10000</v>
      </c>
      <c r="I327" s="292">
        <v>7000</v>
      </c>
      <c r="J327" s="293">
        <f t="shared" si="4"/>
        <v>3000</v>
      </c>
      <c r="K327" s="290">
        <v>46116</v>
      </c>
      <c r="L327" s="290">
        <f>DATE(YEAR(K327),MONTH(K327)+VLOOKUP($F327,'Membership Level'!$A$3:$B$15,2,FALSE),DAY(K327))</f>
        <v>46207</v>
      </c>
      <c r="M327" s="294">
        <v>3</v>
      </c>
    </row>
    <row r="328" spans="1:13" x14ac:dyDescent="0.35">
      <c r="A328" s="227" t="s">
        <v>838</v>
      </c>
      <c r="B328" s="9">
        <v>46116</v>
      </c>
      <c r="C328" s="93" t="s">
        <v>867</v>
      </c>
      <c r="D328" s="93" t="s">
        <v>866</v>
      </c>
      <c r="E328" s="226">
        <v>8577828626</v>
      </c>
      <c r="F328" s="93" t="str">
        <f>'Membership Level'!A12</f>
        <v>Swimming Moth</v>
      </c>
      <c r="G328" s="93" t="s">
        <v>248</v>
      </c>
      <c r="H328" s="75">
        <v>4400</v>
      </c>
      <c r="I328" s="75">
        <v>4400</v>
      </c>
      <c r="J328" s="61">
        <f t="shared" si="4"/>
        <v>0</v>
      </c>
      <c r="K328" s="9">
        <v>46116</v>
      </c>
      <c r="L328" s="59">
        <f>DATE(YEAR(K328),MONTH(K328)+VLOOKUP($F328,'Membership Level'!$A$3:$B$15,2,FALSE),DAY(K328))</f>
        <v>46146</v>
      </c>
      <c r="M328" s="58">
        <v>3</v>
      </c>
    </row>
    <row r="329" spans="1:13" x14ac:dyDescent="0.35">
      <c r="A329" s="227" t="s">
        <v>839</v>
      </c>
      <c r="B329" s="9">
        <v>46116</v>
      </c>
      <c r="C329" s="93" t="s">
        <v>869</v>
      </c>
      <c r="D329" s="93" t="s">
        <v>868</v>
      </c>
      <c r="E329" s="226">
        <v>9110183430</v>
      </c>
      <c r="F329" s="93" t="str">
        <f>'Membership Level'!A12</f>
        <v>Swimming Moth</v>
      </c>
      <c r="G329" s="93" t="s">
        <v>308</v>
      </c>
      <c r="H329" s="75">
        <v>3500</v>
      </c>
      <c r="I329" s="75">
        <v>3500</v>
      </c>
      <c r="J329" s="61">
        <f t="shared" si="4"/>
        <v>0</v>
      </c>
      <c r="K329" s="9">
        <v>46116</v>
      </c>
      <c r="L329" s="59">
        <f>DATE(YEAR(K329),MONTH(K329)+VLOOKUP($F329,'Membership Level'!$A$3:$B$15,2,FALSE),DAY(K329))</f>
        <v>46146</v>
      </c>
      <c r="M329" s="58"/>
    </row>
    <row r="330" spans="1:13" x14ac:dyDescent="0.35">
      <c r="A330" s="227" t="s">
        <v>840</v>
      </c>
      <c r="B330" s="9">
        <v>46116</v>
      </c>
      <c r="C330" s="93" t="s">
        <v>869</v>
      </c>
      <c r="D330" s="93" t="s">
        <v>870</v>
      </c>
      <c r="E330" s="226">
        <v>9110183430</v>
      </c>
      <c r="F330" s="93" t="str">
        <f>'Membership Level'!A12</f>
        <v>Swimming Moth</v>
      </c>
      <c r="G330" s="93" t="s">
        <v>308</v>
      </c>
      <c r="H330" s="75">
        <v>3500</v>
      </c>
      <c r="I330" s="75">
        <v>3500</v>
      </c>
      <c r="J330" s="61">
        <f t="shared" si="4"/>
        <v>0</v>
      </c>
      <c r="K330" s="9">
        <v>46116</v>
      </c>
      <c r="L330" s="59">
        <f>DATE(YEAR(K330),MONTH(K330)+VLOOKUP($F330,'Membership Level'!$A$3:$B$15,2,FALSE),DAY(K330))</f>
        <v>46146</v>
      </c>
      <c r="M330" s="58">
        <v>3</v>
      </c>
    </row>
    <row r="331" spans="1:13" x14ac:dyDescent="0.35">
      <c r="A331" s="227" t="s">
        <v>841</v>
      </c>
      <c r="B331" s="59">
        <v>46117</v>
      </c>
      <c r="C331" s="93" t="s">
        <v>872</v>
      </c>
      <c r="D331" s="93" t="s">
        <v>871</v>
      </c>
      <c r="E331" s="226">
        <v>7764025889</v>
      </c>
      <c r="F331" s="93" t="str">
        <f>'Membership Level'!A12</f>
        <v>Swimming Moth</v>
      </c>
      <c r="G331" s="93" t="s">
        <v>248</v>
      </c>
      <c r="H331" s="75">
        <v>4000</v>
      </c>
      <c r="I331" s="75">
        <v>4000</v>
      </c>
      <c r="J331" s="61">
        <f t="shared" ref="J331:J394" si="5">H331-I331</f>
        <v>0</v>
      </c>
      <c r="K331" s="9">
        <v>46117</v>
      </c>
      <c r="L331" s="59">
        <f>DATE(YEAR(K331),MONTH(K331)+VLOOKUP($F331,'Membership Level'!$A$3:$B$15,2,FALSE),DAY(K331))</f>
        <v>46147</v>
      </c>
      <c r="M331" s="58">
        <v>3</v>
      </c>
    </row>
    <row r="332" spans="1:13" x14ac:dyDescent="0.35">
      <c r="A332" s="227" t="s">
        <v>842</v>
      </c>
      <c r="B332" s="59">
        <v>46117</v>
      </c>
      <c r="C332" s="93" t="s">
        <v>874</v>
      </c>
      <c r="D332" s="93" t="s">
        <v>873</v>
      </c>
      <c r="E332" s="226">
        <v>8084424339</v>
      </c>
      <c r="F332" s="93" t="str">
        <f>'Membership Level'!A12</f>
        <v>Swimming Moth</v>
      </c>
      <c r="G332" s="93" t="s">
        <v>455</v>
      </c>
      <c r="H332" s="75">
        <v>2800</v>
      </c>
      <c r="I332" s="75">
        <v>2800</v>
      </c>
      <c r="J332" s="61">
        <f t="shared" si="5"/>
        <v>0</v>
      </c>
      <c r="K332" s="300">
        <v>46147</v>
      </c>
      <c r="L332" s="300">
        <f>DATE(YEAR(K332),MONTH(K332)+VLOOKUP($F332,'Membership Level'!$A$3:$B$15,2,FALSE),DAY(K332))</f>
        <v>46178</v>
      </c>
      <c r="M332" s="58">
        <v>3</v>
      </c>
    </row>
    <row r="333" spans="1:13" x14ac:dyDescent="0.35">
      <c r="A333" s="227" t="s">
        <v>843</v>
      </c>
      <c r="B333" s="59">
        <v>46117</v>
      </c>
      <c r="C333" s="93" t="s">
        <v>467</v>
      </c>
      <c r="D333" s="93" t="s">
        <v>875</v>
      </c>
      <c r="E333" s="306">
        <v>8207766961</v>
      </c>
      <c r="F333" s="93" t="str">
        <f>'Membership Level'!A12</f>
        <v>Swimming Moth</v>
      </c>
      <c r="G333" s="93" t="s">
        <v>876</v>
      </c>
      <c r="H333" s="75">
        <v>3300</v>
      </c>
      <c r="I333" s="75">
        <v>3300</v>
      </c>
      <c r="J333" s="61">
        <f t="shared" si="5"/>
        <v>0</v>
      </c>
      <c r="K333" s="9">
        <v>46117</v>
      </c>
      <c r="L333" s="59">
        <f>DATE(YEAR(K333),MONTH(K333)+VLOOKUP($F333,'Membership Level'!$A$3:$B$15,2,FALSE),DAY(K333))</f>
        <v>46147</v>
      </c>
      <c r="M333" s="58">
        <v>3</v>
      </c>
    </row>
    <row r="334" spans="1:13" x14ac:dyDescent="0.35">
      <c r="A334" s="227" t="s">
        <v>844</v>
      </c>
      <c r="B334" s="59">
        <v>46117</v>
      </c>
      <c r="C334" s="93" t="s">
        <v>30</v>
      </c>
      <c r="D334" s="93" t="s">
        <v>889</v>
      </c>
      <c r="E334" s="306">
        <v>9798294141</v>
      </c>
      <c r="F334" s="93" t="str">
        <f>'Membership Level'!A12</f>
        <v>Swimming Moth</v>
      </c>
      <c r="G334" s="93" t="s">
        <v>876</v>
      </c>
      <c r="H334" s="75">
        <v>3300</v>
      </c>
      <c r="I334" s="75">
        <v>3300</v>
      </c>
      <c r="J334" s="61">
        <f t="shared" si="5"/>
        <v>0</v>
      </c>
      <c r="K334" s="9">
        <v>46117</v>
      </c>
      <c r="L334" s="59">
        <f>DATE(YEAR(K334),MONTH(K334)+VLOOKUP($F334,'Membership Level'!$A$3:$B$15,2,FALSE),DAY(K334))</f>
        <v>46147</v>
      </c>
      <c r="M334" s="58">
        <v>3</v>
      </c>
    </row>
    <row r="335" spans="1:13" x14ac:dyDescent="0.35">
      <c r="A335" s="227" t="s">
        <v>845</v>
      </c>
      <c r="B335" s="59">
        <v>46117</v>
      </c>
      <c r="C335" s="93" t="s">
        <v>877</v>
      </c>
      <c r="D335" s="93" t="s">
        <v>54</v>
      </c>
      <c r="E335" s="226">
        <v>8709117833</v>
      </c>
      <c r="F335" s="93" t="str">
        <f>'Membership Level'!A12</f>
        <v>Swimming Moth</v>
      </c>
      <c r="G335" s="93" t="s">
        <v>878</v>
      </c>
      <c r="H335" s="75">
        <v>2200</v>
      </c>
      <c r="I335" s="75">
        <v>2200</v>
      </c>
      <c r="J335" s="61">
        <f t="shared" si="5"/>
        <v>0</v>
      </c>
      <c r="K335" s="9">
        <v>46117</v>
      </c>
      <c r="L335" s="59">
        <f>DATE(YEAR(K335),MONTH(K335)+VLOOKUP($F335,'Membership Level'!$A$3:$B$15,2,FALSE),DAY(K335))</f>
        <v>46147</v>
      </c>
      <c r="M335" s="58">
        <v>3</v>
      </c>
    </row>
    <row r="336" spans="1:13" x14ac:dyDescent="0.35">
      <c r="A336" s="227" t="s">
        <v>846</v>
      </c>
      <c r="B336" s="59">
        <v>46117</v>
      </c>
      <c r="C336" s="93" t="s">
        <v>30</v>
      </c>
      <c r="D336" s="93" t="s">
        <v>879</v>
      </c>
      <c r="E336" s="226">
        <v>7061312810</v>
      </c>
      <c r="F336" s="93" t="str">
        <f>'Membership Level'!A12</f>
        <v>Swimming Moth</v>
      </c>
      <c r="G336" s="93" t="s">
        <v>880</v>
      </c>
      <c r="H336" s="75">
        <v>2800</v>
      </c>
      <c r="I336" s="75">
        <v>2800</v>
      </c>
      <c r="J336" s="61">
        <f t="shared" si="5"/>
        <v>0</v>
      </c>
      <c r="K336" s="300">
        <v>46147</v>
      </c>
      <c r="L336" s="300">
        <f>DATE(YEAR(K336),MONTH(K336)+VLOOKUP($F336,'Membership Level'!$A$3:$B$15,2,FALSE),DAY(K336))</f>
        <v>46178</v>
      </c>
      <c r="M336" s="58">
        <v>3</v>
      </c>
    </row>
    <row r="337" spans="1:13" x14ac:dyDescent="0.35">
      <c r="A337" s="227" t="s">
        <v>847</v>
      </c>
      <c r="B337" s="59">
        <v>46117</v>
      </c>
      <c r="C337" s="93" t="s">
        <v>882</v>
      </c>
      <c r="D337" s="93" t="s">
        <v>462</v>
      </c>
      <c r="E337" s="226">
        <v>9470657127</v>
      </c>
      <c r="F337" s="93" t="str">
        <f>'Membership Level'!A12</f>
        <v>Swimming Moth</v>
      </c>
      <c r="G337" s="93" t="s">
        <v>883</v>
      </c>
      <c r="H337" s="75">
        <v>2800</v>
      </c>
      <c r="I337" s="75">
        <v>2800</v>
      </c>
      <c r="J337" s="61">
        <f t="shared" si="5"/>
        <v>0</v>
      </c>
      <c r="K337" s="9">
        <v>46117</v>
      </c>
      <c r="L337" s="59">
        <f>DATE(YEAR(K337),MONTH(K337)+VLOOKUP($F337,'Membership Level'!$A$3:$B$15,2,FALSE),DAY(K337))</f>
        <v>46147</v>
      </c>
      <c r="M337" s="58">
        <v>3</v>
      </c>
    </row>
    <row r="338" spans="1:13" x14ac:dyDescent="0.35">
      <c r="A338" s="227" t="s">
        <v>848</v>
      </c>
      <c r="B338" s="59">
        <v>46117</v>
      </c>
      <c r="C338" s="93" t="s">
        <v>674</v>
      </c>
      <c r="D338" s="93" t="s">
        <v>884</v>
      </c>
      <c r="E338" s="226">
        <v>7903009493</v>
      </c>
      <c r="F338" s="93" t="str">
        <f>'Membership Level'!A12</f>
        <v>Swimming Moth</v>
      </c>
      <c r="G338" s="93" t="s">
        <v>885</v>
      </c>
      <c r="H338" s="75">
        <v>2500</v>
      </c>
      <c r="I338" s="75">
        <v>2500</v>
      </c>
      <c r="J338" s="61">
        <f t="shared" si="5"/>
        <v>0</v>
      </c>
      <c r="K338" s="9">
        <v>46117</v>
      </c>
      <c r="L338" s="59">
        <f>DATE(YEAR(K338),MONTH(K338)+VLOOKUP($F338,'Membership Level'!$A$3:$B$15,2,FALSE),DAY(K338))</f>
        <v>46147</v>
      </c>
      <c r="M338" s="58">
        <v>3</v>
      </c>
    </row>
    <row r="339" spans="1:13" x14ac:dyDescent="0.35">
      <c r="A339" s="227" t="s">
        <v>849</v>
      </c>
      <c r="B339" s="59">
        <v>46117</v>
      </c>
      <c r="C339" s="93" t="s">
        <v>577</v>
      </c>
      <c r="D339" s="93" t="s">
        <v>886</v>
      </c>
      <c r="E339" s="226">
        <v>7004344710</v>
      </c>
      <c r="F339" s="93" t="str">
        <f>'Membership Level'!A12</f>
        <v>Swimming Moth</v>
      </c>
      <c r="G339" s="93" t="s">
        <v>880</v>
      </c>
      <c r="H339" s="75">
        <v>2700</v>
      </c>
      <c r="I339" s="75">
        <v>2700</v>
      </c>
      <c r="J339" s="61">
        <f t="shared" si="5"/>
        <v>0</v>
      </c>
      <c r="K339" s="300">
        <v>46147</v>
      </c>
      <c r="L339" s="300">
        <f>DATE(YEAR(K339),MONTH(K339)+VLOOKUP($F339,'Membership Level'!$A$3:$B$15,2,FALSE),DAY(K339))</f>
        <v>46178</v>
      </c>
      <c r="M339" s="58">
        <v>3</v>
      </c>
    </row>
    <row r="340" spans="1:13" x14ac:dyDescent="0.35">
      <c r="A340" s="227" t="s">
        <v>850</v>
      </c>
      <c r="B340" s="59">
        <v>46117</v>
      </c>
      <c r="C340" s="93" t="s">
        <v>577</v>
      </c>
      <c r="D340" s="93" t="s">
        <v>887</v>
      </c>
      <c r="E340" s="226">
        <v>7667266509</v>
      </c>
      <c r="F340" s="93" t="str">
        <f>'Membership Level'!A12</f>
        <v>Swimming Moth</v>
      </c>
      <c r="G340" s="93" t="s">
        <v>888</v>
      </c>
      <c r="H340" s="75">
        <v>2500</v>
      </c>
      <c r="I340" s="75">
        <v>2500</v>
      </c>
      <c r="J340" s="61">
        <f t="shared" si="5"/>
        <v>0</v>
      </c>
      <c r="K340" s="300">
        <v>46147</v>
      </c>
      <c r="L340" s="300">
        <f>DATE(YEAR(K340),MONTH(K340)+VLOOKUP($F340,'Membership Level'!$A$3:$B$15,2,FALSE),DAY(K340))</f>
        <v>46178</v>
      </c>
      <c r="M340" s="58">
        <v>3</v>
      </c>
    </row>
    <row r="341" spans="1:13" x14ac:dyDescent="0.35">
      <c r="A341" s="227" t="s">
        <v>851</v>
      </c>
      <c r="B341" s="59">
        <v>46117</v>
      </c>
      <c r="C341" s="93" t="s">
        <v>890</v>
      </c>
      <c r="D341" s="93" t="s">
        <v>891</v>
      </c>
      <c r="E341" s="226">
        <v>9807189239</v>
      </c>
      <c r="F341" s="93" t="str">
        <f>'Membership Level'!A12</f>
        <v>Swimming Moth</v>
      </c>
      <c r="G341" s="93" t="s">
        <v>455</v>
      </c>
      <c r="H341" s="75">
        <v>2800</v>
      </c>
      <c r="I341" s="75">
        <v>2800</v>
      </c>
      <c r="J341" s="61">
        <f t="shared" si="5"/>
        <v>0</v>
      </c>
      <c r="K341" s="9">
        <v>46117</v>
      </c>
      <c r="L341" s="59">
        <f>DATE(YEAR(K341),MONTH(K341)+VLOOKUP($F341,'Membership Level'!$A$3:$B$15,2,FALSE),DAY(K341))</f>
        <v>46147</v>
      </c>
      <c r="M341" s="58">
        <v>3</v>
      </c>
    </row>
    <row r="342" spans="1:13" x14ac:dyDescent="0.35">
      <c r="A342" s="227" t="s">
        <v>852</v>
      </c>
      <c r="B342" s="59">
        <v>46117</v>
      </c>
      <c r="C342" s="93" t="s">
        <v>893</v>
      </c>
      <c r="D342" s="93" t="s">
        <v>892</v>
      </c>
      <c r="E342" s="226">
        <v>8210925342</v>
      </c>
      <c r="F342" s="93" t="str">
        <f>'Membership Level'!A12</f>
        <v>Swimming Moth</v>
      </c>
      <c r="G342" s="93" t="s">
        <v>248</v>
      </c>
      <c r="H342" s="75">
        <v>4000</v>
      </c>
      <c r="I342" s="75">
        <v>4000</v>
      </c>
      <c r="J342" s="61">
        <f t="shared" si="5"/>
        <v>0</v>
      </c>
      <c r="K342" s="9">
        <v>46117</v>
      </c>
      <c r="L342" s="59">
        <f>DATE(YEAR(K342),MONTH(K342)+VLOOKUP($F342,'Membership Level'!$A$3:$B$15,2,FALSE),DAY(K342))</f>
        <v>46147</v>
      </c>
      <c r="M342" s="58">
        <v>3</v>
      </c>
    </row>
    <row r="343" spans="1:13" s="349" customFormat="1" x14ac:dyDescent="0.35">
      <c r="A343" s="342" t="s">
        <v>853</v>
      </c>
      <c r="B343" s="343">
        <v>46117</v>
      </c>
      <c r="C343" s="344" t="s">
        <v>30</v>
      </c>
      <c r="D343" s="344" t="s">
        <v>436</v>
      </c>
      <c r="E343" s="345">
        <v>7738367559</v>
      </c>
      <c r="F343" s="344" t="str">
        <f>'Membership Level'!A12</f>
        <v>Swimming Moth</v>
      </c>
      <c r="G343" s="344" t="s">
        <v>257</v>
      </c>
      <c r="H343" s="346">
        <v>4400</v>
      </c>
      <c r="I343" s="346">
        <v>4400</v>
      </c>
      <c r="J343" s="347">
        <f t="shared" si="5"/>
        <v>0</v>
      </c>
      <c r="K343" s="343">
        <v>46117</v>
      </c>
      <c r="L343" s="343">
        <f>DATE(YEAR(K343),MONTH(K343)+VLOOKUP($F343,'Membership Level'!$A$3:$B$15,2,FALSE),DAY(K343))</f>
        <v>46147</v>
      </c>
      <c r="M343" s="348">
        <v>3</v>
      </c>
    </row>
    <row r="344" spans="1:13" x14ac:dyDescent="0.35">
      <c r="A344" s="227" t="s">
        <v>854</v>
      </c>
      <c r="B344" s="59">
        <v>46117</v>
      </c>
      <c r="C344" s="93" t="s">
        <v>32</v>
      </c>
      <c r="D344" s="93" t="s">
        <v>894</v>
      </c>
      <c r="E344" s="226">
        <v>7766905250</v>
      </c>
      <c r="F344" s="93" t="str">
        <f>'Membership Level'!A12</f>
        <v>Swimming Moth</v>
      </c>
      <c r="G344" s="93" t="s">
        <v>455</v>
      </c>
      <c r="H344" s="75">
        <v>2800</v>
      </c>
      <c r="I344" s="75">
        <v>2800</v>
      </c>
      <c r="J344" s="61">
        <f t="shared" si="5"/>
        <v>0</v>
      </c>
      <c r="K344" s="9">
        <v>46117</v>
      </c>
      <c r="L344" s="59">
        <f>DATE(YEAR(K344),MONTH(K344)+VLOOKUP($F344,'Membership Level'!$A$3:$B$15,2,FALSE),DAY(K344))</f>
        <v>46147</v>
      </c>
      <c r="M344" s="58">
        <v>3</v>
      </c>
    </row>
    <row r="345" spans="1:13" x14ac:dyDescent="0.35">
      <c r="A345" s="227" t="s">
        <v>855</v>
      </c>
      <c r="B345" s="59">
        <v>46119</v>
      </c>
      <c r="C345" s="93" t="s">
        <v>577</v>
      </c>
      <c r="D345" s="93" t="s">
        <v>895</v>
      </c>
      <c r="E345" s="226">
        <v>8409396840</v>
      </c>
      <c r="F345" s="93" t="str">
        <f>'Membership Level'!A12</f>
        <v>Swimming Moth</v>
      </c>
      <c r="G345" s="323" t="s">
        <v>1007</v>
      </c>
      <c r="H345" s="75">
        <v>6300</v>
      </c>
      <c r="I345" s="75">
        <v>6300</v>
      </c>
      <c r="J345" s="61">
        <f t="shared" si="5"/>
        <v>0</v>
      </c>
      <c r="K345" s="307">
        <v>46123</v>
      </c>
      <c r="L345" s="307">
        <f>DATE(YEAR(K345),MONTH(K345)+VLOOKUP($F345,'Membership Level'!$A$3:$B$15,2,FALSE),DAY(K345))</f>
        <v>46153</v>
      </c>
      <c r="M345" s="58">
        <v>3</v>
      </c>
    </row>
    <row r="346" spans="1:13" x14ac:dyDescent="0.35">
      <c r="A346" s="227" t="s">
        <v>856</v>
      </c>
      <c r="B346" s="59">
        <v>46119</v>
      </c>
      <c r="C346" s="93" t="s">
        <v>577</v>
      </c>
      <c r="D346" s="93" t="s">
        <v>564</v>
      </c>
      <c r="E346" s="226">
        <v>8409396840</v>
      </c>
      <c r="F346" s="93" t="str">
        <f>'Membership Level'!A12</f>
        <v>Swimming Moth</v>
      </c>
      <c r="G346" s="323" t="s">
        <v>1007</v>
      </c>
      <c r="H346" s="75">
        <v>6300</v>
      </c>
      <c r="I346" s="75">
        <v>6300</v>
      </c>
      <c r="J346" s="61">
        <f t="shared" si="5"/>
        <v>0</v>
      </c>
      <c r="K346" s="307">
        <v>46123</v>
      </c>
      <c r="L346" s="307">
        <f>DATE(YEAR(K346),MONTH(K346)+VLOOKUP($F346,'Membership Level'!$A$3:$B$15,2,FALSE),DAY(K346))</f>
        <v>46153</v>
      </c>
      <c r="M346" s="58">
        <v>3</v>
      </c>
    </row>
    <row r="347" spans="1:13" x14ac:dyDescent="0.35">
      <c r="A347" s="227" t="s">
        <v>857</v>
      </c>
      <c r="B347" s="59">
        <v>46119</v>
      </c>
      <c r="C347" s="93" t="s">
        <v>333</v>
      </c>
      <c r="D347" s="93" t="s">
        <v>896</v>
      </c>
      <c r="E347" s="226">
        <v>8002148886</v>
      </c>
      <c r="F347" s="93" t="str">
        <f>'Membership Level'!A12</f>
        <v>Swimming Moth</v>
      </c>
      <c r="G347" s="93" t="s">
        <v>248</v>
      </c>
      <c r="H347" s="75">
        <v>4000</v>
      </c>
      <c r="I347" s="75">
        <v>4000</v>
      </c>
      <c r="J347" s="61">
        <f t="shared" si="5"/>
        <v>0</v>
      </c>
      <c r="K347" s="59">
        <v>46119</v>
      </c>
      <c r="L347" s="59">
        <f>DATE(YEAR(K347),MONTH(K347)+VLOOKUP($F347,'Membership Level'!$A$3:$B$15,2,FALSE),DAY(K347))</f>
        <v>46149</v>
      </c>
      <c r="M347" s="58">
        <v>3</v>
      </c>
    </row>
    <row r="348" spans="1:13" s="295" customFormat="1" x14ac:dyDescent="0.35">
      <c r="A348" s="289" t="s">
        <v>601</v>
      </c>
      <c r="B348" s="290">
        <v>46119</v>
      </c>
      <c r="C348" s="288" t="s">
        <v>898</v>
      </c>
      <c r="D348" s="288" t="s">
        <v>897</v>
      </c>
      <c r="E348" s="291">
        <v>9430246273</v>
      </c>
      <c r="F348" s="288" t="str">
        <f>'Membership Level'!A13</f>
        <v>Swimming Qty</v>
      </c>
      <c r="G348" s="288" t="s">
        <v>824</v>
      </c>
      <c r="H348" s="292">
        <v>7500</v>
      </c>
      <c r="I348" s="292">
        <v>7500</v>
      </c>
      <c r="J348" s="293">
        <f t="shared" si="5"/>
        <v>0</v>
      </c>
      <c r="K348" s="290">
        <v>46119</v>
      </c>
      <c r="L348" s="290">
        <f>DATE(YEAR(K348),MONTH(K348)+VLOOKUP($F348,'Membership Level'!$A$3:$B$15,2,FALSE),DAY(K348))</f>
        <v>46210</v>
      </c>
      <c r="M348" s="294">
        <v>3</v>
      </c>
    </row>
    <row r="349" spans="1:13" s="295" customFormat="1" x14ac:dyDescent="0.35">
      <c r="A349" s="289" t="s">
        <v>858</v>
      </c>
      <c r="B349" s="290">
        <v>46119</v>
      </c>
      <c r="C349" s="288" t="s">
        <v>898</v>
      </c>
      <c r="D349" s="288" t="s">
        <v>899</v>
      </c>
      <c r="E349" s="291">
        <v>9430246273</v>
      </c>
      <c r="F349" s="288" t="str">
        <f>'Membership Level'!A13</f>
        <v>Swimming Qty</v>
      </c>
      <c r="G349" s="288" t="s">
        <v>824</v>
      </c>
      <c r="H349" s="292">
        <v>7500</v>
      </c>
      <c r="I349" s="292">
        <v>7500</v>
      </c>
      <c r="J349" s="293">
        <f t="shared" si="5"/>
        <v>0</v>
      </c>
      <c r="K349" s="290">
        <v>46119</v>
      </c>
      <c r="L349" s="290">
        <f>DATE(YEAR(K349),MONTH(K349)+VLOOKUP($F349,'Membership Level'!$A$3:$B$15,2,FALSE),DAY(K349))</f>
        <v>46210</v>
      </c>
      <c r="M349" s="294">
        <v>3</v>
      </c>
    </row>
    <row r="350" spans="1:13" x14ac:dyDescent="0.35">
      <c r="A350" s="227" t="s">
        <v>859</v>
      </c>
      <c r="B350" s="59">
        <v>46119</v>
      </c>
      <c r="C350" s="93" t="s">
        <v>461</v>
      </c>
      <c r="D350" s="93" t="s">
        <v>917</v>
      </c>
      <c r="E350" s="226">
        <v>7991171994</v>
      </c>
      <c r="F350" s="93" t="str">
        <f>'Membership Level'!A12</f>
        <v>Swimming Moth</v>
      </c>
      <c r="G350" s="93" t="s">
        <v>308</v>
      </c>
      <c r="H350" s="75">
        <v>3800</v>
      </c>
      <c r="I350" s="75">
        <v>3800</v>
      </c>
      <c r="J350" s="61">
        <f t="shared" si="5"/>
        <v>0</v>
      </c>
      <c r="K350" s="59">
        <v>46119</v>
      </c>
      <c r="L350" s="59">
        <f>DATE(YEAR(K350),MONTH(K350)+VLOOKUP($F350,'Membership Level'!$A$3:$B$15,2,FALSE),DAY(K350))</f>
        <v>46149</v>
      </c>
      <c r="M350" s="58">
        <v>3</v>
      </c>
    </row>
    <row r="351" spans="1:13" x14ac:dyDescent="0.35">
      <c r="A351" s="227" t="s">
        <v>900</v>
      </c>
      <c r="B351" s="59">
        <v>46119</v>
      </c>
      <c r="C351" s="93" t="s">
        <v>918</v>
      </c>
      <c r="D351" s="93" t="s">
        <v>919</v>
      </c>
      <c r="E351" s="226">
        <v>7764909067</v>
      </c>
      <c r="F351" s="93" t="str">
        <f>'Membership Level'!A12</f>
        <v>Swimming Moth</v>
      </c>
      <c r="G351" s="93" t="s">
        <v>308</v>
      </c>
      <c r="H351" s="75">
        <v>2500</v>
      </c>
      <c r="I351" s="75">
        <v>2500</v>
      </c>
      <c r="J351" s="61">
        <f t="shared" si="5"/>
        <v>0</v>
      </c>
      <c r="K351" s="307">
        <v>46150</v>
      </c>
      <c r="L351" s="307">
        <f>DATE(YEAR(K351),MONTH(K351)+VLOOKUP($F351,'Membership Level'!$A$3:$B$15,2,FALSE),DAY(K351))</f>
        <v>46181</v>
      </c>
      <c r="M351" s="58">
        <v>3</v>
      </c>
    </row>
    <row r="352" spans="1:13" x14ac:dyDescent="0.35">
      <c r="A352" s="227" t="s">
        <v>901</v>
      </c>
      <c r="B352" s="59">
        <v>46119</v>
      </c>
      <c r="C352" s="93" t="s">
        <v>920</v>
      </c>
      <c r="D352" s="93" t="s">
        <v>695</v>
      </c>
      <c r="E352" s="226">
        <v>8600822277</v>
      </c>
      <c r="F352" s="93" t="str">
        <f>'Membership Level'!A12</f>
        <v>Swimming Moth</v>
      </c>
      <c r="G352" s="93" t="s">
        <v>308</v>
      </c>
      <c r="H352" s="75">
        <v>3800</v>
      </c>
      <c r="I352" s="75">
        <v>3800</v>
      </c>
      <c r="J352" s="61">
        <f t="shared" si="5"/>
        <v>0</v>
      </c>
      <c r="K352" s="59">
        <v>46119</v>
      </c>
      <c r="L352" s="59">
        <f>DATE(YEAR(K352),MONTH(K352)+VLOOKUP($F352,'Membership Level'!$A$3:$B$15,2,FALSE),DAY(K352))</f>
        <v>46149</v>
      </c>
      <c r="M352" s="58">
        <v>3</v>
      </c>
    </row>
    <row r="353" spans="1:13" x14ac:dyDescent="0.35">
      <c r="A353" s="227" t="s">
        <v>902</v>
      </c>
      <c r="B353" s="59">
        <v>46119</v>
      </c>
      <c r="C353" s="93" t="s">
        <v>32</v>
      </c>
      <c r="D353" s="93" t="s">
        <v>337</v>
      </c>
      <c r="E353" s="226">
        <v>8789330255</v>
      </c>
      <c r="F353" s="93" t="str">
        <f>'Membership Level'!A13</f>
        <v>Swimming Qty</v>
      </c>
      <c r="G353" s="93" t="s">
        <v>379</v>
      </c>
      <c r="H353" s="75">
        <v>7500</v>
      </c>
      <c r="I353" s="75">
        <v>7500</v>
      </c>
      <c r="J353" s="61">
        <f t="shared" si="5"/>
        <v>0</v>
      </c>
      <c r="K353" s="59">
        <v>46119</v>
      </c>
      <c r="L353" s="59">
        <f>DATE(YEAR(K353),MONTH(K353)+VLOOKUP($F353,'Membership Level'!$A$3:$B$15,2,FALSE),DAY(K353))</f>
        <v>46210</v>
      </c>
      <c r="M353" s="58">
        <v>3</v>
      </c>
    </row>
    <row r="354" spans="1:13" x14ac:dyDescent="0.35">
      <c r="A354" s="227" t="s">
        <v>903</v>
      </c>
      <c r="B354" s="59">
        <v>46119</v>
      </c>
      <c r="C354" s="93" t="s">
        <v>291</v>
      </c>
      <c r="D354" s="93" t="s">
        <v>921</v>
      </c>
      <c r="E354" s="226">
        <v>6204425434</v>
      </c>
      <c r="F354" s="93" t="str">
        <f>'Membership Level'!A12</f>
        <v>Swimming Moth</v>
      </c>
      <c r="G354" s="93" t="s">
        <v>248</v>
      </c>
      <c r="H354" s="75">
        <v>4000</v>
      </c>
      <c r="I354" s="75">
        <v>4000</v>
      </c>
      <c r="J354" s="61">
        <f t="shared" si="5"/>
        <v>0</v>
      </c>
      <c r="K354" s="59">
        <v>46119</v>
      </c>
      <c r="L354" s="59">
        <f>DATE(YEAR(K354),MONTH(K354)+VLOOKUP($F354,'Membership Level'!$A$3:$B$15,2,FALSE),DAY(K354))</f>
        <v>46149</v>
      </c>
      <c r="M354" s="58">
        <v>3</v>
      </c>
    </row>
    <row r="355" spans="1:13" x14ac:dyDescent="0.35">
      <c r="A355" s="227" t="s">
        <v>904</v>
      </c>
      <c r="B355" s="59">
        <v>46119</v>
      </c>
      <c r="C355" s="93" t="s">
        <v>556</v>
      </c>
      <c r="D355" s="93" t="s">
        <v>892</v>
      </c>
      <c r="E355" s="226">
        <v>6202394399</v>
      </c>
      <c r="F355" s="93" t="str">
        <f>'Membership Level'!A12</f>
        <v>Swimming Moth</v>
      </c>
      <c r="G355" s="93" t="s">
        <v>308</v>
      </c>
      <c r="H355" s="75">
        <v>3800</v>
      </c>
      <c r="I355" s="75">
        <v>3800</v>
      </c>
      <c r="J355" s="61">
        <f t="shared" si="5"/>
        <v>0</v>
      </c>
      <c r="K355" s="300">
        <v>46149</v>
      </c>
      <c r="L355" s="300">
        <f>DATE(YEAR(K355),MONTH(K355)+VLOOKUP($F355,'Membership Level'!$A$3:$B$15,2,FALSE),DAY(K355))</f>
        <v>46180</v>
      </c>
      <c r="M355" s="58">
        <v>3</v>
      </c>
    </row>
    <row r="356" spans="1:13" x14ac:dyDescent="0.35">
      <c r="A356" s="227" t="s">
        <v>905</v>
      </c>
      <c r="B356" s="59">
        <v>46119</v>
      </c>
      <c r="C356" s="93" t="s">
        <v>923</v>
      </c>
      <c r="D356" s="93" t="s">
        <v>922</v>
      </c>
      <c r="E356" s="226">
        <v>7260896416</v>
      </c>
      <c r="F356" s="93" t="str">
        <f>'Membership Level'!A12</f>
        <v>Swimming Moth</v>
      </c>
      <c r="G356" s="93" t="s">
        <v>297</v>
      </c>
      <c r="H356" s="75">
        <v>3000</v>
      </c>
      <c r="I356" s="75">
        <v>3000</v>
      </c>
      <c r="J356" s="61">
        <f t="shared" si="5"/>
        <v>0</v>
      </c>
      <c r="K356" s="59">
        <v>46119</v>
      </c>
      <c r="L356" s="59">
        <f>DATE(YEAR(K356),MONTH(K356)+VLOOKUP($F356,'Membership Level'!$A$3:$B$15,2,FALSE),DAY(K356))</f>
        <v>46149</v>
      </c>
      <c r="M356" s="58">
        <v>3</v>
      </c>
    </row>
    <row r="357" spans="1:13" x14ac:dyDescent="0.35">
      <c r="A357" s="227" t="s">
        <v>906</v>
      </c>
      <c r="B357" s="59">
        <v>46119</v>
      </c>
      <c r="C357" s="93"/>
      <c r="D357" s="93" t="s">
        <v>924</v>
      </c>
      <c r="E357" s="226">
        <v>9748764023</v>
      </c>
      <c r="F357" s="93" t="str">
        <f>'Membership Level'!A12</f>
        <v>Swimming Moth</v>
      </c>
      <c r="G357" s="93" t="s">
        <v>603</v>
      </c>
      <c r="H357" s="75">
        <v>2200</v>
      </c>
      <c r="I357" s="75">
        <v>2200</v>
      </c>
      <c r="J357" s="61">
        <f t="shared" si="5"/>
        <v>0</v>
      </c>
      <c r="K357" s="59">
        <v>46119</v>
      </c>
      <c r="L357" s="59">
        <f>DATE(YEAR(K357),MONTH(K357)+VLOOKUP($F357,'Membership Level'!$A$3:$B$15,2,FALSE),DAY(K357))</f>
        <v>46149</v>
      </c>
      <c r="M357" s="58">
        <v>3</v>
      </c>
    </row>
    <row r="358" spans="1:13" x14ac:dyDescent="0.35">
      <c r="A358" s="227" t="s">
        <v>907</v>
      </c>
      <c r="B358" s="59">
        <v>46120</v>
      </c>
      <c r="C358" s="93"/>
      <c r="D358" s="93" t="s">
        <v>925</v>
      </c>
      <c r="E358" s="226">
        <v>8696244828</v>
      </c>
      <c r="F358" s="93" t="str">
        <f>'Membership Level'!A12</f>
        <v>Swimming Moth</v>
      </c>
      <c r="G358" s="93" t="s">
        <v>926</v>
      </c>
      <c r="H358" s="75">
        <v>4000</v>
      </c>
      <c r="I358" s="75">
        <v>4000</v>
      </c>
      <c r="J358" s="61">
        <f t="shared" si="5"/>
        <v>0</v>
      </c>
      <c r="K358" s="59">
        <v>46120</v>
      </c>
      <c r="L358" s="59">
        <f>DATE(YEAR(K358),MONTH(K358)+VLOOKUP($F358,'Membership Level'!$A$3:$B$15,2,FALSE),DAY(K358))</f>
        <v>46150</v>
      </c>
      <c r="M358" s="58">
        <v>3</v>
      </c>
    </row>
    <row r="359" spans="1:13" x14ac:dyDescent="0.35">
      <c r="A359" s="227"/>
      <c r="B359" s="59"/>
      <c r="C359" s="93"/>
      <c r="D359" s="93"/>
      <c r="E359" s="226"/>
      <c r="F359" s="93"/>
      <c r="G359" s="93"/>
      <c r="H359" s="75"/>
      <c r="I359" s="75"/>
      <c r="J359" s="61"/>
      <c r="K359" s="9"/>
      <c r="L359" s="59"/>
      <c r="M359" s="58">
        <v>3</v>
      </c>
    </row>
    <row r="360" spans="1:13" s="11" customFormat="1" x14ac:dyDescent="0.35">
      <c r="A360" s="227"/>
      <c r="B360" s="59"/>
      <c r="C360" s="241"/>
      <c r="D360" s="241"/>
      <c r="E360" s="235"/>
      <c r="F360" s="241"/>
      <c r="G360" s="241"/>
      <c r="H360" s="78"/>
      <c r="I360" s="78"/>
      <c r="J360" s="61"/>
      <c r="K360" s="59"/>
      <c r="L360" s="59"/>
      <c r="M360" s="58">
        <v>3</v>
      </c>
    </row>
    <row r="361" spans="1:13" s="316" customFormat="1" x14ac:dyDescent="0.35">
      <c r="A361" s="310" t="s">
        <v>908</v>
      </c>
      <c r="B361" s="300">
        <v>46121</v>
      </c>
      <c r="C361" s="311" t="s">
        <v>322</v>
      </c>
      <c r="D361" s="311" t="s">
        <v>952</v>
      </c>
      <c r="E361" s="312">
        <v>9431094409</v>
      </c>
      <c r="F361" s="311" t="str">
        <f>'Membership Level'!A14</f>
        <v>Swimming HY</v>
      </c>
      <c r="G361" s="311" t="s">
        <v>237</v>
      </c>
      <c r="H361" s="313">
        <v>16000</v>
      </c>
      <c r="I361" s="313">
        <v>10000</v>
      </c>
      <c r="J361" s="314">
        <f t="shared" si="5"/>
        <v>6000</v>
      </c>
      <c r="K361" s="300">
        <v>46121</v>
      </c>
      <c r="L361" s="300">
        <f>DATE(YEAR(K361),MONTH(K361)+VLOOKUP($F361,'Membership Level'!$A$3:$B$15,2,FALSE),DAY(K361))</f>
        <v>46304</v>
      </c>
      <c r="M361" s="315">
        <v>3</v>
      </c>
    </row>
    <row r="362" spans="1:13" x14ac:dyDescent="0.35">
      <c r="A362" s="227" t="s">
        <v>909</v>
      </c>
      <c r="B362" s="9">
        <v>46121</v>
      </c>
      <c r="C362" s="93" t="s">
        <v>249</v>
      </c>
      <c r="D362" s="93" t="s">
        <v>928</v>
      </c>
      <c r="E362" s="226">
        <v>9382879966</v>
      </c>
      <c r="F362" s="93" t="str">
        <f>'Membership Level'!A12</f>
        <v>Swimming Moth</v>
      </c>
      <c r="G362" s="93" t="s">
        <v>248</v>
      </c>
      <c r="H362" s="75">
        <v>4400</v>
      </c>
      <c r="I362" s="75">
        <v>4400</v>
      </c>
      <c r="J362" s="61">
        <f t="shared" si="5"/>
        <v>0</v>
      </c>
      <c r="K362" s="9">
        <v>46121</v>
      </c>
      <c r="L362" s="59">
        <f>DATE(YEAR(K362),MONTH(K362)+VLOOKUP($F362,'Membership Level'!$A$3:$B$15,2,FALSE),DAY(K362))</f>
        <v>46151</v>
      </c>
      <c r="M362" s="58">
        <v>3</v>
      </c>
    </row>
    <row r="363" spans="1:13" x14ac:dyDescent="0.35">
      <c r="A363" s="227" t="s">
        <v>910</v>
      </c>
      <c r="B363" s="9">
        <v>46121</v>
      </c>
      <c r="C363" s="93" t="s">
        <v>954</v>
      </c>
      <c r="D363" s="93" t="s">
        <v>953</v>
      </c>
      <c r="E363" s="226">
        <v>8292349998</v>
      </c>
      <c r="F363" s="93" t="str">
        <f>'Membership Level'!A12</f>
        <v>Swimming Moth</v>
      </c>
      <c r="G363" s="93" t="s">
        <v>455</v>
      </c>
      <c r="H363" s="75">
        <v>2800</v>
      </c>
      <c r="I363" s="75">
        <v>2800</v>
      </c>
      <c r="J363" s="61">
        <f t="shared" si="5"/>
        <v>0</v>
      </c>
      <c r="K363" s="9">
        <v>46121</v>
      </c>
      <c r="L363" s="59">
        <f>DATE(YEAR(K363),MONTH(K363)+VLOOKUP($F363,'Membership Level'!$A$3:$B$15,2,FALSE),DAY(K363))</f>
        <v>46151</v>
      </c>
      <c r="M363" s="58">
        <v>3</v>
      </c>
    </row>
    <row r="364" spans="1:13" x14ac:dyDescent="0.35">
      <c r="A364" s="227" t="s">
        <v>911</v>
      </c>
      <c r="B364" s="9">
        <v>46121</v>
      </c>
      <c r="C364" s="93" t="s">
        <v>202</v>
      </c>
      <c r="D364" s="93" t="s">
        <v>955</v>
      </c>
      <c r="E364" s="226">
        <v>9934392322</v>
      </c>
      <c r="F364" s="93" t="str">
        <f>'Membership Level'!A12</f>
        <v>Swimming Moth</v>
      </c>
      <c r="G364" s="93" t="s">
        <v>248</v>
      </c>
      <c r="H364" s="75">
        <v>3700</v>
      </c>
      <c r="I364" s="75">
        <v>3700</v>
      </c>
      <c r="J364" s="61">
        <f t="shared" si="5"/>
        <v>0</v>
      </c>
      <c r="K364" s="9">
        <v>46121</v>
      </c>
      <c r="L364" s="59">
        <f>DATE(YEAR(K364),MONTH(K364)+VLOOKUP($F364,'Membership Level'!$A$3:$B$15,2,FALSE),DAY(K364))</f>
        <v>46151</v>
      </c>
      <c r="M364" s="58">
        <v>3</v>
      </c>
    </row>
    <row r="365" spans="1:13" x14ac:dyDescent="0.35">
      <c r="A365" s="227" t="s">
        <v>912</v>
      </c>
      <c r="B365" s="9">
        <v>46121</v>
      </c>
      <c r="C365" s="93" t="s">
        <v>957</v>
      </c>
      <c r="D365" s="93" t="s">
        <v>921</v>
      </c>
      <c r="E365" s="226">
        <v>8709495517</v>
      </c>
      <c r="F365" s="93" t="str">
        <f>'Membership Level'!A12</f>
        <v>Swimming Moth</v>
      </c>
      <c r="G365" s="93" t="s">
        <v>308</v>
      </c>
      <c r="H365" s="75">
        <v>3800</v>
      </c>
      <c r="I365" s="75">
        <v>1500</v>
      </c>
      <c r="J365" s="61">
        <f t="shared" si="5"/>
        <v>2300</v>
      </c>
      <c r="K365" s="9">
        <v>46121</v>
      </c>
      <c r="L365" s="59">
        <f>DATE(YEAR(K365),MONTH(K365)+VLOOKUP($F365,'Membership Level'!$A$3:$B$15,2,FALSE),DAY(K365))</f>
        <v>46151</v>
      </c>
      <c r="M365" s="58">
        <v>3</v>
      </c>
    </row>
    <row r="366" spans="1:13" x14ac:dyDescent="0.35">
      <c r="A366" s="227" t="s">
        <v>913</v>
      </c>
      <c r="B366" s="9">
        <v>46121</v>
      </c>
      <c r="C366" s="93" t="s">
        <v>956</v>
      </c>
      <c r="D366" s="93" t="s">
        <v>865</v>
      </c>
      <c r="E366" s="226">
        <v>8709495517</v>
      </c>
      <c r="F366" s="93" t="str">
        <f>'Membership Level'!A12</f>
        <v>Swimming Moth</v>
      </c>
      <c r="G366" s="93" t="s">
        <v>370</v>
      </c>
      <c r="H366" s="75">
        <v>3800</v>
      </c>
      <c r="I366" s="75">
        <v>1500</v>
      </c>
      <c r="J366" s="61">
        <f t="shared" si="5"/>
        <v>2300</v>
      </c>
      <c r="K366" s="9">
        <v>46121</v>
      </c>
      <c r="L366" s="59">
        <f>DATE(YEAR(K366),MONTH(K366)+VLOOKUP($F366,'Membership Level'!$A$3:$B$15,2,FALSE),DAY(K366))</f>
        <v>46151</v>
      </c>
      <c r="M366" s="58">
        <v>3</v>
      </c>
    </row>
    <row r="367" spans="1:13" x14ac:dyDescent="0.35">
      <c r="A367" s="227" t="s">
        <v>914</v>
      </c>
      <c r="B367" s="59">
        <v>46121</v>
      </c>
      <c r="C367" s="93" t="s">
        <v>959</v>
      </c>
      <c r="D367" s="93" t="s">
        <v>958</v>
      </c>
      <c r="E367" s="226">
        <v>9135555051</v>
      </c>
      <c r="F367" s="93" t="str">
        <f>'Membership Level'!A12</f>
        <v>Swimming Moth</v>
      </c>
      <c r="G367" s="93" t="s">
        <v>248</v>
      </c>
      <c r="H367" s="75">
        <v>4000</v>
      </c>
      <c r="I367" s="75">
        <v>4000</v>
      </c>
      <c r="J367" s="61">
        <f t="shared" si="5"/>
        <v>0</v>
      </c>
      <c r="K367" s="9">
        <v>46121</v>
      </c>
      <c r="L367" s="59">
        <f>DATE(YEAR(K367),MONTH(K367)+VLOOKUP($F367,'Membership Level'!$A$3:$B$15,2,FALSE),DAY(K367))</f>
        <v>46151</v>
      </c>
      <c r="M367" s="58">
        <v>3</v>
      </c>
    </row>
    <row r="368" spans="1:13" x14ac:dyDescent="0.35">
      <c r="A368" s="227" t="s">
        <v>915</v>
      </c>
      <c r="B368" s="59">
        <v>46121</v>
      </c>
      <c r="C368" s="93" t="s">
        <v>461</v>
      </c>
      <c r="D368" s="93" t="s">
        <v>493</v>
      </c>
      <c r="E368" s="226">
        <v>9661118485</v>
      </c>
      <c r="F368" s="93" t="str">
        <f>'Membership Level'!A12</f>
        <v>Swimming Moth</v>
      </c>
      <c r="G368" s="93" t="s">
        <v>297</v>
      </c>
      <c r="H368" s="75">
        <v>3000</v>
      </c>
      <c r="I368" s="75">
        <v>3000</v>
      </c>
      <c r="J368" s="61">
        <f t="shared" si="5"/>
        <v>0</v>
      </c>
      <c r="K368" s="9">
        <v>46121</v>
      </c>
      <c r="L368" s="59">
        <f>DATE(YEAR(K368),MONTH(K368)+VLOOKUP($F368,'Membership Level'!$A$3:$B$15,2,FALSE),DAY(K368))</f>
        <v>46151</v>
      </c>
      <c r="M368" s="58">
        <v>3</v>
      </c>
    </row>
    <row r="369" spans="1:13" x14ac:dyDescent="0.35">
      <c r="A369" s="227" t="s">
        <v>916</v>
      </c>
      <c r="B369" s="59">
        <v>46121</v>
      </c>
      <c r="C369" s="93"/>
      <c r="D369" s="93" t="s">
        <v>960</v>
      </c>
      <c r="E369" s="226">
        <v>9065649781</v>
      </c>
      <c r="F369" s="93" t="str">
        <f>'Membership Level'!A12</f>
        <v>Swimming Moth</v>
      </c>
      <c r="G369" s="93" t="s">
        <v>379</v>
      </c>
      <c r="H369" s="75">
        <v>2800</v>
      </c>
      <c r="I369" s="75">
        <v>2800</v>
      </c>
      <c r="J369" s="61">
        <f t="shared" si="5"/>
        <v>0</v>
      </c>
      <c r="K369" s="9">
        <v>46121</v>
      </c>
      <c r="L369" s="59">
        <f>DATE(YEAR(K369),MONTH(K369)+VLOOKUP($F369,'Membership Level'!$A$3:$B$15,2,FALSE),DAY(K369))</f>
        <v>46151</v>
      </c>
      <c r="M369" s="58">
        <v>3</v>
      </c>
    </row>
    <row r="370" spans="1:13" s="85" customFormat="1" x14ac:dyDescent="0.35">
      <c r="A370" s="318" t="s">
        <v>929</v>
      </c>
      <c r="B370" s="182">
        <v>46122</v>
      </c>
      <c r="C370" s="286" t="s">
        <v>202</v>
      </c>
      <c r="D370" s="286" t="s">
        <v>961</v>
      </c>
      <c r="E370" s="319">
        <v>9835749849</v>
      </c>
      <c r="F370" s="286" t="str">
        <f>'Membership Level'!A14</f>
        <v>Swimming HY</v>
      </c>
      <c r="G370" s="286" t="s">
        <v>237</v>
      </c>
      <c r="H370" s="181">
        <v>17000</v>
      </c>
      <c r="I370" s="181">
        <v>14000</v>
      </c>
      <c r="J370" s="320">
        <f t="shared" si="5"/>
        <v>3000</v>
      </c>
      <c r="K370" s="182">
        <v>46122</v>
      </c>
      <c r="L370" s="182">
        <f>DATE(YEAR(K370),MONTH(K370)+VLOOKUP($F370,'Membership Level'!$A$3:$B$15,2,FALSE),DAY(K370))</f>
        <v>46305</v>
      </c>
      <c r="M370" s="165">
        <v>3</v>
      </c>
    </row>
    <row r="371" spans="1:13" x14ac:dyDescent="0.35">
      <c r="A371" s="227" t="s">
        <v>930</v>
      </c>
      <c r="B371" s="59">
        <v>46122</v>
      </c>
      <c r="C371" s="93" t="s">
        <v>30</v>
      </c>
      <c r="D371" s="93" t="s">
        <v>962</v>
      </c>
      <c r="E371" s="226">
        <v>7991150310</v>
      </c>
      <c r="F371" s="93" t="str">
        <f>'Membership Level'!A12</f>
        <v>Swimming Moth</v>
      </c>
      <c r="G371" s="93" t="s">
        <v>927</v>
      </c>
      <c r="H371" s="75">
        <v>2800</v>
      </c>
      <c r="I371" s="75">
        <v>2800</v>
      </c>
      <c r="J371" s="61"/>
      <c r="K371" s="59">
        <v>46122</v>
      </c>
      <c r="L371" s="59">
        <f>DATE(YEAR(K371),MONTH(K371)+VLOOKUP($F371,'Membership Level'!$A$3:$B$15,2,FALSE),DAY(K371))</f>
        <v>46152</v>
      </c>
      <c r="M371" s="58">
        <v>3</v>
      </c>
    </row>
    <row r="372" spans="1:13" x14ac:dyDescent="0.35">
      <c r="A372" s="227" t="s">
        <v>931</v>
      </c>
      <c r="B372" s="59">
        <v>46122</v>
      </c>
      <c r="C372" s="93" t="s">
        <v>30</v>
      </c>
      <c r="D372" s="93" t="s">
        <v>746</v>
      </c>
      <c r="E372" s="226">
        <v>7991150310</v>
      </c>
      <c r="F372" s="93" t="str">
        <f>'Membership Level'!A12</f>
        <v>Swimming Moth</v>
      </c>
      <c r="G372" s="93" t="s">
        <v>927</v>
      </c>
      <c r="H372" s="75">
        <v>2800</v>
      </c>
      <c r="I372" s="75">
        <v>2800</v>
      </c>
      <c r="J372" s="61">
        <f t="shared" si="5"/>
        <v>0</v>
      </c>
      <c r="K372" s="59">
        <v>46122</v>
      </c>
      <c r="L372" s="59">
        <f>DATE(YEAR(K372),MONTH(K372)+VLOOKUP($F372,'Membership Level'!$A$3:$B$15,2,FALSE),DAY(K372))</f>
        <v>46152</v>
      </c>
      <c r="M372" s="58">
        <v>3</v>
      </c>
    </row>
    <row r="373" spans="1:13" x14ac:dyDescent="0.35">
      <c r="A373" s="227" t="s">
        <v>932</v>
      </c>
      <c r="B373" s="59">
        <v>46122</v>
      </c>
      <c r="C373" s="93" t="s">
        <v>30</v>
      </c>
      <c r="D373" s="93" t="s">
        <v>963</v>
      </c>
      <c r="E373" s="226">
        <v>7991150310</v>
      </c>
      <c r="F373" s="93" t="str">
        <f>'Membership Level'!A12</f>
        <v>Swimming Moth</v>
      </c>
      <c r="G373" s="93" t="s">
        <v>927</v>
      </c>
      <c r="H373" s="75">
        <v>2800</v>
      </c>
      <c r="I373" s="75">
        <v>2800</v>
      </c>
      <c r="J373" s="61">
        <f t="shared" si="5"/>
        <v>0</v>
      </c>
      <c r="K373" s="59">
        <v>46122</v>
      </c>
      <c r="L373" s="59">
        <f>DATE(YEAR(K373),MONTH(K373)+VLOOKUP($F373,'Membership Level'!$A$3:$B$15,2,FALSE),DAY(K373))</f>
        <v>46152</v>
      </c>
      <c r="M373" s="58">
        <v>3</v>
      </c>
    </row>
    <row r="374" spans="1:13" x14ac:dyDescent="0.35">
      <c r="A374" s="227" t="s">
        <v>933</v>
      </c>
      <c r="B374" s="59">
        <v>46122</v>
      </c>
      <c r="C374" s="93" t="s">
        <v>964</v>
      </c>
      <c r="D374" s="93" t="s">
        <v>975</v>
      </c>
      <c r="E374" s="226">
        <v>9162953889</v>
      </c>
      <c r="F374" s="93" t="str">
        <f>'Membership Level'!A12</f>
        <v>Swimming Moth</v>
      </c>
      <c r="G374" s="93" t="s">
        <v>965</v>
      </c>
      <c r="H374" s="75">
        <v>2200</v>
      </c>
      <c r="I374" s="75">
        <v>2200</v>
      </c>
      <c r="J374" s="61">
        <f t="shared" si="5"/>
        <v>0</v>
      </c>
      <c r="K374" s="59">
        <v>46122</v>
      </c>
      <c r="L374" s="59">
        <f>DATE(YEAR(K374),MONTH(K374)+VLOOKUP($F374,'Membership Level'!$A$3:$B$15,2,FALSE),DAY(K374))</f>
        <v>46152</v>
      </c>
      <c r="M374" s="58">
        <v>3</v>
      </c>
    </row>
    <row r="375" spans="1:13" x14ac:dyDescent="0.35">
      <c r="A375" s="227" t="s">
        <v>934</v>
      </c>
      <c r="B375" s="59">
        <v>46122</v>
      </c>
      <c r="C375" s="247" t="s">
        <v>967</v>
      </c>
      <c r="D375" s="247" t="s">
        <v>966</v>
      </c>
      <c r="E375" s="317">
        <v>8709189067</v>
      </c>
      <c r="F375" s="224" t="str">
        <f>'Membership Level'!A12</f>
        <v>Swimming Moth</v>
      </c>
      <c r="G375" s="224" t="s">
        <v>325</v>
      </c>
      <c r="H375" s="75">
        <v>3500</v>
      </c>
      <c r="I375" s="75">
        <v>3500</v>
      </c>
      <c r="J375" s="61">
        <f t="shared" si="5"/>
        <v>0</v>
      </c>
      <c r="K375" s="59">
        <v>46122</v>
      </c>
      <c r="L375" s="59">
        <f>DATE(YEAR(K375),MONTH(K375)+VLOOKUP($F375,'Membership Level'!$A$3:$B$15,2,FALSE),DAY(K375))</f>
        <v>46152</v>
      </c>
    </row>
    <row r="376" spans="1:13" x14ac:dyDescent="0.35">
      <c r="A376" s="227" t="s">
        <v>935</v>
      </c>
      <c r="B376" s="244">
        <v>46122</v>
      </c>
      <c r="C376" s="93" t="s">
        <v>281</v>
      </c>
      <c r="D376" s="93" t="s">
        <v>968</v>
      </c>
      <c r="E376" s="226">
        <v>7209003164</v>
      </c>
      <c r="F376" s="93" t="str">
        <f>'Membership Level'!A12</f>
        <v>Swimming Moth</v>
      </c>
      <c r="G376" s="93" t="s">
        <v>876</v>
      </c>
      <c r="H376" s="75">
        <v>3000</v>
      </c>
      <c r="I376" s="75">
        <v>3000</v>
      </c>
      <c r="J376" s="61">
        <f t="shared" si="5"/>
        <v>0</v>
      </c>
      <c r="K376" s="59">
        <v>46122</v>
      </c>
      <c r="L376" s="59">
        <f>DATE(YEAR(K376),MONTH(K376)+VLOOKUP($F376,'Membership Level'!$A$3:$B$15,2,FALSE),DAY(K376))</f>
        <v>46152</v>
      </c>
      <c r="M376" s="58">
        <v>3</v>
      </c>
    </row>
    <row r="377" spans="1:13" x14ac:dyDescent="0.35">
      <c r="A377" s="227" t="s">
        <v>936</v>
      </c>
      <c r="B377" s="244">
        <v>46122</v>
      </c>
      <c r="C377" s="93" t="s">
        <v>281</v>
      </c>
      <c r="D377" s="93" t="s">
        <v>969</v>
      </c>
      <c r="E377" s="226">
        <v>7909020911</v>
      </c>
      <c r="F377" s="93" t="str">
        <f>'Membership Level'!A12</f>
        <v>Swimming Moth</v>
      </c>
      <c r="G377" s="93" t="s">
        <v>257</v>
      </c>
      <c r="H377" s="75">
        <v>4000</v>
      </c>
      <c r="I377" s="75">
        <v>4000</v>
      </c>
      <c r="J377" s="61">
        <f t="shared" si="5"/>
        <v>0</v>
      </c>
      <c r="K377" s="9">
        <v>46122</v>
      </c>
      <c r="L377" s="59">
        <f>DATE(YEAR(K377),MONTH(K377)+VLOOKUP($F377,'Membership Level'!$A$3:$B$15,2,FALSE),DAY(K377))</f>
        <v>46152</v>
      </c>
      <c r="M377" s="58">
        <v>3</v>
      </c>
    </row>
    <row r="378" spans="1:13" x14ac:dyDescent="0.35">
      <c r="A378" s="227" t="s">
        <v>937</v>
      </c>
      <c r="B378" s="244">
        <v>46122</v>
      </c>
      <c r="C378" s="93" t="s">
        <v>970</v>
      </c>
      <c r="D378" s="93" t="s">
        <v>971</v>
      </c>
      <c r="E378" s="226">
        <v>9162093589</v>
      </c>
      <c r="F378" s="93" t="str">
        <f>'Membership Level'!A12</f>
        <v>Swimming Moth</v>
      </c>
      <c r="G378" s="93" t="s">
        <v>257</v>
      </c>
      <c r="H378" s="75">
        <v>4000</v>
      </c>
      <c r="I378" s="75">
        <v>4000</v>
      </c>
      <c r="J378" s="61">
        <f t="shared" si="5"/>
        <v>0</v>
      </c>
      <c r="K378" s="9">
        <v>46122</v>
      </c>
      <c r="L378" s="59">
        <f>DATE(YEAR(K378),MONTH(K378)+VLOOKUP($F378,'Membership Level'!$A$3:$B$15,2,FALSE),DAY(K378))</f>
        <v>46152</v>
      </c>
      <c r="M378" s="58">
        <v>3</v>
      </c>
    </row>
    <row r="379" spans="1:13" x14ac:dyDescent="0.35">
      <c r="A379" s="227" t="s">
        <v>938</v>
      </c>
      <c r="B379" s="244">
        <v>46122</v>
      </c>
      <c r="C379" s="93" t="s">
        <v>973</v>
      </c>
      <c r="D379" s="93" t="s">
        <v>972</v>
      </c>
      <c r="E379" s="226">
        <v>9610541548</v>
      </c>
      <c r="F379" s="93" t="str">
        <f>'Membership Level'!A12</f>
        <v>Swimming Moth</v>
      </c>
      <c r="G379" s="93" t="s">
        <v>888</v>
      </c>
      <c r="H379" s="75">
        <v>3300</v>
      </c>
      <c r="I379" s="75">
        <v>3300</v>
      </c>
      <c r="J379" s="61">
        <f t="shared" si="5"/>
        <v>0</v>
      </c>
      <c r="K379" s="9">
        <v>46122</v>
      </c>
      <c r="L379" s="59">
        <f>DATE(YEAR(K379),MONTH(K379)+VLOOKUP($F379,'Membership Level'!$A$3:$B$15,2,FALSE),DAY(K379))</f>
        <v>46152</v>
      </c>
      <c r="M379" s="58">
        <v>3</v>
      </c>
    </row>
    <row r="380" spans="1:13" x14ac:dyDescent="0.35">
      <c r="A380" s="227" t="s">
        <v>939</v>
      </c>
      <c r="B380" s="244">
        <v>46122</v>
      </c>
      <c r="C380" s="93" t="s">
        <v>920</v>
      </c>
      <c r="D380" s="93" t="s">
        <v>974</v>
      </c>
      <c r="E380" s="226">
        <v>9575227190</v>
      </c>
      <c r="F380" s="93" t="str">
        <f>'Membership Level'!A12</f>
        <v>Swimming Moth</v>
      </c>
      <c r="G380" s="93" t="s">
        <v>278</v>
      </c>
      <c r="H380" s="75">
        <v>3300</v>
      </c>
      <c r="I380" s="75">
        <v>3300</v>
      </c>
      <c r="J380" s="61">
        <f t="shared" si="5"/>
        <v>0</v>
      </c>
      <c r="K380" s="9">
        <v>46122</v>
      </c>
      <c r="L380" s="59">
        <f>DATE(YEAR(K380),MONTH(K380)+VLOOKUP($F380,'Membership Level'!$A$3:$B$15,2,FALSE),DAY(K380))</f>
        <v>46152</v>
      </c>
      <c r="M380" s="58">
        <v>3</v>
      </c>
    </row>
    <row r="381" spans="1:13" x14ac:dyDescent="0.35">
      <c r="A381" s="227" t="s">
        <v>940</v>
      </c>
      <c r="B381" s="244">
        <v>46123</v>
      </c>
      <c r="C381" s="93" t="s">
        <v>333</v>
      </c>
      <c r="D381" s="93" t="s">
        <v>976</v>
      </c>
      <c r="E381" s="226">
        <v>7667564905</v>
      </c>
      <c r="F381" s="93" t="str">
        <f>'Membership Level'!A12</f>
        <v>Swimming Moth</v>
      </c>
      <c r="G381" s="93" t="s">
        <v>977</v>
      </c>
      <c r="H381" s="75">
        <v>1700</v>
      </c>
      <c r="I381" s="75">
        <v>1700</v>
      </c>
      <c r="J381" s="61">
        <f t="shared" si="5"/>
        <v>0</v>
      </c>
      <c r="K381" s="9">
        <v>46123</v>
      </c>
      <c r="L381" s="59">
        <f>DATE(YEAR(K381),MONTH(K381)+VLOOKUP($F381,'Membership Level'!$A$3:$B$15,2,FALSE),DAY(K381))</f>
        <v>46153</v>
      </c>
      <c r="M381" s="58">
        <v>3</v>
      </c>
    </row>
    <row r="382" spans="1:13" x14ac:dyDescent="0.35">
      <c r="A382" s="227" t="s">
        <v>941</v>
      </c>
      <c r="B382" s="244">
        <v>46123</v>
      </c>
      <c r="C382" s="93" t="s">
        <v>333</v>
      </c>
      <c r="D382" s="93" t="s">
        <v>978</v>
      </c>
      <c r="E382" s="226">
        <v>7667564905</v>
      </c>
      <c r="F382" s="93" t="str">
        <f>'Membership Level'!A12</f>
        <v>Swimming Moth</v>
      </c>
      <c r="G382" s="93" t="s">
        <v>306</v>
      </c>
      <c r="H382" s="75">
        <v>2000</v>
      </c>
      <c r="I382" s="75">
        <v>2000</v>
      </c>
      <c r="J382" s="61">
        <f t="shared" si="5"/>
        <v>0</v>
      </c>
      <c r="K382" s="9">
        <v>46123</v>
      </c>
      <c r="L382" s="59">
        <f>DATE(YEAR(K382),MONTH(K382)+VLOOKUP($F382,'Membership Level'!$A$3:$B$15,2,FALSE),DAY(K382))</f>
        <v>46153</v>
      </c>
      <c r="M382" s="58">
        <v>3</v>
      </c>
    </row>
    <row r="383" spans="1:13" x14ac:dyDescent="0.35">
      <c r="A383" s="227" t="s">
        <v>942</v>
      </c>
      <c r="B383" s="244">
        <v>46123</v>
      </c>
      <c r="C383" s="93" t="s">
        <v>980</v>
      </c>
      <c r="D383" s="93" t="s">
        <v>979</v>
      </c>
      <c r="E383" s="226">
        <v>7783859970</v>
      </c>
      <c r="F383" s="93" t="str">
        <f>'Membership Level'!A12</f>
        <v>Swimming Moth</v>
      </c>
      <c r="G383" s="93" t="s">
        <v>440</v>
      </c>
      <c r="H383" s="75">
        <v>2800</v>
      </c>
      <c r="I383" s="75">
        <v>2800</v>
      </c>
      <c r="J383" s="61">
        <f t="shared" si="5"/>
        <v>0</v>
      </c>
      <c r="K383" s="9">
        <v>46123</v>
      </c>
      <c r="L383" s="59">
        <f>DATE(YEAR(K383),MONTH(K383)+VLOOKUP($F383,'Membership Level'!$A$3:$B$15,2,FALSE),DAY(K383))</f>
        <v>46153</v>
      </c>
      <c r="M383" s="58">
        <v>3</v>
      </c>
    </row>
    <row r="384" spans="1:13" x14ac:dyDescent="0.35">
      <c r="A384" s="227" t="s">
        <v>943</v>
      </c>
      <c r="B384" s="244">
        <v>46123</v>
      </c>
      <c r="C384" s="93"/>
      <c r="D384" s="93" t="s">
        <v>981</v>
      </c>
      <c r="E384" s="226">
        <v>8521203430</v>
      </c>
      <c r="F384" s="93" t="str">
        <f>'Membership Level'!A12</f>
        <v>Swimming Moth</v>
      </c>
      <c r="G384" s="93" t="s">
        <v>455</v>
      </c>
      <c r="H384" s="75">
        <v>2800</v>
      </c>
      <c r="I384" s="75">
        <v>2800</v>
      </c>
      <c r="J384" s="61">
        <f t="shared" si="5"/>
        <v>0</v>
      </c>
      <c r="K384" s="9">
        <v>46123</v>
      </c>
      <c r="L384" s="59">
        <f>DATE(YEAR(K384),MONTH(K384)+VLOOKUP($F384,'Membership Level'!$A$3:$B$15,2,FALSE),DAY(K384))</f>
        <v>46153</v>
      </c>
      <c r="M384" s="58">
        <v>3</v>
      </c>
    </row>
    <row r="385" spans="1:13" x14ac:dyDescent="0.35">
      <c r="A385" s="227" t="s">
        <v>944</v>
      </c>
      <c r="B385" s="244">
        <v>46123</v>
      </c>
      <c r="C385" s="93" t="s">
        <v>608</v>
      </c>
      <c r="D385" s="244" t="s">
        <v>982</v>
      </c>
      <c r="E385" s="226">
        <v>8539070022</v>
      </c>
      <c r="F385" s="93" t="str">
        <f>'Membership Level'!A12</f>
        <v>Swimming Moth</v>
      </c>
      <c r="G385" s="93" t="s">
        <v>455</v>
      </c>
      <c r="H385" s="75">
        <v>2800</v>
      </c>
      <c r="I385" s="75">
        <v>2800</v>
      </c>
      <c r="J385" s="61">
        <f t="shared" si="5"/>
        <v>0</v>
      </c>
      <c r="K385" s="9">
        <v>46123</v>
      </c>
      <c r="L385" s="59">
        <f>DATE(YEAR(K385),MONTH(K385)+VLOOKUP($F385,'Membership Level'!$A$3:$B$15,2,FALSE),DAY(K385))</f>
        <v>46153</v>
      </c>
      <c r="M385" s="58">
        <v>3</v>
      </c>
    </row>
    <row r="386" spans="1:13" s="261" customFormat="1" x14ac:dyDescent="0.35">
      <c r="A386" s="255" t="s">
        <v>945</v>
      </c>
      <c r="B386" s="263">
        <v>46123</v>
      </c>
      <c r="C386" s="260" t="s">
        <v>461</v>
      </c>
      <c r="D386" s="260" t="s">
        <v>1003</v>
      </c>
      <c r="E386" s="257">
        <v>9473038278</v>
      </c>
      <c r="F386" s="260" t="str">
        <f>'Membership Level'!A13</f>
        <v>Swimming Qty</v>
      </c>
      <c r="G386" s="260" t="s">
        <v>701</v>
      </c>
      <c r="H386" s="266">
        <v>5500</v>
      </c>
      <c r="I386" s="266">
        <v>5500</v>
      </c>
      <c r="J386" s="267">
        <f t="shared" si="5"/>
        <v>0</v>
      </c>
      <c r="K386" s="268">
        <v>46123</v>
      </c>
      <c r="L386" s="268">
        <f>DATE(YEAR(K386),MONTH(K386)+VLOOKUP($F386,'Membership Level'!$A$3:$B$15,2,FALSE),DAY(K386))</f>
        <v>46214</v>
      </c>
      <c r="M386" s="269">
        <v>3</v>
      </c>
    </row>
    <row r="387" spans="1:13" s="261" customFormat="1" x14ac:dyDescent="0.35">
      <c r="A387" s="255" t="s">
        <v>946</v>
      </c>
      <c r="B387" s="263">
        <v>46123</v>
      </c>
      <c r="C387" s="260" t="s">
        <v>1004</v>
      </c>
      <c r="D387" s="260" t="s">
        <v>464</v>
      </c>
      <c r="E387" s="257">
        <v>9473038278</v>
      </c>
      <c r="F387" s="260" t="str">
        <f>'Membership Level'!A13</f>
        <v>Swimming Qty</v>
      </c>
      <c r="G387" s="260" t="s">
        <v>1005</v>
      </c>
      <c r="H387" s="266">
        <v>6500</v>
      </c>
      <c r="I387" s="266">
        <v>6500</v>
      </c>
      <c r="J387" s="267">
        <f t="shared" si="5"/>
        <v>0</v>
      </c>
      <c r="K387" s="268">
        <v>46123</v>
      </c>
      <c r="L387" s="268">
        <f>DATE(YEAR(K387),MONTH(K387)+VLOOKUP($F387,'Membership Level'!$A$3:$B$15,2,FALSE),DAY(K387))</f>
        <v>46214</v>
      </c>
      <c r="M387" s="269">
        <v>3</v>
      </c>
    </row>
    <row r="388" spans="1:13" x14ac:dyDescent="0.35">
      <c r="A388" s="227" t="s">
        <v>947</v>
      </c>
      <c r="B388" s="244">
        <v>46123</v>
      </c>
      <c r="C388" s="93" t="s">
        <v>333</v>
      </c>
      <c r="D388" s="93" t="s">
        <v>1006</v>
      </c>
      <c r="E388" s="226">
        <v>9798228544</v>
      </c>
      <c r="F388" s="93" t="str">
        <f>'Membership Level'!A12</f>
        <v>Swimming Moth</v>
      </c>
      <c r="G388" s="93" t="s">
        <v>248</v>
      </c>
      <c r="H388" s="75">
        <v>4000</v>
      </c>
      <c r="I388" s="75">
        <v>4000</v>
      </c>
      <c r="J388" s="61">
        <f t="shared" si="5"/>
        <v>0</v>
      </c>
      <c r="K388" s="9">
        <v>46123</v>
      </c>
      <c r="L388" s="59">
        <f>DATE(YEAR(K388),MONTH(K388)+VLOOKUP($F388,'Membership Level'!$A$3:$B$15,2,FALSE),DAY(K388))</f>
        <v>46153</v>
      </c>
      <c r="M388" s="58">
        <v>3</v>
      </c>
    </row>
    <row r="389" spans="1:13" x14ac:dyDescent="0.35">
      <c r="A389" s="227" t="s">
        <v>948</v>
      </c>
      <c r="B389" s="244">
        <v>46123</v>
      </c>
      <c r="C389" s="93" t="s">
        <v>202</v>
      </c>
      <c r="D389" s="93" t="s">
        <v>478</v>
      </c>
      <c r="E389" s="226">
        <v>8210174034</v>
      </c>
      <c r="F389" s="93" t="str">
        <f>'Membership Level'!A12</f>
        <v>Swimming Moth</v>
      </c>
      <c r="G389" s="93" t="s">
        <v>308</v>
      </c>
      <c r="H389" s="75">
        <v>3800</v>
      </c>
      <c r="I389" s="75">
        <v>3800</v>
      </c>
      <c r="J389" s="61">
        <f t="shared" si="5"/>
        <v>0</v>
      </c>
      <c r="K389" s="9">
        <v>46123</v>
      </c>
      <c r="L389" s="59">
        <f>DATE(YEAR(K389),MONTH(K389)+VLOOKUP($F389,'Membership Level'!$A$3:$B$15,2,FALSE),DAY(K389))</f>
        <v>46153</v>
      </c>
      <c r="M389" s="58">
        <v>3</v>
      </c>
    </row>
    <row r="390" spans="1:13" x14ac:dyDescent="0.35">
      <c r="A390" s="227" t="s">
        <v>949</v>
      </c>
      <c r="B390" s="244">
        <v>46123</v>
      </c>
      <c r="C390" s="7"/>
      <c r="D390" s="93" t="s">
        <v>1008</v>
      </c>
      <c r="E390" s="226">
        <v>9334481362</v>
      </c>
      <c r="F390" s="93" t="str">
        <f>'Membership Level'!A12</f>
        <v>Swimming Moth</v>
      </c>
      <c r="G390" s="93" t="s">
        <v>370</v>
      </c>
      <c r="H390" s="75">
        <v>3800</v>
      </c>
      <c r="I390" s="75">
        <v>3800</v>
      </c>
      <c r="J390" s="61">
        <f t="shared" si="5"/>
        <v>0</v>
      </c>
      <c r="K390" s="9">
        <v>46123</v>
      </c>
      <c r="L390" s="59">
        <f>DATE(YEAR(K390),MONTH(K390)+VLOOKUP($F390,'Membership Level'!$A$3:$B$15,2,FALSE),DAY(K390))</f>
        <v>46153</v>
      </c>
      <c r="M390" s="58">
        <v>3</v>
      </c>
    </row>
    <row r="391" spans="1:13" x14ac:dyDescent="0.35">
      <c r="A391" s="227" t="s">
        <v>950</v>
      </c>
      <c r="B391" s="9">
        <v>46124</v>
      </c>
      <c r="C391" s="93" t="s">
        <v>1009</v>
      </c>
      <c r="D391" s="93" t="s">
        <v>892</v>
      </c>
      <c r="E391" s="226">
        <v>8521637372</v>
      </c>
      <c r="F391" s="93" t="str">
        <f>'Membership Level'!A12</f>
        <v>Swimming Moth</v>
      </c>
      <c r="G391" s="93" t="s">
        <v>379</v>
      </c>
      <c r="H391" s="75">
        <v>2800</v>
      </c>
      <c r="I391" s="75">
        <v>2800</v>
      </c>
      <c r="J391" s="61">
        <f t="shared" si="5"/>
        <v>0</v>
      </c>
      <c r="K391" s="9">
        <v>46124</v>
      </c>
      <c r="L391" s="59">
        <f>DATE(YEAR(K391),MONTH(K391)+VLOOKUP($F391,'Membership Level'!$A$3:$B$15,2,FALSE),DAY(K391))</f>
        <v>46154</v>
      </c>
      <c r="M391" s="58">
        <v>3</v>
      </c>
    </row>
    <row r="392" spans="1:13" x14ac:dyDescent="0.35">
      <c r="A392" s="227" t="s">
        <v>983</v>
      </c>
      <c r="B392" s="9">
        <v>46124</v>
      </c>
      <c r="C392" s="93"/>
      <c r="D392" s="93" t="s">
        <v>1419</v>
      </c>
      <c r="E392" s="226">
        <v>7488115181</v>
      </c>
      <c r="F392" s="93" t="str">
        <f>'Membership Level'!A12</f>
        <v>Swimming Moth</v>
      </c>
      <c r="G392" s="93" t="s">
        <v>463</v>
      </c>
      <c r="H392" s="75">
        <v>2200</v>
      </c>
      <c r="I392" s="75">
        <v>2200</v>
      </c>
      <c r="J392" s="61">
        <f t="shared" si="5"/>
        <v>0</v>
      </c>
      <c r="K392" s="9">
        <v>46124</v>
      </c>
      <c r="L392" s="59">
        <f>DATE(YEAR(K392),MONTH(K392)+VLOOKUP($F392,'Membership Level'!$A$3:$B$15,2,FALSE),DAY(K392))</f>
        <v>46154</v>
      </c>
      <c r="M392" s="58">
        <v>3</v>
      </c>
    </row>
    <row r="393" spans="1:13" x14ac:dyDescent="0.35">
      <c r="A393" s="227" t="s">
        <v>984</v>
      </c>
      <c r="B393" s="9">
        <v>46124</v>
      </c>
      <c r="C393" s="93"/>
      <c r="D393" s="93" t="s">
        <v>490</v>
      </c>
      <c r="E393" s="226">
        <v>7488115181</v>
      </c>
      <c r="F393" s="93" t="str">
        <f>'Membership Level'!A12</f>
        <v>Swimming Moth</v>
      </c>
      <c r="G393" s="93" t="s">
        <v>977</v>
      </c>
      <c r="H393" s="75">
        <v>2200</v>
      </c>
      <c r="I393" s="75">
        <v>2200</v>
      </c>
      <c r="J393" s="61">
        <f t="shared" si="5"/>
        <v>0</v>
      </c>
      <c r="K393" s="9">
        <v>46124</v>
      </c>
      <c r="L393" s="59">
        <f>DATE(YEAR(K393),MONTH(K393)+VLOOKUP($F393,'Membership Level'!$A$3:$B$15,2,FALSE),DAY(K393))</f>
        <v>46154</v>
      </c>
      <c r="M393" s="58">
        <v>3</v>
      </c>
    </row>
    <row r="394" spans="1:13" x14ac:dyDescent="0.35">
      <c r="A394" s="227" t="s">
        <v>985</v>
      </c>
      <c r="B394" s="9">
        <v>46124</v>
      </c>
      <c r="C394" s="93" t="s">
        <v>1011</v>
      </c>
      <c r="D394" s="93" t="s">
        <v>1010</v>
      </c>
      <c r="E394" s="226">
        <v>8810355375</v>
      </c>
      <c r="F394" s="93" t="str">
        <f>'Membership Level'!A12</f>
        <v>Swimming Moth</v>
      </c>
      <c r="G394" s="93" t="s">
        <v>1012</v>
      </c>
      <c r="H394" s="75">
        <v>2200</v>
      </c>
      <c r="I394" s="75">
        <v>2200</v>
      </c>
      <c r="J394" s="61">
        <f t="shared" si="5"/>
        <v>0</v>
      </c>
      <c r="K394" s="307">
        <v>46130</v>
      </c>
      <c r="L394" s="307">
        <f>DATE(YEAR(K394),MONTH(K394)+VLOOKUP($F394,'Membership Level'!$A$3:$B$15,2,FALSE),DAY(K394))</f>
        <v>46160</v>
      </c>
      <c r="M394" s="58">
        <v>3</v>
      </c>
    </row>
    <row r="395" spans="1:13" x14ac:dyDescent="0.35">
      <c r="A395" s="227" t="s">
        <v>986</v>
      </c>
      <c r="B395" s="9">
        <v>46124</v>
      </c>
      <c r="C395" s="93" t="s">
        <v>1014</v>
      </c>
      <c r="D395" s="93" t="s">
        <v>1013</v>
      </c>
      <c r="E395" s="226">
        <v>8447272551</v>
      </c>
      <c r="F395" s="93" t="str">
        <f>'Membership Level'!A12</f>
        <v>Swimming Moth</v>
      </c>
      <c r="G395" s="93" t="s">
        <v>463</v>
      </c>
      <c r="H395" s="75">
        <v>2000</v>
      </c>
      <c r="I395" s="75">
        <v>2000</v>
      </c>
      <c r="J395" s="61">
        <f t="shared" ref="J395:J458" si="6">H395-I395</f>
        <v>0</v>
      </c>
      <c r="K395" s="307">
        <v>46130</v>
      </c>
      <c r="L395" s="307">
        <f>DATE(YEAR(K395),MONTH(K395)+VLOOKUP($F395,'Membership Level'!$A$3:$B$15,2,FALSE),DAY(K395))</f>
        <v>46160</v>
      </c>
      <c r="M395" s="58">
        <v>3</v>
      </c>
    </row>
    <row r="396" spans="1:13" x14ac:dyDescent="0.35">
      <c r="A396" s="227" t="s">
        <v>987</v>
      </c>
      <c r="B396" s="9">
        <v>46124</v>
      </c>
      <c r="C396" s="93" t="s">
        <v>1014</v>
      </c>
      <c r="D396" s="93" t="s">
        <v>1015</v>
      </c>
      <c r="E396" s="226">
        <v>8447272551</v>
      </c>
      <c r="F396" s="93" t="str">
        <f>'Membership Level'!A12</f>
        <v>Swimming Moth</v>
      </c>
      <c r="G396" s="93" t="s">
        <v>463</v>
      </c>
      <c r="H396" s="75">
        <v>2000</v>
      </c>
      <c r="I396" s="75">
        <v>2000</v>
      </c>
      <c r="J396" s="61">
        <f t="shared" si="6"/>
        <v>0</v>
      </c>
      <c r="K396" s="9">
        <v>46124</v>
      </c>
      <c r="L396" s="59">
        <f>DATE(YEAR(K396),MONTH(K396)+VLOOKUP($F396,'Membership Level'!$A$3:$B$15,2,FALSE),DAY(K396))</f>
        <v>46154</v>
      </c>
      <c r="M396" s="58">
        <v>3</v>
      </c>
    </row>
    <row r="397" spans="1:13" x14ac:dyDescent="0.35">
      <c r="A397" s="227" t="s">
        <v>988</v>
      </c>
      <c r="B397" s="59">
        <v>46124</v>
      </c>
      <c r="C397" s="93" t="s">
        <v>959</v>
      </c>
      <c r="D397" s="93" t="s">
        <v>1016</v>
      </c>
      <c r="E397" s="226">
        <v>9507611444</v>
      </c>
      <c r="F397" s="93" t="str">
        <f>'Membership Level'!A12</f>
        <v>Swimming Moth</v>
      </c>
      <c r="G397" s="93" t="s">
        <v>880</v>
      </c>
      <c r="H397" s="75">
        <v>2800</v>
      </c>
      <c r="I397" s="75">
        <v>2800</v>
      </c>
      <c r="J397" s="61">
        <f t="shared" si="6"/>
        <v>0</v>
      </c>
      <c r="K397" s="300">
        <v>46154</v>
      </c>
      <c r="L397" s="300">
        <f>DATE(YEAR(K397),MONTH(K397)+VLOOKUP($F397,'Membership Level'!$A$3:$B$15,2,FALSE),DAY(K397))</f>
        <v>46185</v>
      </c>
      <c r="M397" s="58">
        <v>3</v>
      </c>
    </row>
    <row r="398" spans="1:13" x14ac:dyDescent="0.35">
      <c r="A398" s="227" t="s">
        <v>989</v>
      </c>
      <c r="B398" s="59">
        <v>46124</v>
      </c>
      <c r="C398" s="93" t="s">
        <v>1018</v>
      </c>
      <c r="D398" s="93" t="s">
        <v>1017</v>
      </c>
      <c r="E398" s="226">
        <v>9771423469</v>
      </c>
      <c r="F398" s="93" t="str">
        <f>'Membership Level'!A12</f>
        <v>Swimming Moth</v>
      </c>
      <c r="G398" s="93" t="s">
        <v>888</v>
      </c>
      <c r="H398" s="75">
        <v>2500</v>
      </c>
      <c r="I398" s="75">
        <v>2500</v>
      </c>
      <c r="J398" s="61">
        <f t="shared" si="6"/>
        <v>0</v>
      </c>
      <c r="K398" s="9">
        <v>46124</v>
      </c>
      <c r="L398" s="59">
        <f>DATE(YEAR(K398),MONTH(K398)+VLOOKUP($F398,'Membership Level'!$A$3:$B$15,2,FALSE),DAY(K398))</f>
        <v>46154</v>
      </c>
      <c r="M398" s="58">
        <v>3</v>
      </c>
    </row>
    <row r="399" spans="1:13" x14ac:dyDescent="0.35">
      <c r="A399" s="227" t="s">
        <v>990</v>
      </c>
      <c r="B399" s="59">
        <v>46124</v>
      </c>
      <c r="C399" s="93" t="s">
        <v>281</v>
      </c>
      <c r="D399" s="93" t="s">
        <v>567</v>
      </c>
      <c r="E399" s="226">
        <v>7305139185</v>
      </c>
      <c r="F399" s="93" t="str">
        <f>'Membership Level'!A12</f>
        <v>Swimming Moth</v>
      </c>
      <c r="G399" s="93" t="s">
        <v>1020</v>
      </c>
      <c r="H399" s="75">
        <v>2800</v>
      </c>
      <c r="I399" s="75">
        <v>2800</v>
      </c>
      <c r="J399" s="61">
        <f t="shared" si="6"/>
        <v>0</v>
      </c>
      <c r="K399" s="300">
        <v>46154</v>
      </c>
      <c r="L399" s="300">
        <f>DATE(YEAR(K399),MONTH(K399)+VLOOKUP($F399,'Membership Level'!$A$3:$B$15,2,FALSE),DAY(K399))</f>
        <v>46185</v>
      </c>
      <c r="M399" s="58">
        <v>3</v>
      </c>
    </row>
    <row r="400" spans="1:13" x14ac:dyDescent="0.35">
      <c r="A400" s="227" t="s">
        <v>991</v>
      </c>
      <c r="B400" s="59">
        <v>46124</v>
      </c>
      <c r="C400" s="93" t="s">
        <v>281</v>
      </c>
      <c r="D400" s="93" t="s">
        <v>1019</v>
      </c>
      <c r="E400" s="226">
        <v>7305139185</v>
      </c>
      <c r="F400" s="93" t="str">
        <f>'Membership Level'!A12</f>
        <v>Swimming Moth</v>
      </c>
      <c r="G400" s="93" t="s">
        <v>927</v>
      </c>
      <c r="H400" s="75">
        <v>2800</v>
      </c>
      <c r="I400" s="75">
        <v>2800</v>
      </c>
      <c r="J400" s="61">
        <f t="shared" si="6"/>
        <v>0</v>
      </c>
      <c r="K400" s="300">
        <v>46154</v>
      </c>
      <c r="L400" s="300">
        <f>DATE(YEAR(K400),MONTH(K400)+VLOOKUP($F400,'Membership Level'!$A$3:$B$15,2,FALSE),DAY(K400))</f>
        <v>46185</v>
      </c>
      <c r="M400" s="58">
        <v>3</v>
      </c>
    </row>
    <row r="401" spans="1:13" s="106" customFormat="1" x14ac:dyDescent="0.35">
      <c r="A401" s="324" t="s">
        <v>992</v>
      </c>
      <c r="B401" s="219">
        <v>46124</v>
      </c>
      <c r="C401" s="325" t="s">
        <v>259</v>
      </c>
      <c r="D401" s="325" t="s">
        <v>1021</v>
      </c>
      <c r="E401" s="326">
        <v>8002560007</v>
      </c>
      <c r="F401" s="325" t="str">
        <f>'Membership Level'!A12</f>
        <v>Swimming Moth</v>
      </c>
      <c r="G401" s="325" t="s">
        <v>1020</v>
      </c>
      <c r="H401" s="218">
        <v>2200</v>
      </c>
      <c r="I401" s="218">
        <v>2200</v>
      </c>
      <c r="J401" s="327">
        <f t="shared" si="6"/>
        <v>0</v>
      </c>
      <c r="K401" s="219">
        <v>46124</v>
      </c>
      <c r="L401" s="219">
        <f>DATE(YEAR(K401),MONTH(K401)+VLOOKUP($F401,'Membership Level'!$A$3:$B$15,2,FALSE),DAY(K401))</f>
        <v>46154</v>
      </c>
      <c r="M401" s="216">
        <v>3</v>
      </c>
    </row>
    <row r="402" spans="1:13" x14ac:dyDescent="0.35">
      <c r="A402" s="227" t="s">
        <v>993</v>
      </c>
      <c r="B402" s="59">
        <v>46124</v>
      </c>
      <c r="C402" s="93"/>
      <c r="D402" s="93" t="s">
        <v>1022</v>
      </c>
      <c r="E402" s="226">
        <v>9905814102</v>
      </c>
      <c r="F402" s="93" t="str">
        <f>'Membership Level'!A12</f>
        <v>Swimming Moth</v>
      </c>
      <c r="G402" s="93" t="s">
        <v>257</v>
      </c>
      <c r="H402" s="75">
        <v>4400</v>
      </c>
      <c r="I402" s="75">
        <v>4400</v>
      </c>
      <c r="J402" s="61">
        <f t="shared" si="6"/>
        <v>0</v>
      </c>
      <c r="K402" s="9">
        <v>46124</v>
      </c>
      <c r="L402" s="59">
        <f>DATE(YEAR(K402),MONTH(K402)+VLOOKUP($F402,'Membership Level'!$A$3:$B$15,2,FALSE),DAY(K402))</f>
        <v>46154</v>
      </c>
      <c r="M402" s="58">
        <v>3</v>
      </c>
    </row>
    <row r="403" spans="1:13" s="261" customFormat="1" x14ac:dyDescent="0.35">
      <c r="A403" s="255" t="s">
        <v>994</v>
      </c>
      <c r="B403" s="268">
        <v>46126</v>
      </c>
      <c r="C403" s="260" t="s">
        <v>861</v>
      </c>
      <c r="D403" s="260" t="s">
        <v>1023</v>
      </c>
      <c r="E403" s="257">
        <v>9931911544</v>
      </c>
      <c r="F403" s="260" t="str">
        <f>'Membership Level'!A13</f>
        <v>Swimming Qty</v>
      </c>
      <c r="G403" s="260" t="s">
        <v>216</v>
      </c>
      <c r="H403" s="266">
        <v>11500</v>
      </c>
      <c r="I403" s="266">
        <v>11500</v>
      </c>
      <c r="J403" s="267">
        <f t="shared" si="6"/>
        <v>0</v>
      </c>
      <c r="K403" s="268">
        <v>46067</v>
      </c>
      <c r="L403" s="268">
        <f>DATE(YEAR(K403),MONTH(K403)+VLOOKUP($F403,'Membership Level'!$A$3:$B$15,2,FALSE),DAY(K403))</f>
        <v>46156</v>
      </c>
      <c r="M403" s="269">
        <v>3</v>
      </c>
    </row>
    <row r="404" spans="1:13" x14ac:dyDescent="0.35">
      <c r="A404" s="227" t="s">
        <v>995</v>
      </c>
      <c r="B404" s="59">
        <v>46126</v>
      </c>
      <c r="C404" s="93" t="s">
        <v>202</v>
      </c>
      <c r="D404" s="93" t="s">
        <v>1025</v>
      </c>
      <c r="E404" s="226">
        <v>9661538567</v>
      </c>
      <c r="F404" s="93" t="str">
        <f>'Membership Level'!A12</f>
        <v>Swimming Moth</v>
      </c>
      <c r="G404" s="93" t="s">
        <v>248</v>
      </c>
      <c r="H404" s="75">
        <v>3800</v>
      </c>
      <c r="I404" s="75">
        <v>3800</v>
      </c>
      <c r="J404" s="61">
        <f t="shared" si="6"/>
        <v>0</v>
      </c>
      <c r="K404" s="9">
        <v>46126</v>
      </c>
      <c r="L404" s="59">
        <f>DATE(YEAR(K404),MONTH(K404)+VLOOKUP($F404,'Membership Level'!$A$3:$B$15,2,FALSE),DAY(K404))</f>
        <v>46156</v>
      </c>
      <c r="M404" s="58">
        <v>3</v>
      </c>
    </row>
    <row r="405" spans="1:13" s="261" customFormat="1" x14ac:dyDescent="0.35">
      <c r="A405" s="255" t="s">
        <v>996</v>
      </c>
      <c r="B405" s="268">
        <v>46126</v>
      </c>
      <c r="C405" s="260" t="s">
        <v>32</v>
      </c>
      <c r="D405" s="260" t="s">
        <v>1026</v>
      </c>
      <c r="E405" s="257">
        <v>9123199671</v>
      </c>
      <c r="F405" s="260" t="str">
        <f>'Membership Level'!A13</f>
        <v>Swimming Qty</v>
      </c>
      <c r="G405" s="260" t="s">
        <v>236</v>
      </c>
      <c r="H405" s="266">
        <v>11000</v>
      </c>
      <c r="I405" s="266">
        <v>11000</v>
      </c>
      <c r="J405" s="267">
        <f t="shared" si="6"/>
        <v>0</v>
      </c>
      <c r="K405" s="268">
        <v>46126</v>
      </c>
      <c r="L405" s="268">
        <f>DATE(YEAR(K405),MONTH(K405)+VLOOKUP($F405,'Membership Level'!$A$3:$B$15,2,FALSE),DAY(K405))</f>
        <v>46217</v>
      </c>
      <c r="M405" s="269">
        <v>3</v>
      </c>
    </row>
    <row r="406" spans="1:13" s="261" customFormat="1" x14ac:dyDescent="0.35">
      <c r="A406" s="255" t="s">
        <v>997</v>
      </c>
      <c r="B406" s="268">
        <v>46126</v>
      </c>
      <c r="C406" s="260" t="s">
        <v>333</v>
      </c>
      <c r="D406" s="260" t="s">
        <v>1027</v>
      </c>
      <c r="E406" s="257">
        <v>6395704169</v>
      </c>
      <c r="F406" s="260" t="str">
        <f>'Membership Level'!A13</f>
        <v>Swimming Qty</v>
      </c>
      <c r="G406" s="260" t="s">
        <v>236</v>
      </c>
      <c r="H406" s="266">
        <v>11000</v>
      </c>
      <c r="I406" s="266">
        <v>11000</v>
      </c>
      <c r="J406" s="267">
        <f t="shared" si="6"/>
        <v>0</v>
      </c>
      <c r="K406" s="268">
        <v>46126</v>
      </c>
      <c r="L406" s="268">
        <f>DATE(YEAR(K406),MONTH(K406)+VLOOKUP($F406,'Membership Level'!$A$3:$B$15,2,FALSE),DAY(K406))</f>
        <v>46217</v>
      </c>
      <c r="M406" s="269">
        <v>3</v>
      </c>
    </row>
    <row r="407" spans="1:13" x14ac:dyDescent="0.35">
      <c r="A407" s="227" t="s">
        <v>998</v>
      </c>
      <c r="B407" s="59">
        <v>46127</v>
      </c>
      <c r="C407" s="93" t="s">
        <v>312</v>
      </c>
      <c r="D407" s="93" t="s">
        <v>1028</v>
      </c>
      <c r="E407" s="226">
        <v>9122516151</v>
      </c>
      <c r="F407" s="93" t="str">
        <f>'Membership Level'!A12</f>
        <v>Swimming Moth</v>
      </c>
      <c r="G407" s="93" t="s">
        <v>248</v>
      </c>
      <c r="H407" s="75">
        <v>3300</v>
      </c>
      <c r="I407" s="75">
        <v>3300</v>
      </c>
      <c r="J407" s="61">
        <f t="shared" si="6"/>
        <v>0</v>
      </c>
      <c r="K407" s="300">
        <v>46157</v>
      </c>
      <c r="L407" s="300">
        <f>DATE(YEAR(K407),MONTH(K407)+VLOOKUP($F407,'Membership Level'!$A$3:$B$15,2,FALSE),DAY(K407))</f>
        <v>46188</v>
      </c>
      <c r="M407" s="58">
        <v>3</v>
      </c>
    </row>
    <row r="408" spans="1:13" x14ac:dyDescent="0.35">
      <c r="A408" s="227" t="s">
        <v>999</v>
      </c>
      <c r="B408" s="59">
        <v>46127</v>
      </c>
      <c r="C408" s="93" t="s">
        <v>1049</v>
      </c>
      <c r="D408" s="93" t="s">
        <v>1050</v>
      </c>
      <c r="E408" s="226">
        <v>9899582476</v>
      </c>
      <c r="F408" s="93" t="str">
        <f>'Membership Level'!A12</f>
        <v>Swimming Moth</v>
      </c>
      <c r="G408" s="93" t="s">
        <v>257</v>
      </c>
      <c r="H408" s="75">
        <v>3500</v>
      </c>
      <c r="I408" s="75">
        <v>3500</v>
      </c>
      <c r="J408" s="61">
        <f t="shared" si="6"/>
        <v>0</v>
      </c>
      <c r="K408" s="9">
        <v>46127</v>
      </c>
      <c r="L408" s="59">
        <f>DATE(YEAR(K408),MONTH(K408)+VLOOKUP($F408,'Membership Level'!$A$3:$B$15,2,FALSE),DAY(K408))</f>
        <v>46157</v>
      </c>
      <c r="M408" s="58">
        <v>3</v>
      </c>
    </row>
    <row r="409" spans="1:13" ht="15" thickBot="1" x14ac:dyDescent="0.4">
      <c r="A409" s="227" t="s">
        <v>1000</v>
      </c>
      <c r="B409" s="59">
        <v>46127</v>
      </c>
      <c r="C409" s="93" t="s">
        <v>1049</v>
      </c>
      <c r="D409" s="224" t="s">
        <v>1051</v>
      </c>
      <c r="E409" s="226">
        <v>9899582476</v>
      </c>
      <c r="F409" s="93" t="str">
        <f>'Membership Level'!A12</f>
        <v>Swimming Moth</v>
      </c>
      <c r="G409" s="93" t="s">
        <v>257</v>
      </c>
      <c r="H409" s="75">
        <v>4000</v>
      </c>
      <c r="I409" s="75">
        <v>4000</v>
      </c>
      <c r="J409" s="61">
        <f t="shared" si="6"/>
        <v>0</v>
      </c>
      <c r="K409" s="9">
        <v>46127</v>
      </c>
      <c r="L409" s="59">
        <f>DATE(YEAR(K409),MONTH(K409)+VLOOKUP($F409,'Membership Level'!$A$3:$B$15,2,FALSE),DAY(K409))</f>
        <v>46157</v>
      </c>
      <c r="M409" s="58">
        <v>3</v>
      </c>
    </row>
    <row r="410" spans="1:13" ht="19.5" customHeight="1" thickBot="1" x14ac:dyDescent="0.4">
      <c r="A410" s="227" t="s">
        <v>1001</v>
      </c>
      <c r="B410" s="59">
        <v>46127</v>
      </c>
      <c r="C410" s="93" t="s">
        <v>1049</v>
      </c>
      <c r="D410" s="93" t="s">
        <v>1052</v>
      </c>
      <c r="E410" s="328">
        <v>9899582476</v>
      </c>
      <c r="F410" s="329" t="str">
        <f>'Membership Level'!A12</f>
        <v>Swimming Moth</v>
      </c>
      <c r="G410" s="93" t="s">
        <v>257</v>
      </c>
      <c r="H410" s="75">
        <v>4000</v>
      </c>
      <c r="I410" s="75">
        <v>4000</v>
      </c>
      <c r="J410" s="61">
        <f t="shared" si="6"/>
        <v>0</v>
      </c>
      <c r="K410" s="9">
        <v>46127</v>
      </c>
      <c r="L410" s="59">
        <v>46157</v>
      </c>
      <c r="M410" s="58">
        <v>3</v>
      </c>
    </row>
    <row r="411" spans="1:13" ht="15" thickBot="1" x14ac:dyDescent="0.4">
      <c r="A411" s="227" t="s">
        <v>1002</v>
      </c>
      <c r="B411" s="59">
        <v>46127</v>
      </c>
      <c r="C411" s="93" t="s">
        <v>1054</v>
      </c>
      <c r="D411" s="93" t="s">
        <v>1053</v>
      </c>
      <c r="E411" s="328">
        <v>8210438591</v>
      </c>
      <c r="F411" s="329" t="str">
        <f>'Membership Level'!A12</f>
        <v>Swimming Moth</v>
      </c>
      <c r="G411" s="93" t="s">
        <v>257</v>
      </c>
      <c r="H411" s="75">
        <v>3500</v>
      </c>
      <c r="I411" s="75">
        <v>3500</v>
      </c>
      <c r="J411" s="61">
        <f t="shared" si="6"/>
        <v>0</v>
      </c>
      <c r="K411" s="9">
        <v>46127</v>
      </c>
      <c r="L411" s="59">
        <v>46157</v>
      </c>
      <c r="M411" s="58">
        <v>3</v>
      </c>
    </row>
    <row r="412" spans="1:13" ht="15" thickBot="1" x14ac:dyDescent="0.4">
      <c r="A412" s="227" t="s">
        <v>1029</v>
      </c>
      <c r="B412" s="59">
        <v>46127</v>
      </c>
      <c r="C412" s="93" t="s">
        <v>30</v>
      </c>
      <c r="D412" s="93" t="s">
        <v>1055</v>
      </c>
      <c r="E412" s="328">
        <v>8294267125</v>
      </c>
      <c r="F412" s="329" t="str">
        <f>'Membership Level'!A12</f>
        <v>Swimming Moth</v>
      </c>
      <c r="G412" s="93" t="s">
        <v>325</v>
      </c>
      <c r="H412" s="75">
        <v>3500</v>
      </c>
      <c r="I412" s="75">
        <v>3500</v>
      </c>
      <c r="J412" s="61">
        <f t="shared" si="6"/>
        <v>0</v>
      </c>
      <c r="K412" s="9">
        <v>46127</v>
      </c>
      <c r="L412" s="59">
        <f>DATE(YEAR(K412),MONTH(K412)+VLOOKUP($F410,'Membership Level'!$A$3:$B$15,2,FALSE),DAY(K412))</f>
        <v>46157</v>
      </c>
      <c r="M412" s="58">
        <v>3</v>
      </c>
    </row>
    <row r="413" spans="1:13" ht="15" thickBot="1" x14ac:dyDescent="0.4">
      <c r="A413" s="227" t="s">
        <v>1030</v>
      </c>
      <c r="B413" s="59">
        <v>46127</v>
      </c>
      <c r="C413" s="93" t="s">
        <v>30</v>
      </c>
      <c r="D413" s="93" t="s">
        <v>1056</v>
      </c>
      <c r="E413" s="328">
        <v>8294267125</v>
      </c>
      <c r="F413" s="329" t="str">
        <f>'Membership Level'!A12</f>
        <v>Swimming Moth</v>
      </c>
      <c r="G413" s="93" t="s">
        <v>257</v>
      </c>
      <c r="H413" s="75">
        <v>4000</v>
      </c>
      <c r="I413" s="75">
        <v>4000</v>
      </c>
      <c r="J413" s="61">
        <f t="shared" si="6"/>
        <v>0</v>
      </c>
      <c r="K413" s="9">
        <v>46127</v>
      </c>
      <c r="L413" s="59">
        <f>DATE(YEAR(K413),MONTH(K413)+VLOOKUP($F411,'Membership Level'!$A$3:$B$15,2,FALSE),DAY(K413))</f>
        <v>46157</v>
      </c>
      <c r="M413" s="58">
        <v>3</v>
      </c>
    </row>
    <row r="414" spans="1:13" s="261" customFormat="1" ht="15" thickBot="1" x14ac:dyDescent="0.4">
      <c r="A414" s="255" t="s">
        <v>1031</v>
      </c>
      <c r="B414" s="268">
        <v>46127</v>
      </c>
      <c r="C414" s="260" t="s">
        <v>1057</v>
      </c>
      <c r="D414" s="260" t="s">
        <v>1058</v>
      </c>
      <c r="E414" s="330">
        <v>8340630594</v>
      </c>
      <c r="F414" s="331" t="str">
        <f>'Membership Level'!A16</f>
        <v>Swimming Qty (3 days)</v>
      </c>
      <c r="G414" s="260" t="s">
        <v>1059</v>
      </c>
      <c r="H414" s="266">
        <v>7000</v>
      </c>
      <c r="I414" s="266">
        <v>7000</v>
      </c>
      <c r="J414" s="267">
        <f t="shared" si="6"/>
        <v>0</v>
      </c>
      <c r="K414" s="268">
        <v>46127</v>
      </c>
      <c r="L414" s="268">
        <f>DATE(YEAR(K414),MONTH(K414)+VLOOKUP($F412,'Membership Level'!$A$3:$B$15,2,FALSE),DAY(K414))</f>
        <v>46157</v>
      </c>
      <c r="M414" s="269">
        <v>3</v>
      </c>
    </row>
    <row r="415" spans="1:13" ht="15" thickBot="1" x14ac:dyDescent="0.4">
      <c r="A415" s="227" t="s">
        <v>1032</v>
      </c>
      <c r="B415" s="59">
        <v>46127</v>
      </c>
      <c r="C415" s="93" t="s">
        <v>222</v>
      </c>
      <c r="D415" s="93" t="s">
        <v>1408</v>
      </c>
      <c r="E415" s="328">
        <v>9304834745</v>
      </c>
      <c r="F415" s="329" t="str">
        <f>'Membership Level'!A12</f>
        <v>Swimming Moth</v>
      </c>
      <c r="G415" s="93" t="s">
        <v>1060</v>
      </c>
      <c r="H415" s="75">
        <v>3500</v>
      </c>
      <c r="I415" s="75">
        <v>3500</v>
      </c>
      <c r="J415" s="61">
        <f t="shared" si="6"/>
        <v>0</v>
      </c>
      <c r="K415" s="9">
        <v>46127</v>
      </c>
      <c r="L415" s="59">
        <f>DATE(YEAR(K415),MONTH(K415)+VLOOKUP($F413,'Membership Level'!$A$3:$B$15,2,FALSE),DAY(K415))</f>
        <v>46157</v>
      </c>
      <c r="M415" s="58">
        <v>3</v>
      </c>
    </row>
    <row r="416" spans="1:13" ht="15" thickBot="1" x14ac:dyDescent="0.4">
      <c r="A416" s="227" t="s">
        <v>1033</v>
      </c>
      <c r="B416" s="59">
        <v>46127</v>
      </c>
      <c r="C416" s="93" t="s">
        <v>814</v>
      </c>
      <c r="D416" s="93" t="s">
        <v>1061</v>
      </c>
      <c r="E416" s="328">
        <v>9296863309</v>
      </c>
      <c r="F416" s="329" t="str">
        <f>'Membership Level'!A12</f>
        <v>Swimming Moth</v>
      </c>
      <c r="G416" s="93" t="s">
        <v>257</v>
      </c>
      <c r="H416" s="75">
        <v>4400</v>
      </c>
      <c r="I416" s="75">
        <v>4400</v>
      </c>
      <c r="J416" s="61">
        <f t="shared" si="6"/>
        <v>0</v>
      </c>
      <c r="K416" s="9">
        <v>46127</v>
      </c>
      <c r="L416" s="59">
        <v>46157</v>
      </c>
      <c r="M416" s="58">
        <v>3</v>
      </c>
    </row>
    <row r="417" spans="1:13" x14ac:dyDescent="0.35">
      <c r="A417" s="227" t="s">
        <v>1034</v>
      </c>
      <c r="B417" s="59">
        <v>46128</v>
      </c>
      <c r="C417" s="93" t="s">
        <v>1062</v>
      </c>
      <c r="D417" s="93" t="s">
        <v>1064</v>
      </c>
      <c r="E417" s="328">
        <v>7484030479</v>
      </c>
      <c r="F417" s="93" t="str">
        <f>'Membership Level'!A12</f>
        <v>Swimming Moth</v>
      </c>
      <c r="G417" s="93" t="s">
        <v>257</v>
      </c>
      <c r="H417" s="75">
        <v>4000</v>
      </c>
      <c r="I417" s="75">
        <v>4000</v>
      </c>
      <c r="J417" s="61">
        <f t="shared" si="6"/>
        <v>0</v>
      </c>
      <c r="K417" s="9">
        <v>46128</v>
      </c>
      <c r="L417" s="59">
        <f>DATE(YEAR(K417),MONTH(K417)+VLOOKUP($F415,'Membership Level'!$A$3:$B$15,2,FALSE),DAY(K417))</f>
        <v>46158</v>
      </c>
      <c r="M417" s="58">
        <v>3</v>
      </c>
    </row>
    <row r="418" spans="1:13" x14ac:dyDescent="0.35">
      <c r="A418" s="227" t="s">
        <v>1035</v>
      </c>
      <c r="B418" s="59">
        <v>46128</v>
      </c>
      <c r="C418" s="93" t="s">
        <v>1062</v>
      </c>
      <c r="D418" s="93" t="s">
        <v>1063</v>
      </c>
      <c r="E418" s="226">
        <v>9110164371</v>
      </c>
      <c r="F418" s="93" t="str">
        <f>'Membership Level'!A12</f>
        <v>Swimming Moth</v>
      </c>
      <c r="G418" s="93" t="s">
        <v>257</v>
      </c>
      <c r="H418" s="75">
        <v>4000</v>
      </c>
      <c r="I418" s="75">
        <v>4000</v>
      </c>
      <c r="J418" s="61">
        <f t="shared" si="6"/>
        <v>0</v>
      </c>
      <c r="K418" s="9">
        <v>46128</v>
      </c>
      <c r="L418" s="59">
        <f>DATE(YEAR(K418),MONTH(K418)+VLOOKUP($F416,'Membership Level'!$A$3:$B$15,2,FALSE),DAY(K418))</f>
        <v>46158</v>
      </c>
      <c r="M418" s="58">
        <v>3</v>
      </c>
    </row>
    <row r="419" spans="1:13" x14ac:dyDescent="0.35">
      <c r="A419" s="227" t="s">
        <v>1036</v>
      </c>
      <c r="B419" s="59">
        <v>46128</v>
      </c>
      <c r="C419" s="93"/>
      <c r="D419" s="93" t="s">
        <v>1065</v>
      </c>
      <c r="E419" s="226">
        <v>7992298315</v>
      </c>
      <c r="F419" s="93" t="str">
        <f>'Membership Level'!A12</f>
        <v>Swimming Moth</v>
      </c>
      <c r="G419" s="93" t="s">
        <v>248</v>
      </c>
      <c r="H419" s="75">
        <v>3500</v>
      </c>
      <c r="I419" s="75">
        <v>3500</v>
      </c>
      <c r="J419" s="61">
        <f t="shared" si="6"/>
        <v>0</v>
      </c>
      <c r="K419" s="9">
        <v>46128</v>
      </c>
      <c r="L419" s="59">
        <f>DATE(YEAR(K419),MONTH(K419)+VLOOKUP($F417,'Membership Level'!$A$3:$B$15,2,FALSE),DAY(K419))</f>
        <v>46158</v>
      </c>
      <c r="M419" s="58">
        <v>3</v>
      </c>
    </row>
    <row r="420" spans="1:13" x14ac:dyDescent="0.35">
      <c r="A420" s="227" t="s">
        <v>1037</v>
      </c>
      <c r="B420" s="59">
        <v>46128</v>
      </c>
      <c r="C420" s="93" t="s">
        <v>1067</v>
      </c>
      <c r="D420" s="93" t="s">
        <v>1066</v>
      </c>
      <c r="E420" s="226">
        <v>9572274353</v>
      </c>
      <c r="F420" s="93" t="str">
        <f>'Membership Level'!A12</f>
        <v>Swimming Moth</v>
      </c>
      <c r="G420" s="93" t="s">
        <v>248</v>
      </c>
      <c r="H420" s="75">
        <v>4400</v>
      </c>
      <c r="I420" s="75">
        <v>4400</v>
      </c>
      <c r="J420" s="61">
        <f t="shared" si="6"/>
        <v>0</v>
      </c>
      <c r="K420" s="9">
        <v>46128</v>
      </c>
      <c r="L420" s="59">
        <f>DATE(YEAR(K420),MONTH(K420)+VLOOKUP($F418,'Membership Level'!$A$3:$B$15,2,FALSE),DAY(K420))</f>
        <v>46158</v>
      </c>
      <c r="M420" s="58">
        <v>3</v>
      </c>
    </row>
    <row r="421" spans="1:13" x14ac:dyDescent="0.35">
      <c r="A421" s="227" t="s">
        <v>1038</v>
      </c>
      <c r="B421" s="59">
        <v>46128</v>
      </c>
      <c r="C421" s="93" t="s">
        <v>30</v>
      </c>
      <c r="D421" s="93" t="s">
        <v>1068</v>
      </c>
      <c r="E421" s="226">
        <v>9905514665</v>
      </c>
      <c r="F421" s="93" t="str">
        <f>'Membership Level'!A12</f>
        <v>Swimming Moth</v>
      </c>
      <c r="G421" s="93" t="s">
        <v>455</v>
      </c>
      <c r="H421" s="75">
        <v>2800</v>
      </c>
      <c r="I421" s="75">
        <v>2800</v>
      </c>
      <c r="J421" s="61">
        <f t="shared" si="6"/>
        <v>0</v>
      </c>
      <c r="K421" s="9">
        <v>46128</v>
      </c>
      <c r="L421" s="59">
        <f>DATE(YEAR(K421),MONTH(K421)+VLOOKUP($F419,'Membership Level'!$A$3:$B$15,2,FALSE),DAY(K421))</f>
        <v>46158</v>
      </c>
      <c r="M421" s="58">
        <v>3</v>
      </c>
    </row>
    <row r="422" spans="1:13" x14ac:dyDescent="0.35">
      <c r="A422" s="227" t="s">
        <v>1039</v>
      </c>
      <c r="B422" s="59">
        <v>46128</v>
      </c>
      <c r="C422" s="93" t="s">
        <v>30</v>
      </c>
      <c r="D422" s="93" t="s">
        <v>1070</v>
      </c>
      <c r="E422" s="226">
        <v>7091975237</v>
      </c>
      <c r="F422" s="93" t="str">
        <f>'Membership Level'!A12</f>
        <v>Swimming Moth</v>
      </c>
      <c r="G422" s="93" t="s">
        <v>1071</v>
      </c>
      <c r="H422" s="75">
        <v>3300</v>
      </c>
      <c r="I422" s="75">
        <v>3300</v>
      </c>
      <c r="J422" s="61">
        <f t="shared" si="6"/>
        <v>0</v>
      </c>
      <c r="K422" s="300">
        <v>46158</v>
      </c>
      <c r="L422" s="300">
        <f>DATE(YEAR(K422),MONTH(K422)+VLOOKUP($F420,'Membership Level'!$A$3:$B$15,2,FALSE),DAY(K422))</f>
        <v>46189</v>
      </c>
      <c r="M422" s="58">
        <v>3</v>
      </c>
    </row>
    <row r="423" spans="1:13" x14ac:dyDescent="0.35">
      <c r="A423" s="227" t="s">
        <v>1040</v>
      </c>
      <c r="B423" s="59">
        <v>46128</v>
      </c>
      <c r="C423" s="93" t="s">
        <v>333</v>
      </c>
      <c r="D423" s="93" t="s">
        <v>1069</v>
      </c>
      <c r="E423" s="226">
        <v>9334548082</v>
      </c>
      <c r="F423" s="93" t="str">
        <f>'Membership Level'!A12</f>
        <v>Swimming Moth</v>
      </c>
      <c r="G423" s="93" t="s">
        <v>248</v>
      </c>
      <c r="H423" s="75">
        <v>4400</v>
      </c>
      <c r="I423" s="75">
        <v>4400</v>
      </c>
      <c r="J423" s="61">
        <f t="shared" si="6"/>
        <v>0</v>
      </c>
      <c r="K423" s="9">
        <v>46128</v>
      </c>
      <c r="L423" s="59">
        <f>DATE(YEAR(K423),MONTH(K423)+VLOOKUP($F421,'Membership Level'!$A$3:$B$15,2,FALSE),DAY(K423))</f>
        <v>46158</v>
      </c>
      <c r="M423" s="58">
        <v>3</v>
      </c>
    </row>
    <row r="424" spans="1:13" x14ac:dyDescent="0.35">
      <c r="A424" s="227" t="s">
        <v>1041</v>
      </c>
      <c r="B424" s="59">
        <v>46129</v>
      </c>
      <c r="C424" s="93" t="s">
        <v>281</v>
      </c>
      <c r="D424" s="93" t="s">
        <v>1072</v>
      </c>
      <c r="E424" s="226">
        <v>7004522943</v>
      </c>
      <c r="F424" s="93" t="str">
        <f>'Membership Level'!A12</f>
        <v>Swimming Moth</v>
      </c>
      <c r="G424" s="93" t="s">
        <v>257</v>
      </c>
      <c r="H424" s="75">
        <v>4000</v>
      </c>
      <c r="I424" s="75">
        <v>4000</v>
      </c>
      <c r="J424" s="61">
        <f t="shared" si="6"/>
        <v>0</v>
      </c>
      <c r="K424" s="9">
        <v>46129</v>
      </c>
      <c r="L424" s="59">
        <f>DATE(YEAR(K424),MONTH(K424)+VLOOKUP($F422,'Membership Level'!$A$3:$B$15,2,FALSE),DAY(K424))</f>
        <v>46159</v>
      </c>
      <c r="M424" s="58">
        <v>3</v>
      </c>
    </row>
    <row r="425" spans="1:13" x14ac:dyDescent="0.35">
      <c r="A425" s="227" t="s">
        <v>1042</v>
      </c>
      <c r="B425" s="59">
        <v>46129</v>
      </c>
      <c r="C425" s="93" t="s">
        <v>291</v>
      </c>
      <c r="D425" s="93" t="s">
        <v>1073</v>
      </c>
      <c r="E425" s="235">
        <v>8789432896</v>
      </c>
      <c r="F425" s="93" t="str">
        <f>'Membership Level'!A12</f>
        <v>Swimming Moth</v>
      </c>
      <c r="G425" s="93" t="s">
        <v>257</v>
      </c>
      <c r="H425" s="75">
        <v>4400</v>
      </c>
      <c r="I425" s="75">
        <v>4400</v>
      </c>
      <c r="J425" s="61">
        <f t="shared" si="6"/>
        <v>0</v>
      </c>
      <c r="K425" s="9">
        <v>46129</v>
      </c>
      <c r="L425" s="59">
        <f>DATE(YEAR(K425),MONTH(K425)+VLOOKUP($F423,'Membership Level'!$A$3:$B$15,2,FALSE),DAY(K425))</f>
        <v>46159</v>
      </c>
      <c r="M425" s="58">
        <v>3</v>
      </c>
    </row>
    <row r="426" spans="1:13" x14ac:dyDescent="0.35">
      <c r="A426" s="227" t="s">
        <v>1043</v>
      </c>
      <c r="B426" s="59">
        <v>46129</v>
      </c>
      <c r="C426" s="93" t="s">
        <v>32</v>
      </c>
      <c r="D426" s="93" t="s">
        <v>1074</v>
      </c>
      <c r="E426" s="235">
        <v>8294608133</v>
      </c>
      <c r="F426" s="93" t="str">
        <f>'Membership Level'!A12</f>
        <v>Swimming Moth</v>
      </c>
      <c r="G426" s="93" t="s">
        <v>257</v>
      </c>
      <c r="H426" s="75">
        <v>3300</v>
      </c>
      <c r="I426" s="75">
        <v>3300</v>
      </c>
      <c r="J426" s="61">
        <f t="shared" si="6"/>
        <v>0</v>
      </c>
      <c r="K426" s="9">
        <v>46129</v>
      </c>
      <c r="L426" s="59">
        <f>DATE(YEAR(K426),MONTH(K426)+VLOOKUP($F424,'Membership Level'!$A$3:$B$15,2,FALSE),DAY(K426))</f>
        <v>46159</v>
      </c>
      <c r="M426" s="58">
        <v>3</v>
      </c>
    </row>
    <row r="427" spans="1:13" x14ac:dyDescent="0.35">
      <c r="A427" s="227" t="s">
        <v>1044</v>
      </c>
      <c r="B427" s="59">
        <v>46129</v>
      </c>
      <c r="C427" s="93" t="s">
        <v>281</v>
      </c>
      <c r="D427" s="93" t="s">
        <v>1075</v>
      </c>
      <c r="E427" s="226">
        <v>8294608133</v>
      </c>
      <c r="F427" s="93" t="str">
        <f>'Membership Level'!A12</f>
        <v>Swimming Moth</v>
      </c>
      <c r="G427" s="93" t="s">
        <v>257</v>
      </c>
      <c r="H427" s="75">
        <v>3800</v>
      </c>
      <c r="I427" s="75">
        <v>3800</v>
      </c>
      <c r="J427" s="61">
        <f t="shared" si="6"/>
        <v>0</v>
      </c>
      <c r="K427" s="9">
        <v>46129</v>
      </c>
      <c r="L427" s="59">
        <f>DATE(YEAR(K427),MONTH(K427)+VLOOKUP($F425,'Membership Level'!$A$3:$B$15,2,FALSE),DAY(K427))</f>
        <v>46159</v>
      </c>
      <c r="M427" s="58">
        <v>3</v>
      </c>
    </row>
    <row r="428" spans="1:13" x14ac:dyDescent="0.35">
      <c r="A428" s="227" t="s">
        <v>1045</v>
      </c>
      <c r="B428" s="59">
        <v>46129</v>
      </c>
      <c r="C428" s="93" t="s">
        <v>872</v>
      </c>
      <c r="D428" s="241" t="s">
        <v>1076</v>
      </c>
      <c r="E428" s="332">
        <v>8554925434</v>
      </c>
      <c r="F428" s="93" t="str">
        <f>'Membership Level'!A12</f>
        <v>Swimming Moth</v>
      </c>
      <c r="G428" s="93" t="s">
        <v>257</v>
      </c>
      <c r="H428" s="75">
        <v>3800</v>
      </c>
      <c r="I428" s="75">
        <v>3800</v>
      </c>
      <c r="J428" s="61">
        <f t="shared" si="6"/>
        <v>0</v>
      </c>
      <c r="K428" s="9">
        <v>46129</v>
      </c>
      <c r="L428" s="59">
        <v>46129</v>
      </c>
      <c r="M428" s="58">
        <v>3</v>
      </c>
    </row>
    <row r="429" spans="1:13" x14ac:dyDescent="0.35">
      <c r="A429" s="227" t="s">
        <v>1046</v>
      </c>
      <c r="B429" s="59">
        <v>46129</v>
      </c>
      <c r="C429" s="93" t="s">
        <v>577</v>
      </c>
      <c r="D429" s="93" t="s">
        <v>1077</v>
      </c>
      <c r="E429" s="226">
        <v>6387464675</v>
      </c>
      <c r="F429" s="93" t="str">
        <f>'Membership Level'!A12</f>
        <v>Swimming Moth</v>
      </c>
      <c r="G429" s="93" t="s">
        <v>455</v>
      </c>
      <c r="H429" s="75">
        <v>2800</v>
      </c>
      <c r="I429" s="75">
        <v>2800</v>
      </c>
      <c r="J429" s="61">
        <f t="shared" si="6"/>
        <v>0</v>
      </c>
      <c r="K429" s="9">
        <v>46129</v>
      </c>
      <c r="L429" s="59">
        <f>DATE(YEAR(K429),MONTH(K429)+VLOOKUP($F427,'Membership Level'!$A$3:$B$15,2,FALSE),DAY(K429))</f>
        <v>46159</v>
      </c>
      <c r="M429" s="58">
        <v>3</v>
      </c>
    </row>
    <row r="430" spans="1:13" x14ac:dyDescent="0.35">
      <c r="A430" s="227" t="s">
        <v>1047</v>
      </c>
      <c r="B430" s="59">
        <v>46130</v>
      </c>
      <c r="C430" s="93" t="s">
        <v>461</v>
      </c>
      <c r="D430" s="93" t="s">
        <v>1069</v>
      </c>
      <c r="E430" s="226">
        <v>8434007319</v>
      </c>
      <c r="F430" s="93" t="str">
        <f>'Membership Level'!A12</f>
        <v>Swimming Moth</v>
      </c>
      <c r="G430" s="93" t="s">
        <v>248</v>
      </c>
      <c r="H430" s="75">
        <v>4400</v>
      </c>
      <c r="I430" s="75">
        <v>4400</v>
      </c>
      <c r="J430" s="61">
        <f t="shared" si="6"/>
        <v>0</v>
      </c>
      <c r="K430" s="9">
        <v>46130</v>
      </c>
      <c r="L430" s="59">
        <f>DATE(YEAR(K430),MONTH(K430)+VLOOKUP($F428,'Membership Level'!$A$3:$B$15,2,FALSE),DAY(K430))</f>
        <v>46160</v>
      </c>
      <c r="M430" s="58">
        <v>3</v>
      </c>
    </row>
    <row r="431" spans="1:13" x14ac:dyDescent="0.35">
      <c r="A431" s="227" t="s">
        <v>1048</v>
      </c>
      <c r="B431" s="59">
        <v>46130</v>
      </c>
      <c r="C431" s="93" t="s">
        <v>783</v>
      </c>
      <c r="D431" s="93" t="s">
        <v>1078</v>
      </c>
      <c r="E431" s="226">
        <v>8002081222</v>
      </c>
      <c r="F431" s="93" t="str">
        <f>'Membership Level'!A12</f>
        <v>Swimming Moth</v>
      </c>
      <c r="G431" s="93" t="s">
        <v>297</v>
      </c>
      <c r="H431" s="75">
        <v>3300</v>
      </c>
      <c r="I431" s="75">
        <v>3300</v>
      </c>
      <c r="J431" s="61">
        <f t="shared" si="6"/>
        <v>0</v>
      </c>
      <c r="K431" s="9">
        <v>46130</v>
      </c>
      <c r="L431" s="59">
        <f>DATE(YEAR(K431),MONTH(K431)+VLOOKUP($F429,'Membership Level'!$A$3:$B$15,2,FALSE),DAY(K431))</f>
        <v>46160</v>
      </c>
      <c r="M431" s="58">
        <v>3</v>
      </c>
    </row>
    <row r="432" spans="1:13" x14ac:dyDescent="0.35">
      <c r="A432" s="227" t="s">
        <v>1079</v>
      </c>
      <c r="B432" s="59">
        <v>46130</v>
      </c>
      <c r="C432" s="93" t="s">
        <v>333</v>
      </c>
      <c r="D432" s="93" t="s">
        <v>874</v>
      </c>
      <c r="E432" s="226">
        <v>9708216967</v>
      </c>
      <c r="F432" s="93" t="str">
        <f>'Membership Level'!A12</f>
        <v>Swimming Moth</v>
      </c>
      <c r="G432" s="93" t="s">
        <v>977</v>
      </c>
      <c r="H432" s="75">
        <v>2200</v>
      </c>
      <c r="I432" s="75">
        <v>2200</v>
      </c>
      <c r="J432" s="61">
        <f t="shared" si="6"/>
        <v>0</v>
      </c>
      <c r="K432" s="59">
        <v>46130</v>
      </c>
      <c r="L432" s="59">
        <f>DATE(YEAR(K432),MONTH(K432)+VLOOKUP($F430,'Membership Level'!$A$3:$B$15,2,FALSE),DAY(K432))</f>
        <v>46160</v>
      </c>
      <c r="M432" s="58">
        <v>3</v>
      </c>
    </row>
    <row r="433" spans="1:13" x14ac:dyDescent="0.35">
      <c r="A433" s="227" t="s">
        <v>1080</v>
      </c>
      <c r="B433" s="59">
        <v>46130</v>
      </c>
      <c r="C433" s="93"/>
      <c r="D433" s="93" t="s">
        <v>1129</v>
      </c>
      <c r="E433" s="226">
        <v>9708216967</v>
      </c>
      <c r="F433" s="93" t="str">
        <f>'Membership Level'!A12</f>
        <v>Swimming Moth</v>
      </c>
      <c r="G433" s="93" t="s">
        <v>977</v>
      </c>
      <c r="H433" s="75">
        <v>2200</v>
      </c>
      <c r="I433" s="75">
        <v>2200</v>
      </c>
      <c r="J433" s="61">
        <f t="shared" si="6"/>
        <v>0</v>
      </c>
      <c r="K433" s="59">
        <v>46130</v>
      </c>
      <c r="L433" s="59">
        <f>DATE(YEAR(K433),MONTH(K433)+VLOOKUP($F431,'Membership Level'!$A$3:$B$15,2,FALSE),DAY(K433))</f>
        <v>46160</v>
      </c>
      <c r="M433" s="58">
        <v>3</v>
      </c>
    </row>
    <row r="434" spans="1:13" x14ac:dyDescent="0.35">
      <c r="A434" s="227" t="s">
        <v>1081</v>
      </c>
      <c r="B434" s="59">
        <v>46130</v>
      </c>
      <c r="C434" s="93" t="s">
        <v>1130</v>
      </c>
      <c r="D434" s="93" t="s">
        <v>1131</v>
      </c>
      <c r="E434" s="226">
        <v>8789230720</v>
      </c>
      <c r="F434" s="93" t="str">
        <f>'Membership Level'!A12</f>
        <v>Swimming Moth</v>
      </c>
      <c r="G434" s="93" t="s">
        <v>248</v>
      </c>
      <c r="H434" s="75">
        <v>4000</v>
      </c>
      <c r="I434" s="75">
        <v>4000</v>
      </c>
      <c r="J434" s="61">
        <f t="shared" si="6"/>
        <v>0</v>
      </c>
      <c r="K434" s="59">
        <v>46160</v>
      </c>
      <c r="L434" s="59">
        <f>DATE(YEAR(K434),MONTH(K434)+VLOOKUP($F432,'Membership Level'!$A$3:$B$15,2,FALSE),DAY(K434))</f>
        <v>46191</v>
      </c>
      <c r="M434" s="58">
        <v>3</v>
      </c>
    </row>
    <row r="435" spans="1:13" x14ac:dyDescent="0.35">
      <c r="A435" s="227" t="s">
        <v>1082</v>
      </c>
      <c r="B435" s="59">
        <v>46130</v>
      </c>
      <c r="C435" s="93" t="s">
        <v>608</v>
      </c>
      <c r="D435" s="93" t="s">
        <v>1132</v>
      </c>
      <c r="E435" s="226">
        <v>8789230720</v>
      </c>
      <c r="F435" s="93" t="str">
        <f>'Membership Level'!A12</f>
        <v>Swimming Moth</v>
      </c>
      <c r="G435" s="93" t="s">
        <v>370</v>
      </c>
      <c r="H435" s="75">
        <v>3800</v>
      </c>
      <c r="I435" s="75">
        <v>3800</v>
      </c>
      <c r="J435" s="61">
        <f t="shared" si="6"/>
        <v>0</v>
      </c>
      <c r="K435" s="300">
        <v>46160</v>
      </c>
      <c r="L435" s="300">
        <f>DATE(YEAR(K435),MONTH(K435)+VLOOKUP($F433,'Membership Level'!$A$3:$B$15,2,FALSE),DAY(K435))</f>
        <v>46191</v>
      </c>
      <c r="M435" s="58">
        <v>3</v>
      </c>
    </row>
    <row r="436" spans="1:13" x14ac:dyDescent="0.35">
      <c r="A436" s="227" t="s">
        <v>1083</v>
      </c>
      <c r="B436" s="59">
        <v>46130</v>
      </c>
      <c r="C436" s="93"/>
      <c r="D436" s="93" t="s">
        <v>1133</v>
      </c>
      <c r="E436" s="226">
        <v>9934061619</v>
      </c>
      <c r="F436" s="93" t="str">
        <f>'Membership Level'!A12</f>
        <v>Swimming Moth</v>
      </c>
      <c r="G436" s="93" t="s">
        <v>306</v>
      </c>
      <c r="H436" s="75">
        <v>2500</v>
      </c>
      <c r="I436" s="75">
        <v>2500</v>
      </c>
      <c r="J436" s="61">
        <f t="shared" si="6"/>
        <v>0</v>
      </c>
      <c r="K436" s="300">
        <v>46130</v>
      </c>
      <c r="L436" s="300">
        <f>DATE(YEAR(K436),MONTH(K436)+VLOOKUP($F434,'Membership Level'!$A$3:$B$15,2,FALSE),DAY(K436))</f>
        <v>46160</v>
      </c>
      <c r="M436" s="58">
        <v>3</v>
      </c>
    </row>
    <row r="437" spans="1:13" x14ac:dyDescent="0.35">
      <c r="A437" s="227" t="s">
        <v>1084</v>
      </c>
      <c r="B437" s="59">
        <v>46130</v>
      </c>
      <c r="C437" s="93"/>
      <c r="D437" s="93" t="s">
        <v>1134</v>
      </c>
      <c r="E437" s="226">
        <v>9934061619</v>
      </c>
      <c r="F437" s="93" t="str">
        <f>'Membership Level'!A12</f>
        <v>Swimming Moth</v>
      </c>
      <c r="G437" s="93" t="s">
        <v>977</v>
      </c>
      <c r="H437" s="75">
        <v>2500</v>
      </c>
      <c r="I437" s="75">
        <v>2500</v>
      </c>
      <c r="J437" s="61">
        <f t="shared" si="6"/>
        <v>0</v>
      </c>
      <c r="K437" s="59">
        <v>46130</v>
      </c>
      <c r="L437" s="59">
        <f>DATE(YEAR(K437),MONTH(K437)+VLOOKUP($F435,'Membership Level'!$A$3:$B$15,2,FALSE),DAY(K437))</f>
        <v>46160</v>
      </c>
      <c r="M437" s="58">
        <v>3</v>
      </c>
    </row>
    <row r="438" spans="1:13" x14ac:dyDescent="0.35">
      <c r="A438" s="227" t="s">
        <v>1085</v>
      </c>
      <c r="B438" s="59">
        <v>46130</v>
      </c>
      <c r="C438" s="93" t="s">
        <v>202</v>
      </c>
      <c r="D438" s="93" t="s">
        <v>830</v>
      </c>
      <c r="E438" s="226">
        <v>9168145450</v>
      </c>
      <c r="F438" s="93" t="str">
        <f>'Membership Level'!A12</f>
        <v>Swimming Moth</v>
      </c>
      <c r="G438" s="93" t="s">
        <v>297</v>
      </c>
      <c r="H438" s="75">
        <v>3300</v>
      </c>
      <c r="I438" s="75">
        <v>3300</v>
      </c>
      <c r="J438" s="61">
        <f t="shared" si="6"/>
        <v>0</v>
      </c>
      <c r="K438" s="59">
        <v>46130</v>
      </c>
      <c r="L438" s="59">
        <f>DATE(YEAR(K438),MONTH(K438)+VLOOKUP($F436,'Membership Level'!$A$3:$B$15,2,FALSE),DAY(K438))</f>
        <v>46160</v>
      </c>
      <c r="M438" s="58">
        <v>3</v>
      </c>
    </row>
    <row r="439" spans="1:13" x14ac:dyDescent="0.35">
      <c r="A439" s="227" t="s">
        <v>1086</v>
      </c>
      <c r="B439" s="59">
        <v>46130</v>
      </c>
      <c r="C439" s="93" t="s">
        <v>333</v>
      </c>
      <c r="D439" s="93" t="s">
        <v>1135</v>
      </c>
      <c r="E439" s="226">
        <v>9990621282</v>
      </c>
      <c r="F439" s="93" t="str">
        <f>'Membership Level'!A12</f>
        <v>Swimming Moth</v>
      </c>
      <c r="G439" s="93" t="s">
        <v>370</v>
      </c>
      <c r="H439" s="75">
        <v>3800</v>
      </c>
      <c r="I439" s="75">
        <v>3800</v>
      </c>
      <c r="J439" s="61">
        <f t="shared" si="6"/>
        <v>0</v>
      </c>
      <c r="K439" s="59">
        <v>46130</v>
      </c>
      <c r="L439" s="59">
        <f>DATE(YEAR(K439),MONTH(K439)+VLOOKUP($F437,'Membership Level'!$A$3:$B$15,2,FALSE),DAY(K439))</f>
        <v>46160</v>
      </c>
      <c r="M439" s="58">
        <v>3</v>
      </c>
    </row>
    <row r="440" spans="1:13" s="261" customFormat="1" x14ac:dyDescent="0.35">
      <c r="A440" s="255" t="s">
        <v>1087</v>
      </c>
      <c r="B440" s="268">
        <v>46130</v>
      </c>
      <c r="C440" s="260" t="s">
        <v>1136</v>
      </c>
      <c r="D440" s="260" t="s">
        <v>1137</v>
      </c>
      <c r="E440" s="257">
        <v>9771689875</v>
      </c>
      <c r="F440" s="260" t="str">
        <f>'Membership Level'!A14</f>
        <v>Swimming HY</v>
      </c>
      <c r="G440" s="260" t="s">
        <v>1138</v>
      </c>
      <c r="H440" s="266">
        <v>14500</v>
      </c>
      <c r="I440" s="266">
        <v>14500</v>
      </c>
      <c r="J440" s="267">
        <f t="shared" si="6"/>
        <v>0</v>
      </c>
      <c r="K440" s="268">
        <v>46130</v>
      </c>
      <c r="L440" s="268">
        <f>DATE(YEAR(K440),MONTH(K440)+VLOOKUP($F438,'Membership Level'!$A$3:$B$15,2,FALSE),DAY(K440))</f>
        <v>46160</v>
      </c>
      <c r="M440" s="269">
        <v>3</v>
      </c>
    </row>
    <row r="441" spans="1:13" x14ac:dyDescent="0.35">
      <c r="A441" s="227" t="s">
        <v>1088</v>
      </c>
      <c r="B441" s="59">
        <v>46130</v>
      </c>
      <c r="C441" s="93" t="s">
        <v>559</v>
      </c>
      <c r="D441" s="93" t="s">
        <v>1139</v>
      </c>
      <c r="E441" s="226">
        <v>9591135769</v>
      </c>
      <c r="F441" s="93" t="str">
        <f>'Membership Level'!A12</f>
        <v>Swimming Moth</v>
      </c>
      <c r="G441" s="93" t="s">
        <v>248</v>
      </c>
      <c r="H441" s="75">
        <v>4000</v>
      </c>
      <c r="I441" s="75">
        <v>4000</v>
      </c>
      <c r="J441" s="61">
        <f t="shared" si="6"/>
        <v>0</v>
      </c>
      <c r="K441" s="59">
        <v>46130</v>
      </c>
      <c r="L441" s="59">
        <f>DATE(YEAR(K441),MONTH(K441)+VLOOKUP($F439,'Membership Level'!$A$3:$B$15,2,FALSE),DAY(K441))</f>
        <v>46160</v>
      </c>
      <c r="M441" s="58">
        <v>3</v>
      </c>
    </row>
    <row r="442" spans="1:13" x14ac:dyDescent="0.35">
      <c r="A442" s="227" t="s">
        <v>1089</v>
      </c>
      <c r="B442" s="59">
        <v>46130</v>
      </c>
      <c r="C442" s="93" t="s">
        <v>259</v>
      </c>
      <c r="D442" s="93" t="s">
        <v>1140</v>
      </c>
      <c r="E442" s="226">
        <v>7979828225</v>
      </c>
      <c r="F442" s="93" t="str">
        <f>'Membership Level'!A12</f>
        <v>Swimming Moth</v>
      </c>
      <c r="G442" s="93" t="s">
        <v>248</v>
      </c>
      <c r="H442" s="75">
        <v>4000</v>
      </c>
      <c r="I442" s="75">
        <v>4000</v>
      </c>
      <c r="J442" s="61">
        <f t="shared" si="6"/>
        <v>0</v>
      </c>
      <c r="K442" s="59">
        <v>46130</v>
      </c>
      <c r="L442" s="59">
        <f>DATE(YEAR(K442),MONTH(K442)+VLOOKUP($F440,'Membership Level'!$A$3:$B$15,2,FALSE),DAY(K442))</f>
        <v>46313</v>
      </c>
      <c r="M442" s="58">
        <v>3</v>
      </c>
    </row>
    <row r="443" spans="1:13" s="261" customFormat="1" x14ac:dyDescent="0.35">
      <c r="A443" s="255" t="s">
        <v>1090</v>
      </c>
      <c r="B443" s="268">
        <v>46130</v>
      </c>
      <c r="C443" s="260" t="s">
        <v>272</v>
      </c>
      <c r="D443" s="260" t="s">
        <v>1141</v>
      </c>
      <c r="E443" s="257">
        <v>7321902688</v>
      </c>
      <c r="F443" s="260" t="str">
        <f>'Membership Level'!A13</f>
        <v>Swimming Qty</v>
      </c>
      <c r="G443" s="260" t="s">
        <v>216</v>
      </c>
      <c r="H443" s="266">
        <v>7800</v>
      </c>
      <c r="I443" s="266">
        <v>7800</v>
      </c>
      <c r="J443" s="267">
        <f t="shared" si="6"/>
        <v>0</v>
      </c>
      <c r="K443" s="268">
        <v>46130</v>
      </c>
      <c r="L443" s="268">
        <f>DATE(YEAR(K443),MONTH(K443)+VLOOKUP($F441,'Membership Level'!$A$3:$B$15,2,FALSE),DAY(K443))</f>
        <v>46160</v>
      </c>
      <c r="M443" s="269">
        <v>3</v>
      </c>
    </row>
    <row r="444" spans="1:13" s="11" customFormat="1" x14ac:dyDescent="0.35">
      <c r="A444" s="227" t="s">
        <v>1091</v>
      </c>
      <c r="B444" s="59">
        <v>46130</v>
      </c>
      <c r="C444" s="93"/>
      <c r="D444" s="93" t="s">
        <v>1142</v>
      </c>
      <c r="E444" s="226">
        <v>7677337234</v>
      </c>
      <c r="F444" s="93" t="str">
        <f>'Membership Level'!A12</f>
        <v>Swimming Moth</v>
      </c>
      <c r="G444" s="93" t="s">
        <v>494</v>
      </c>
      <c r="H444" s="75">
        <v>2000</v>
      </c>
      <c r="I444" s="75">
        <v>2000</v>
      </c>
      <c r="J444" s="61">
        <f t="shared" si="6"/>
        <v>0</v>
      </c>
      <c r="K444" s="9">
        <v>46130</v>
      </c>
      <c r="L444" s="59">
        <f>DATE(YEAR(K444),MONTH(K444)+VLOOKUP($F442,'Membership Level'!$A$3:$B$15,2,FALSE),DAY(K444))</f>
        <v>46160</v>
      </c>
      <c r="M444" s="58">
        <v>3</v>
      </c>
    </row>
    <row r="445" spans="1:13" x14ac:dyDescent="0.35">
      <c r="A445" s="227" t="s">
        <v>1092</v>
      </c>
      <c r="B445" s="59">
        <v>46130</v>
      </c>
      <c r="C445" s="93" t="s">
        <v>1144</v>
      </c>
      <c r="D445" s="93" t="s">
        <v>1143</v>
      </c>
      <c r="E445" s="226">
        <v>7903654973</v>
      </c>
      <c r="F445" s="93" t="str">
        <f>'Membership Level'!A12</f>
        <v>Swimming Moth</v>
      </c>
      <c r="G445" s="93" t="s">
        <v>379</v>
      </c>
      <c r="H445" s="75">
        <v>2800</v>
      </c>
      <c r="I445" s="75">
        <v>2800</v>
      </c>
      <c r="J445" s="61">
        <f t="shared" si="6"/>
        <v>0</v>
      </c>
      <c r="K445" s="59">
        <v>46130</v>
      </c>
      <c r="L445" s="59">
        <f>DATE(YEAR(K445),MONTH(K445)+VLOOKUP($F443,'Membership Level'!$A$3:$B$15,2,FALSE),DAY(K445))</f>
        <v>46221</v>
      </c>
      <c r="M445" s="58">
        <v>3</v>
      </c>
    </row>
    <row r="446" spans="1:13" x14ac:dyDescent="0.35">
      <c r="A446" s="227" t="s">
        <v>1093</v>
      </c>
      <c r="B446" s="59">
        <v>46130</v>
      </c>
      <c r="C446" s="93" t="s">
        <v>1144</v>
      </c>
      <c r="D446" s="93" t="s">
        <v>1145</v>
      </c>
      <c r="E446" s="226">
        <v>7903654973</v>
      </c>
      <c r="F446" s="93" t="str">
        <f>'Membership Level'!A12</f>
        <v>Swimming Moth</v>
      </c>
      <c r="G446" s="93" t="s">
        <v>379</v>
      </c>
      <c r="H446" s="75">
        <v>2800</v>
      </c>
      <c r="I446" s="75">
        <v>2800</v>
      </c>
      <c r="J446" s="61">
        <f t="shared" si="6"/>
        <v>0</v>
      </c>
      <c r="K446" s="59">
        <v>46130</v>
      </c>
      <c r="L446" s="59">
        <f>DATE(YEAR(K446),MONTH(K446)+VLOOKUP($F444,'Membership Level'!$A$3:$B$15,2,FALSE),DAY(K446))</f>
        <v>46160</v>
      </c>
      <c r="M446" s="58">
        <v>3</v>
      </c>
    </row>
    <row r="447" spans="1:13" x14ac:dyDescent="0.35">
      <c r="A447" s="227" t="s">
        <v>1094</v>
      </c>
      <c r="B447" s="59">
        <v>46130</v>
      </c>
      <c r="C447" s="93" t="s">
        <v>1147</v>
      </c>
      <c r="D447" s="93" t="s">
        <v>1146</v>
      </c>
      <c r="E447" s="226">
        <v>9153114183</v>
      </c>
      <c r="F447" s="93" t="str">
        <f>'Membership Level'!A12</f>
        <v>Swimming Moth</v>
      </c>
      <c r="G447" s="93" t="s">
        <v>379</v>
      </c>
      <c r="H447" s="75">
        <v>2800</v>
      </c>
      <c r="I447" s="75">
        <v>2800</v>
      </c>
      <c r="J447" s="61">
        <f t="shared" si="6"/>
        <v>0</v>
      </c>
      <c r="K447" s="59">
        <v>46130</v>
      </c>
      <c r="L447" s="59">
        <f>DATE(YEAR(K447),MONTH(K447)+VLOOKUP($F445,'Membership Level'!$A$3:$B$15,2,FALSE),DAY(K447))</f>
        <v>46160</v>
      </c>
      <c r="M447" s="58">
        <v>3</v>
      </c>
    </row>
    <row r="448" spans="1:13" x14ac:dyDescent="0.35">
      <c r="A448" s="227" t="s">
        <v>1095</v>
      </c>
      <c r="B448" s="59">
        <v>46130</v>
      </c>
      <c r="C448" s="93" t="s">
        <v>1148</v>
      </c>
      <c r="D448" s="93" t="s">
        <v>1149</v>
      </c>
      <c r="E448" s="226">
        <v>9153114183</v>
      </c>
      <c r="F448" s="93" t="str">
        <f>'Membership Level'!A12</f>
        <v>Swimming Moth</v>
      </c>
      <c r="G448" s="93" t="s">
        <v>379</v>
      </c>
      <c r="H448" s="75">
        <v>2800</v>
      </c>
      <c r="I448" s="75">
        <v>2800</v>
      </c>
      <c r="J448" s="61">
        <f t="shared" si="6"/>
        <v>0</v>
      </c>
      <c r="K448" s="59">
        <v>46130</v>
      </c>
      <c r="L448" s="59">
        <f>DATE(YEAR(K448),MONTH(K448)+VLOOKUP($F446,'Membership Level'!$A$3:$B$15,2,FALSE),DAY(K448))</f>
        <v>46160</v>
      </c>
    </row>
    <row r="449" spans="1:13" x14ac:dyDescent="0.35">
      <c r="A449" s="227" t="s">
        <v>1096</v>
      </c>
      <c r="B449" s="59">
        <v>46130</v>
      </c>
      <c r="C449" s="93" t="s">
        <v>202</v>
      </c>
      <c r="D449" s="93" t="s">
        <v>284</v>
      </c>
      <c r="E449" s="226">
        <v>9113304187</v>
      </c>
      <c r="F449" s="93" t="str">
        <f>'Membership Level'!A12</f>
        <v>Swimming Moth</v>
      </c>
      <c r="G449" s="93" t="s">
        <v>306</v>
      </c>
      <c r="H449" s="75">
        <v>2500</v>
      </c>
      <c r="I449" s="75">
        <v>2500</v>
      </c>
      <c r="J449" s="61">
        <f t="shared" si="6"/>
        <v>0</v>
      </c>
      <c r="K449" s="59">
        <v>46130</v>
      </c>
      <c r="L449" s="59">
        <f>DATE(YEAR(K449),MONTH(K449)+VLOOKUP($F447,'Membership Level'!$A$3:$B$15,2,FALSE),DAY(K449))</f>
        <v>46160</v>
      </c>
      <c r="M449" s="58">
        <v>3</v>
      </c>
    </row>
    <row r="450" spans="1:13" x14ac:dyDescent="0.35">
      <c r="A450" s="227" t="s">
        <v>1097</v>
      </c>
      <c r="B450" s="59">
        <v>46130</v>
      </c>
      <c r="C450" s="93" t="s">
        <v>1151</v>
      </c>
      <c r="D450" s="93" t="s">
        <v>1150</v>
      </c>
      <c r="E450" s="226">
        <v>9973154666</v>
      </c>
      <c r="F450" s="93" t="str">
        <f>'Membership Level'!A12</f>
        <v>Swimming Moth</v>
      </c>
      <c r="G450" s="93" t="s">
        <v>297</v>
      </c>
      <c r="H450" s="75">
        <v>3000</v>
      </c>
      <c r="I450" s="75">
        <v>3000</v>
      </c>
      <c r="J450" s="61">
        <f t="shared" si="6"/>
        <v>0</v>
      </c>
      <c r="K450" s="59">
        <v>46130</v>
      </c>
      <c r="L450" s="59">
        <f>DATE(YEAR(K450),MONTH(K450)+VLOOKUP($F448,'Membership Level'!$A$3:$B$15,2,FALSE),DAY(K450))</f>
        <v>46160</v>
      </c>
      <c r="M450" s="58">
        <v>3</v>
      </c>
    </row>
    <row r="451" spans="1:13" x14ac:dyDescent="0.35">
      <c r="A451" s="227" t="s">
        <v>1098</v>
      </c>
      <c r="B451" s="59">
        <v>46131</v>
      </c>
      <c r="C451" s="93" t="s">
        <v>734</v>
      </c>
      <c r="D451" s="93" t="s">
        <v>1152</v>
      </c>
      <c r="E451" s="226">
        <v>7033365657</v>
      </c>
      <c r="F451" s="93" t="str">
        <f>'Membership Level'!A12</f>
        <v>Swimming Moth</v>
      </c>
      <c r="G451" s="93" t="s">
        <v>297</v>
      </c>
      <c r="H451" s="75">
        <v>3300</v>
      </c>
      <c r="I451" s="75">
        <v>3300</v>
      </c>
      <c r="J451" s="61">
        <f t="shared" si="6"/>
        <v>0</v>
      </c>
      <c r="K451" s="9">
        <v>46131</v>
      </c>
      <c r="L451" s="59">
        <f>DATE(YEAR(K451),MONTH(K451)+VLOOKUP($F449,'Membership Level'!$A$3:$B$15,2,FALSE),DAY(K451))</f>
        <v>46161</v>
      </c>
      <c r="M451" s="58">
        <v>3</v>
      </c>
    </row>
    <row r="452" spans="1:13" x14ac:dyDescent="0.35">
      <c r="A452" s="227" t="s">
        <v>1099</v>
      </c>
      <c r="B452" s="9">
        <v>46131</v>
      </c>
      <c r="C452" s="93" t="s">
        <v>1154</v>
      </c>
      <c r="D452" s="93" t="s">
        <v>1153</v>
      </c>
      <c r="E452" s="226">
        <v>9576036640</v>
      </c>
      <c r="F452" s="93" t="str">
        <f>'Membership Level'!A12</f>
        <v>Swimming Moth</v>
      </c>
      <c r="G452" s="93" t="s">
        <v>463</v>
      </c>
      <c r="H452" s="75">
        <v>2000</v>
      </c>
      <c r="I452" s="75">
        <v>2000</v>
      </c>
      <c r="J452" s="61">
        <f t="shared" si="6"/>
        <v>0</v>
      </c>
      <c r="K452" s="9">
        <v>46131</v>
      </c>
      <c r="L452" s="59">
        <f>DATE(YEAR(K452),MONTH(K452)+VLOOKUP($F450,'Membership Level'!$A$3:$B$15,2,FALSE),DAY(K452))</f>
        <v>46161</v>
      </c>
      <c r="M452" s="58">
        <v>3</v>
      </c>
    </row>
    <row r="453" spans="1:13" x14ac:dyDescent="0.35">
      <c r="A453" s="227" t="s">
        <v>1100</v>
      </c>
      <c r="B453" s="9">
        <v>46131</v>
      </c>
      <c r="C453" s="93" t="s">
        <v>1156</v>
      </c>
      <c r="D453" s="93" t="s">
        <v>1155</v>
      </c>
      <c r="E453" s="226">
        <v>9576036640</v>
      </c>
      <c r="F453" s="93" t="str">
        <f>'Membership Level'!A12</f>
        <v>Swimming Moth</v>
      </c>
      <c r="G453" s="93" t="s">
        <v>306</v>
      </c>
      <c r="H453" s="75">
        <v>2500</v>
      </c>
      <c r="I453" s="75">
        <v>2500</v>
      </c>
      <c r="J453" s="61">
        <f t="shared" si="6"/>
        <v>0</v>
      </c>
      <c r="K453" s="9">
        <v>46131</v>
      </c>
      <c r="L453" s="59">
        <f>DATE(YEAR(K453),MONTH(K453)+VLOOKUP($F451,'Membership Level'!$A$3:$B$15,2,FALSE),DAY(K453))</f>
        <v>46161</v>
      </c>
      <c r="M453" s="58">
        <v>3</v>
      </c>
    </row>
    <row r="454" spans="1:13" x14ac:dyDescent="0.35">
      <c r="A454" s="227" t="s">
        <v>1101</v>
      </c>
      <c r="B454" s="9">
        <v>46131</v>
      </c>
      <c r="C454" s="93" t="s">
        <v>783</v>
      </c>
      <c r="D454" s="93" t="s">
        <v>1157</v>
      </c>
      <c r="E454" s="226">
        <v>7200618563</v>
      </c>
      <c r="F454" s="93" t="str">
        <f>'Membership Level'!A12</f>
        <v>Swimming Moth</v>
      </c>
      <c r="G454" s="93" t="s">
        <v>463</v>
      </c>
      <c r="H454" s="75">
        <v>2200</v>
      </c>
      <c r="I454" s="75">
        <v>2200</v>
      </c>
      <c r="J454" s="61">
        <f t="shared" si="6"/>
        <v>0</v>
      </c>
      <c r="K454" s="9">
        <v>46131</v>
      </c>
      <c r="L454" s="59">
        <f>DATE(YEAR(K454),MONTH(K454)+VLOOKUP($F452,'Membership Level'!$A$3:$B$15,2,FALSE),DAY(K454))</f>
        <v>46161</v>
      </c>
      <c r="M454" s="58">
        <v>3</v>
      </c>
    </row>
    <row r="455" spans="1:13" x14ac:dyDescent="0.35">
      <c r="A455" s="227" t="s">
        <v>1102</v>
      </c>
      <c r="B455" s="9">
        <v>46131</v>
      </c>
      <c r="C455" s="93" t="s">
        <v>783</v>
      </c>
      <c r="D455" s="93" t="s">
        <v>1158</v>
      </c>
      <c r="E455" s="226">
        <v>7200618563</v>
      </c>
      <c r="F455" s="93" t="str">
        <f>'Membership Level'!A12</f>
        <v>Swimming Moth</v>
      </c>
      <c r="G455" s="93" t="s">
        <v>494</v>
      </c>
      <c r="H455" s="75">
        <v>2500</v>
      </c>
      <c r="I455" s="75">
        <v>2500</v>
      </c>
      <c r="J455" s="61">
        <f t="shared" si="6"/>
        <v>0</v>
      </c>
      <c r="K455" s="9">
        <v>46131</v>
      </c>
      <c r="L455" s="59">
        <f>DATE(YEAR(K455),MONTH(K455)+VLOOKUP($F453,'Membership Level'!$A$3:$B$15,2,FALSE),DAY(K455))</f>
        <v>46161</v>
      </c>
      <c r="M455" s="58">
        <v>3</v>
      </c>
    </row>
    <row r="456" spans="1:13" x14ac:dyDescent="0.35">
      <c r="A456" s="227" t="s">
        <v>1103</v>
      </c>
      <c r="B456" s="9">
        <v>46131</v>
      </c>
      <c r="C456" s="93"/>
      <c r="D456" s="93" t="s">
        <v>1159</v>
      </c>
      <c r="E456" s="226">
        <v>7544063715</v>
      </c>
      <c r="F456" s="93" t="str">
        <f>'Membership Level'!A12</f>
        <v>Swimming Moth</v>
      </c>
      <c r="G456" s="93" t="s">
        <v>1163</v>
      </c>
      <c r="H456" s="75">
        <v>1500</v>
      </c>
      <c r="I456" s="75">
        <v>1500</v>
      </c>
      <c r="J456" s="61">
        <f t="shared" si="6"/>
        <v>0</v>
      </c>
      <c r="K456" s="9">
        <v>46131</v>
      </c>
      <c r="L456" s="59">
        <f>DATE(YEAR(K456),MONTH(K456)+VLOOKUP($F454,'Membership Level'!$A$3:$B$15,2,FALSE),DAY(K456))</f>
        <v>46161</v>
      </c>
      <c r="M456" s="58">
        <v>3</v>
      </c>
    </row>
    <row r="457" spans="1:13" x14ac:dyDescent="0.35">
      <c r="A457" s="227" t="s">
        <v>1104</v>
      </c>
      <c r="B457" s="9">
        <v>46131</v>
      </c>
      <c r="C457" s="93"/>
      <c r="D457" s="93" t="s">
        <v>1160</v>
      </c>
      <c r="E457" s="226">
        <v>7544063715</v>
      </c>
      <c r="F457" s="93" t="str">
        <f>'Membership Level'!A12</f>
        <v>Swimming Moth</v>
      </c>
      <c r="G457" s="93" t="s">
        <v>1163</v>
      </c>
      <c r="H457" s="75">
        <v>1500</v>
      </c>
      <c r="I457" s="75">
        <v>1500</v>
      </c>
      <c r="J457" s="61">
        <f t="shared" si="6"/>
        <v>0</v>
      </c>
      <c r="K457" s="9">
        <v>46131</v>
      </c>
      <c r="L457" s="59">
        <f>DATE(YEAR(K457),MONTH(K457)+VLOOKUP($F455,'Membership Level'!$A$3:$B$15,2,FALSE),DAY(K457))</f>
        <v>46161</v>
      </c>
      <c r="M457" s="58">
        <v>3</v>
      </c>
    </row>
    <row r="458" spans="1:13" x14ac:dyDescent="0.35">
      <c r="A458" s="227" t="s">
        <v>1105</v>
      </c>
      <c r="B458" s="9">
        <v>46131</v>
      </c>
      <c r="C458" s="93"/>
      <c r="D458" s="93" t="s">
        <v>1161</v>
      </c>
      <c r="E458" s="226">
        <v>7544063715</v>
      </c>
      <c r="F458" s="93" t="str">
        <f>'Membership Level'!A12</f>
        <v>Swimming Moth</v>
      </c>
      <c r="G458" s="93" t="s">
        <v>1163</v>
      </c>
      <c r="H458" s="75">
        <v>1500</v>
      </c>
      <c r="I458" s="75">
        <v>1500</v>
      </c>
      <c r="J458" s="61">
        <f t="shared" si="6"/>
        <v>0</v>
      </c>
      <c r="K458" s="9">
        <v>46131</v>
      </c>
      <c r="L458" s="59">
        <f>DATE(YEAR(K458),MONTH(K458)+VLOOKUP($F456,'Membership Level'!$A$3:$B$15,2,FALSE),DAY(K458))</f>
        <v>46161</v>
      </c>
      <c r="M458" s="58">
        <v>3</v>
      </c>
    </row>
    <row r="459" spans="1:13" x14ac:dyDescent="0.35">
      <c r="A459" s="227" t="s">
        <v>1106</v>
      </c>
      <c r="B459" s="9">
        <v>46131</v>
      </c>
      <c r="C459" s="93"/>
      <c r="D459" s="93" t="s">
        <v>1162</v>
      </c>
      <c r="E459" s="226">
        <v>7544063715</v>
      </c>
      <c r="F459" s="93" t="str">
        <f>'Membership Level'!A12</f>
        <v>Swimming Moth</v>
      </c>
      <c r="G459" s="93" t="s">
        <v>1163</v>
      </c>
      <c r="H459" s="75">
        <v>1500</v>
      </c>
      <c r="I459" s="75">
        <v>1500</v>
      </c>
      <c r="J459" s="61">
        <f t="shared" ref="J459:J522" si="7">H459-I459</f>
        <v>0</v>
      </c>
      <c r="K459" s="9">
        <v>46131</v>
      </c>
      <c r="L459" s="59">
        <f>DATE(YEAR(K459),MONTH(K459)+VLOOKUP($F457,'Membership Level'!$A$3:$B$15,2,FALSE),DAY(K459))</f>
        <v>46161</v>
      </c>
      <c r="M459" s="58">
        <v>3</v>
      </c>
    </row>
    <row r="460" spans="1:13" x14ac:dyDescent="0.35">
      <c r="A460" s="227" t="s">
        <v>1107</v>
      </c>
      <c r="B460" s="9">
        <v>46131</v>
      </c>
      <c r="C460" s="93" t="s">
        <v>1164</v>
      </c>
      <c r="D460" s="93" t="s">
        <v>1171</v>
      </c>
      <c r="E460" s="226">
        <v>9386190129</v>
      </c>
      <c r="F460" s="93" t="str">
        <f>'Membership Level'!A12</f>
        <v>Swimming Moth</v>
      </c>
      <c r="G460" s="93" t="s">
        <v>294</v>
      </c>
      <c r="H460" s="75">
        <v>1200</v>
      </c>
      <c r="I460" s="75">
        <v>1200</v>
      </c>
      <c r="J460" s="61">
        <f t="shared" si="7"/>
        <v>0</v>
      </c>
      <c r="K460" s="9">
        <v>46131</v>
      </c>
      <c r="L460" s="59">
        <f>DATE(YEAR(K460),MONTH(K460)+VLOOKUP($F458,'Membership Level'!$A$3:$B$15,2,FALSE),DAY(K460))</f>
        <v>46161</v>
      </c>
      <c r="M460" s="58">
        <v>3</v>
      </c>
    </row>
    <row r="461" spans="1:13" x14ac:dyDescent="0.35">
      <c r="A461" s="227" t="s">
        <v>1108</v>
      </c>
      <c r="B461" s="9">
        <v>46131</v>
      </c>
      <c r="C461" s="93" t="s">
        <v>333</v>
      </c>
      <c r="D461" s="93" t="s">
        <v>1165</v>
      </c>
      <c r="E461" s="226">
        <v>7759012991</v>
      </c>
      <c r="F461" s="93" t="str">
        <f>'Membership Level'!A12</f>
        <v>Swimming Moth</v>
      </c>
      <c r="G461" s="93" t="s">
        <v>297</v>
      </c>
      <c r="H461" s="75">
        <v>3000</v>
      </c>
      <c r="I461" s="75">
        <v>3000</v>
      </c>
      <c r="J461" s="61">
        <f t="shared" si="7"/>
        <v>0</v>
      </c>
      <c r="K461" s="9">
        <v>46131</v>
      </c>
      <c r="L461" s="59">
        <f>DATE(YEAR(K461),MONTH(K461)+VLOOKUP($F459,'Membership Level'!$A$3:$B$15,2,FALSE),DAY(K461))</f>
        <v>46161</v>
      </c>
      <c r="M461" s="58">
        <v>3</v>
      </c>
    </row>
    <row r="462" spans="1:13" x14ac:dyDescent="0.35">
      <c r="A462" s="227" t="s">
        <v>1109</v>
      </c>
      <c r="B462" s="9">
        <v>46131</v>
      </c>
      <c r="C462" s="93" t="s">
        <v>1167</v>
      </c>
      <c r="D462" s="93" t="s">
        <v>1166</v>
      </c>
      <c r="E462" s="226">
        <v>7759012991</v>
      </c>
      <c r="F462" s="93" t="str">
        <f>'Membership Level'!A12</f>
        <v>Swimming Moth</v>
      </c>
      <c r="G462" s="93" t="s">
        <v>379</v>
      </c>
      <c r="H462" s="75">
        <v>2800</v>
      </c>
      <c r="I462" s="75">
        <v>2800</v>
      </c>
      <c r="J462" s="61">
        <f t="shared" si="7"/>
        <v>0</v>
      </c>
      <c r="K462" s="9">
        <v>46131</v>
      </c>
      <c r="L462" s="59">
        <f>DATE(YEAR(K462),MONTH(K462)+VLOOKUP($F460,'Membership Level'!$A$3:$B$15,2,FALSE),DAY(K462))</f>
        <v>46161</v>
      </c>
      <c r="M462" s="58">
        <v>3</v>
      </c>
    </row>
    <row r="463" spans="1:13" x14ac:dyDescent="0.35">
      <c r="A463" s="227" t="s">
        <v>1110</v>
      </c>
      <c r="B463" s="9">
        <v>46131</v>
      </c>
      <c r="C463" s="93" t="s">
        <v>928</v>
      </c>
      <c r="D463" s="93" t="s">
        <v>1168</v>
      </c>
      <c r="E463" s="226">
        <v>7759012991</v>
      </c>
      <c r="F463" s="93" t="str">
        <f>'Membership Level'!A12</f>
        <v>Swimming Moth</v>
      </c>
      <c r="G463" s="93" t="s">
        <v>379</v>
      </c>
      <c r="H463" s="75">
        <v>2800</v>
      </c>
      <c r="I463" s="75">
        <v>2800</v>
      </c>
      <c r="J463" s="61">
        <f t="shared" si="7"/>
        <v>0</v>
      </c>
      <c r="K463" s="9">
        <v>46131</v>
      </c>
      <c r="L463" s="59">
        <f>DATE(YEAR(K463),MONTH(K463)+VLOOKUP($F461,'Membership Level'!$A$3:$B$15,2,FALSE),DAY(K463))</f>
        <v>46161</v>
      </c>
      <c r="M463" s="58">
        <v>3</v>
      </c>
    </row>
    <row r="464" spans="1:13" x14ac:dyDescent="0.35">
      <c r="A464" s="227" t="s">
        <v>1111</v>
      </c>
      <c r="B464" s="9">
        <v>46131</v>
      </c>
      <c r="C464" s="93" t="s">
        <v>333</v>
      </c>
      <c r="D464" s="93" t="s">
        <v>1169</v>
      </c>
      <c r="E464" s="226">
        <v>6204481551</v>
      </c>
      <c r="F464" s="93" t="str">
        <f>'Membership Level'!A12</f>
        <v>Swimming Moth</v>
      </c>
      <c r="G464" s="93" t="s">
        <v>1170</v>
      </c>
      <c r="H464" s="75">
        <v>2500</v>
      </c>
      <c r="I464" s="75">
        <v>2500</v>
      </c>
      <c r="J464" s="61">
        <f t="shared" si="7"/>
        <v>0</v>
      </c>
      <c r="K464" s="9">
        <v>46131</v>
      </c>
      <c r="L464" s="59">
        <f>DATE(YEAR(K464),MONTH(K464)+VLOOKUP($F462,'Membership Level'!$A$3:$B$15,2,FALSE),DAY(K464))</f>
        <v>46161</v>
      </c>
      <c r="M464" s="58">
        <v>3</v>
      </c>
    </row>
    <row r="465" spans="1:13" x14ac:dyDescent="0.35">
      <c r="A465" s="227" t="s">
        <v>1112</v>
      </c>
      <c r="B465" s="9">
        <v>46131</v>
      </c>
      <c r="C465" s="93" t="s">
        <v>202</v>
      </c>
      <c r="D465" s="93" t="s">
        <v>696</v>
      </c>
      <c r="E465" s="226">
        <v>8210076453</v>
      </c>
      <c r="F465" s="93" t="str">
        <f>'Membership Level'!A12</f>
        <v>Swimming Moth</v>
      </c>
      <c r="G465" s="93" t="s">
        <v>494</v>
      </c>
      <c r="H465" s="75">
        <v>2500</v>
      </c>
      <c r="I465" s="75">
        <v>2500</v>
      </c>
      <c r="J465" s="61">
        <f t="shared" si="7"/>
        <v>0</v>
      </c>
      <c r="K465" s="9">
        <v>46131</v>
      </c>
      <c r="L465" s="59">
        <f>DATE(YEAR(K465),MONTH(K465)+VLOOKUP($F463,'Membership Level'!$A$3:$B$15,2,FALSE),DAY(K465))</f>
        <v>46161</v>
      </c>
      <c r="M465" s="58">
        <v>3</v>
      </c>
    </row>
    <row r="466" spans="1:13" x14ac:dyDescent="0.35">
      <c r="A466" s="227" t="s">
        <v>1113</v>
      </c>
      <c r="B466" s="9">
        <v>46131</v>
      </c>
      <c r="C466" s="93" t="s">
        <v>814</v>
      </c>
      <c r="D466" s="93" t="s">
        <v>733</v>
      </c>
      <c r="E466" s="226">
        <v>9507778290</v>
      </c>
      <c r="F466" s="93" t="str">
        <f>'Membership Level'!A12</f>
        <v>Swimming Moth</v>
      </c>
      <c r="G466" s="93" t="s">
        <v>306</v>
      </c>
      <c r="H466" s="75">
        <v>2500</v>
      </c>
      <c r="I466" s="75">
        <v>2500</v>
      </c>
      <c r="J466" s="61">
        <f t="shared" si="7"/>
        <v>0</v>
      </c>
      <c r="K466" s="9">
        <v>46131</v>
      </c>
      <c r="L466" s="59">
        <f>DATE(YEAR(K466),MONTH(K466)+VLOOKUP($F464,'Membership Level'!$A$3:$B$15,2,FALSE),DAY(K466))</f>
        <v>46161</v>
      </c>
      <c r="M466" s="58">
        <v>3</v>
      </c>
    </row>
    <row r="467" spans="1:13" x14ac:dyDescent="0.35">
      <c r="A467" s="227" t="s">
        <v>1114</v>
      </c>
      <c r="B467" s="9">
        <v>46131</v>
      </c>
      <c r="C467" s="93" t="s">
        <v>1173</v>
      </c>
      <c r="D467" s="93" t="s">
        <v>1172</v>
      </c>
      <c r="E467" s="226">
        <v>9940417651</v>
      </c>
      <c r="F467" s="93" t="str">
        <f>'Membership Level'!A12</f>
        <v>Swimming Moth</v>
      </c>
      <c r="G467" s="93" t="s">
        <v>294</v>
      </c>
      <c r="H467" s="75">
        <v>1200</v>
      </c>
      <c r="I467" s="75">
        <v>1200</v>
      </c>
      <c r="J467" s="61">
        <f t="shared" si="7"/>
        <v>0</v>
      </c>
      <c r="K467" s="9">
        <v>46131</v>
      </c>
      <c r="L467" s="59">
        <f>DATE(YEAR(K467),MONTH(K467)+VLOOKUP($F465,'Membership Level'!$A$3:$B$15,2,FALSE),DAY(K467))</f>
        <v>46161</v>
      </c>
      <c r="M467" s="58">
        <v>3</v>
      </c>
    </row>
    <row r="468" spans="1:13" x14ac:dyDescent="0.35">
      <c r="A468" s="227" t="s">
        <v>1115</v>
      </c>
      <c r="B468" s="9">
        <v>46131</v>
      </c>
      <c r="C468" s="93" t="s">
        <v>333</v>
      </c>
      <c r="D468" s="93" t="s">
        <v>1174</v>
      </c>
      <c r="E468" s="226">
        <v>7033882450</v>
      </c>
      <c r="F468" s="93" t="str">
        <f>'Membership Level'!A12</f>
        <v>Swimming Moth</v>
      </c>
      <c r="G468" s="93" t="s">
        <v>294</v>
      </c>
      <c r="H468" s="75">
        <v>1000</v>
      </c>
      <c r="I468" s="75">
        <v>1000</v>
      </c>
      <c r="J468" s="61">
        <f t="shared" si="7"/>
        <v>0</v>
      </c>
      <c r="K468" s="9">
        <v>46131</v>
      </c>
      <c r="L468" s="59">
        <f>DATE(YEAR(K468),MONTH(K468)+VLOOKUP($F466,'Membership Level'!$A$3:$B$15,2,FALSE),DAY(K468))</f>
        <v>46161</v>
      </c>
      <c r="M468" s="58">
        <v>3</v>
      </c>
    </row>
    <row r="469" spans="1:13" x14ac:dyDescent="0.35">
      <c r="A469" s="227" t="s">
        <v>1116</v>
      </c>
      <c r="B469" s="59">
        <v>46132</v>
      </c>
      <c r="C469" s="93" t="s">
        <v>202</v>
      </c>
      <c r="D469" s="93" t="s">
        <v>206</v>
      </c>
      <c r="E469" s="226">
        <v>9007868369</v>
      </c>
      <c r="F469" s="93" t="str">
        <f>'Membership Level'!A12</f>
        <v>Swimming Moth</v>
      </c>
      <c r="G469" s="93" t="s">
        <v>248</v>
      </c>
      <c r="H469" s="75">
        <v>4400</v>
      </c>
      <c r="I469" s="75">
        <v>4400</v>
      </c>
      <c r="J469" s="61">
        <f t="shared" si="7"/>
        <v>0</v>
      </c>
      <c r="K469" s="59">
        <v>46132</v>
      </c>
      <c r="L469" s="59">
        <f>DATE(YEAR(K469),MONTH(K469)+VLOOKUP($F467,'Membership Level'!$A$3:$B$15,2,FALSE),DAY(K469))</f>
        <v>46162</v>
      </c>
      <c r="M469" s="58">
        <v>3</v>
      </c>
    </row>
    <row r="470" spans="1:13" x14ac:dyDescent="0.35">
      <c r="A470" s="227" t="s">
        <v>1117</v>
      </c>
      <c r="B470" s="59">
        <v>46132</v>
      </c>
      <c r="C470" s="93" t="s">
        <v>276</v>
      </c>
      <c r="D470" s="93" t="s">
        <v>1175</v>
      </c>
      <c r="E470" s="226">
        <v>9007868369</v>
      </c>
      <c r="F470" s="93" t="str">
        <f>'Membership Level'!A12</f>
        <v>Swimming Moth</v>
      </c>
      <c r="G470" s="93" t="s">
        <v>370</v>
      </c>
      <c r="H470" s="75">
        <v>3800</v>
      </c>
      <c r="I470" s="75">
        <v>3800</v>
      </c>
      <c r="J470" s="61">
        <f t="shared" si="7"/>
        <v>0</v>
      </c>
      <c r="K470" s="59">
        <v>46132</v>
      </c>
      <c r="L470" s="59">
        <f>DATE(YEAR(K470),MONTH(K470)+VLOOKUP($F468,'Membership Level'!$A$3:$B$15,2,FALSE),DAY(K470))</f>
        <v>46162</v>
      </c>
      <c r="M470" s="58">
        <v>3</v>
      </c>
    </row>
    <row r="471" spans="1:13" s="261" customFormat="1" x14ac:dyDescent="0.35">
      <c r="A471" s="255" t="s">
        <v>1118</v>
      </c>
      <c r="B471" s="268">
        <v>46132</v>
      </c>
      <c r="C471" s="260" t="s">
        <v>362</v>
      </c>
      <c r="D471" s="260" t="s">
        <v>1198</v>
      </c>
      <c r="E471" s="257">
        <v>6205863681</v>
      </c>
      <c r="F471" s="260" t="str">
        <f>'Membership Level'!A14</f>
        <v>Swimming HY</v>
      </c>
      <c r="G471" s="260" t="s">
        <v>237</v>
      </c>
      <c r="H471" s="266">
        <v>17000</v>
      </c>
      <c r="I471" s="266">
        <v>17000</v>
      </c>
      <c r="J471" s="267">
        <f t="shared" si="7"/>
        <v>0</v>
      </c>
      <c r="K471" s="268">
        <v>46132</v>
      </c>
      <c r="L471" s="268">
        <f>DATE(YEAR(K471),MONTH(K471)+VLOOKUP($F469,'Membership Level'!$A$3:$B$15,2,FALSE),DAY(K471))</f>
        <v>46162</v>
      </c>
      <c r="M471" s="269">
        <v>3</v>
      </c>
    </row>
    <row r="472" spans="1:13" x14ac:dyDescent="0.35">
      <c r="A472" s="227" t="s">
        <v>1119</v>
      </c>
      <c r="B472" s="59">
        <v>46133</v>
      </c>
      <c r="C472" s="93"/>
      <c r="D472" s="93" t="s">
        <v>1196</v>
      </c>
      <c r="E472" s="226">
        <v>7970851995</v>
      </c>
      <c r="F472" s="93" t="str">
        <f>'Membership Level'!A12</f>
        <v>Swimming Moth</v>
      </c>
      <c r="G472" s="93" t="s">
        <v>248</v>
      </c>
      <c r="H472" s="75">
        <v>4000</v>
      </c>
      <c r="I472" s="75">
        <v>4000</v>
      </c>
      <c r="J472" s="61">
        <f t="shared" si="7"/>
        <v>0</v>
      </c>
      <c r="K472" s="59">
        <v>46133</v>
      </c>
      <c r="L472" s="59">
        <f>DATE(YEAR(K472),MONTH(K472)+VLOOKUP($F470,'Membership Level'!$A$3:$B$15,2,FALSE),DAY(K472))</f>
        <v>46163</v>
      </c>
      <c r="M472" s="58">
        <v>3</v>
      </c>
    </row>
    <row r="473" spans="1:13" x14ac:dyDescent="0.35">
      <c r="A473" s="227" t="s">
        <v>1120</v>
      </c>
      <c r="B473" s="59">
        <v>46133</v>
      </c>
      <c r="C473" s="93"/>
      <c r="D473" s="93" t="s">
        <v>1197</v>
      </c>
      <c r="E473" s="226">
        <v>9097981296</v>
      </c>
      <c r="F473" s="93" t="str">
        <f>'Membership Level'!A12</f>
        <v>Swimming Moth</v>
      </c>
      <c r="G473" s="93" t="s">
        <v>297</v>
      </c>
      <c r="H473" s="75">
        <v>3300</v>
      </c>
      <c r="I473" s="75">
        <v>3300</v>
      </c>
      <c r="J473" s="61">
        <f t="shared" si="7"/>
        <v>0</v>
      </c>
      <c r="K473" s="59">
        <v>46133</v>
      </c>
      <c r="L473" s="59">
        <v>46163</v>
      </c>
      <c r="M473" s="58">
        <v>3</v>
      </c>
    </row>
    <row r="474" spans="1:13" x14ac:dyDescent="0.35">
      <c r="A474" s="227" t="s">
        <v>1121</v>
      </c>
      <c r="B474" s="59">
        <v>46133</v>
      </c>
      <c r="C474" s="93"/>
      <c r="D474" s="93" t="s">
        <v>1199</v>
      </c>
      <c r="E474" s="226">
        <v>9899282941</v>
      </c>
      <c r="F474" s="93" t="str">
        <f>'Membership Level'!A12</f>
        <v>Swimming Moth</v>
      </c>
      <c r="G474" s="93" t="s">
        <v>370</v>
      </c>
      <c r="H474" s="75">
        <v>3000</v>
      </c>
      <c r="I474" s="75">
        <v>3000</v>
      </c>
      <c r="J474" s="61">
        <f t="shared" si="7"/>
        <v>0</v>
      </c>
      <c r="K474" s="59">
        <v>46133</v>
      </c>
      <c r="L474" s="59">
        <f>DATE(YEAR(K474),MONTH(K474)+VLOOKUP($F472,'Membership Level'!$A$3:$B$15,2,FALSE),DAY(K474))</f>
        <v>46163</v>
      </c>
      <c r="M474" s="58">
        <v>3</v>
      </c>
    </row>
    <row r="475" spans="1:13" x14ac:dyDescent="0.35">
      <c r="A475" s="227" t="s">
        <v>1122</v>
      </c>
      <c r="B475" s="59">
        <v>46133</v>
      </c>
      <c r="C475" s="93" t="s">
        <v>48</v>
      </c>
      <c r="D475" s="93" t="s">
        <v>1200</v>
      </c>
      <c r="E475" s="226">
        <v>8789007512</v>
      </c>
      <c r="F475" s="93" t="str">
        <f>'Membership Level'!A12</f>
        <v>Swimming Moth</v>
      </c>
      <c r="G475" s="246" t="s">
        <v>334</v>
      </c>
      <c r="H475" s="75">
        <v>1000</v>
      </c>
      <c r="I475" s="75">
        <v>1000</v>
      </c>
      <c r="J475" s="61">
        <f t="shared" si="7"/>
        <v>0</v>
      </c>
      <c r="K475" s="59">
        <v>46133</v>
      </c>
      <c r="L475" s="59">
        <f>DATE(YEAR(K475),MONTH(K475)+VLOOKUP($F473,'Membership Level'!$A$3:$B$15,2,FALSE),DAY(K475))</f>
        <v>46163</v>
      </c>
      <c r="M475" s="58">
        <v>3</v>
      </c>
    </row>
    <row r="476" spans="1:13" x14ac:dyDescent="0.35">
      <c r="A476" s="227" t="s">
        <v>1123</v>
      </c>
      <c r="B476" s="59">
        <v>46133</v>
      </c>
      <c r="C476" s="93" t="s">
        <v>48</v>
      </c>
      <c r="D476" s="93" t="s">
        <v>1201</v>
      </c>
      <c r="E476" s="226">
        <v>8789007512</v>
      </c>
      <c r="F476" s="93" t="str">
        <f>'Membership Level'!A12</f>
        <v>Swimming Moth</v>
      </c>
      <c r="G476" s="246" t="s">
        <v>334</v>
      </c>
      <c r="H476" s="75">
        <v>1000</v>
      </c>
      <c r="I476" s="75">
        <v>1000</v>
      </c>
      <c r="J476" s="61" t="s">
        <v>601</v>
      </c>
      <c r="K476" s="59">
        <v>46133</v>
      </c>
      <c r="L476" s="59">
        <f>DATE(YEAR(K476),MONTH(K476)+VLOOKUP($F474,'Membership Level'!$A$3:$B$15,2,FALSE),DAY(K476))</f>
        <v>46163</v>
      </c>
      <c r="M476" s="58"/>
    </row>
    <row r="477" spans="1:13" x14ac:dyDescent="0.35">
      <c r="A477" s="227" t="s">
        <v>1124</v>
      </c>
      <c r="B477" s="59">
        <v>46133</v>
      </c>
      <c r="C477" s="93" t="s">
        <v>1203</v>
      </c>
      <c r="D477" s="93" t="s">
        <v>1202</v>
      </c>
      <c r="E477" s="226">
        <v>9430287141</v>
      </c>
      <c r="F477" s="93" t="str">
        <f>'Membership Level'!A12</f>
        <v>Swimming Moth</v>
      </c>
      <c r="G477" s="93" t="s">
        <v>876</v>
      </c>
      <c r="H477" s="75">
        <v>3300</v>
      </c>
      <c r="I477" s="75">
        <v>3300</v>
      </c>
      <c r="J477" s="61">
        <f t="shared" si="7"/>
        <v>0</v>
      </c>
      <c r="K477" s="59">
        <v>46133</v>
      </c>
      <c r="L477" s="59">
        <f>DATE(YEAR(K477),MONTH(K477)+VLOOKUP($F475,'Membership Level'!$A$3:$B$15,2,FALSE),DAY(K477))</f>
        <v>46163</v>
      </c>
      <c r="M477" s="58">
        <v>3</v>
      </c>
    </row>
    <row r="478" spans="1:13" x14ac:dyDescent="0.35">
      <c r="A478" s="227" t="s">
        <v>1125</v>
      </c>
      <c r="B478" s="59">
        <v>46133</v>
      </c>
      <c r="C478" s="93" t="s">
        <v>1205</v>
      </c>
      <c r="D478" s="93" t="s">
        <v>1204</v>
      </c>
      <c r="E478" s="226">
        <v>9905486126</v>
      </c>
      <c r="F478" s="93" t="str">
        <f>'Membership Level'!A12</f>
        <v>Swimming Moth</v>
      </c>
      <c r="G478" s="93" t="s">
        <v>876</v>
      </c>
      <c r="H478" s="75">
        <v>3300</v>
      </c>
      <c r="I478" s="75">
        <v>3300</v>
      </c>
      <c r="J478" s="61">
        <f t="shared" si="7"/>
        <v>0</v>
      </c>
      <c r="K478" s="59">
        <v>46133</v>
      </c>
      <c r="L478" s="59">
        <f>DATE(YEAR(K478),MONTH(K478)+VLOOKUP($F476,'Membership Level'!$A$3:$B$15,2,FALSE),DAY(K478))</f>
        <v>46163</v>
      </c>
      <c r="M478" s="58">
        <v>3</v>
      </c>
    </row>
    <row r="479" spans="1:13" x14ac:dyDescent="0.35">
      <c r="A479" s="227" t="s">
        <v>1126</v>
      </c>
      <c r="B479" s="59">
        <v>46133</v>
      </c>
      <c r="C479" s="93" t="s">
        <v>1062</v>
      </c>
      <c r="D479" s="93" t="s">
        <v>1206</v>
      </c>
      <c r="E479" s="226">
        <v>7277313130</v>
      </c>
      <c r="F479" s="93" t="str">
        <f>'Membership Level'!A12</f>
        <v>Swimming Moth</v>
      </c>
      <c r="G479" s="93" t="s">
        <v>257</v>
      </c>
      <c r="H479" s="75">
        <v>4400</v>
      </c>
      <c r="I479" s="75">
        <v>4400</v>
      </c>
      <c r="J479" s="61">
        <f t="shared" si="7"/>
        <v>0</v>
      </c>
      <c r="K479" s="59">
        <v>46133</v>
      </c>
      <c r="L479" s="59">
        <f>DATE(YEAR(K479),MONTH(K479)+VLOOKUP($F477,'Membership Level'!$A$3:$B$15,2,FALSE),DAY(K479))</f>
        <v>46163</v>
      </c>
      <c r="M479" s="58">
        <v>3</v>
      </c>
    </row>
    <row r="480" spans="1:13" x14ac:dyDescent="0.35">
      <c r="A480" s="227" t="s">
        <v>1127</v>
      </c>
      <c r="B480" s="59">
        <v>46133</v>
      </c>
      <c r="C480" s="93" t="s">
        <v>259</v>
      </c>
      <c r="D480" s="93" t="s">
        <v>1207</v>
      </c>
      <c r="E480" s="226">
        <v>9708324585</v>
      </c>
      <c r="F480" s="93" t="str">
        <f>'Membership Level'!A12</f>
        <v>Swimming Moth</v>
      </c>
      <c r="G480" s="93" t="s">
        <v>455</v>
      </c>
      <c r="H480" s="75">
        <v>2800</v>
      </c>
      <c r="I480" s="75">
        <v>2800</v>
      </c>
      <c r="J480" s="61">
        <f t="shared" si="7"/>
        <v>0</v>
      </c>
      <c r="K480" s="59">
        <v>46133</v>
      </c>
      <c r="L480" s="59">
        <f>DATE(YEAR(K480),MONTH(K480)+VLOOKUP($F478,'Membership Level'!$A$3:$B$15,2,FALSE),DAY(K480))</f>
        <v>46163</v>
      </c>
      <c r="M480" s="58">
        <v>3</v>
      </c>
    </row>
    <row r="481" spans="1:13" x14ac:dyDescent="0.35">
      <c r="A481" s="227" t="s">
        <v>1128</v>
      </c>
      <c r="B481" s="59">
        <v>46133</v>
      </c>
      <c r="C481" s="93" t="s">
        <v>281</v>
      </c>
      <c r="D481" s="93" t="s">
        <v>491</v>
      </c>
      <c r="E481" s="226">
        <v>9031018110</v>
      </c>
      <c r="F481" s="93" t="str">
        <f>'Membership Level'!A12</f>
        <v>Swimming Moth</v>
      </c>
      <c r="G481" s="93" t="s">
        <v>257</v>
      </c>
      <c r="H481" s="75">
        <v>3500</v>
      </c>
      <c r="I481" s="75">
        <v>3500</v>
      </c>
      <c r="J481" s="61">
        <f t="shared" si="7"/>
        <v>0</v>
      </c>
      <c r="K481" s="59">
        <v>46133</v>
      </c>
      <c r="L481" s="59">
        <f>DATE(YEAR(K481),MONTH(K481)+VLOOKUP($F479,'Membership Level'!$A$3:$B$15,2,FALSE),DAY(K481))</f>
        <v>46163</v>
      </c>
      <c r="M481" s="58">
        <v>3</v>
      </c>
    </row>
    <row r="482" spans="1:13" x14ac:dyDescent="0.35">
      <c r="A482" s="227" t="s">
        <v>1176</v>
      </c>
      <c r="B482" s="59">
        <v>46133</v>
      </c>
      <c r="C482" s="93"/>
      <c r="D482" s="93" t="s">
        <v>1208</v>
      </c>
      <c r="E482" s="226">
        <v>9430246273</v>
      </c>
      <c r="F482" s="93" t="str">
        <f>'Membership Level'!A12</f>
        <v>Swimming Moth</v>
      </c>
      <c r="G482" s="93" t="s">
        <v>876</v>
      </c>
      <c r="H482" s="75">
        <v>2600</v>
      </c>
      <c r="I482" s="75">
        <v>2600</v>
      </c>
      <c r="J482" s="61">
        <f t="shared" si="7"/>
        <v>0</v>
      </c>
      <c r="K482" s="9">
        <v>46133</v>
      </c>
      <c r="L482" s="59">
        <f>DATE(YEAR(K482),MONTH(K482)+VLOOKUP($F480,'Membership Level'!$A$3:$B$15,2,FALSE),DAY(K482))</f>
        <v>46163</v>
      </c>
      <c r="M482" s="58">
        <v>3</v>
      </c>
    </row>
    <row r="483" spans="1:13" x14ac:dyDescent="0.35">
      <c r="A483" s="227" t="s">
        <v>1177</v>
      </c>
      <c r="B483" s="59">
        <v>46133</v>
      </c>
      <c r="C483" s="93" t="s">
        <v>333</v>
      </c>
      <c r="D483" s="93" t="s">
        <v>1209</v>
      </c>
      <c r="E483" s="226">
        <v>9334522110</v>
      </c>
      <c r="F483" s="93" t="str">
        <f>'Membership Level'!A12</f>
        <v>Swimming Moth</v>
      </c>
      <c r="G483" s="93" t="s">
        <v>248</v>
      </c>
      <c r="H483" s="75">
        <v>4000</v>
      </c>
      <c r="I483" s="75">
        <v>4000</v>
      </c>
      <c r="J483" s="61">
        <f t="shared" si="7"/>
        <v>0</v>
      </c>
      <c r="K483" s="9">
        <v>46133</v>
      </c>
      <c r="L483" s="59">
        <f>DATE(YEAR(K483),MONTH(K483)+VLOOKUP($F481,'Membership Level'!$A$3:$B$15,2,FALSE),DAY(K483))</f>
        <v>46163</v>
      </c>
      <c r="M483" s="7"/>
    </row>
    <row r="484" spans="1:13" x14ac:dyDescent="0.35">
      <c r="A484" s="227" t="s">
        <v>1178</v>
      </c>
      <c r="B484" s="245">
        <v>46133</v>
      </c>
      <c r="C484" s="93"/>
      <c r="D484" s="93" t="s">
        <v>1210</v>
      </c>
      <c r="E484" s="226">
        <v>9334522110</v>
      </c>
      <c r="F484" s="93" t="str">
        <f>'Membership Level'!A12</f>
        <v>Swimming Moth</v>
      </c>
      <c r="G484" s="93" t="s">
        <v>248</v>
      </c>
      <c r="H484" s="75">
        <v>4000</v>
      </c>
      <c r="I484" s="75">
        <v>4000</v>
      </c>
      <c r="J484" s="61">
        <f t="shared" si="7"/>
        <v>0</v>
      </c>
      <c r="K484" s="9">
        <v>46133</v>
      </c>
      <c r="L484" s="59">
        <f>DATE(YEAR(K484),MONTH(K484)+VLOOKUP($F482,'Membership Level'!$A$3:$B$15,2,FALSE),DAY(K484))</f>
        <v>46163</v>
      </c>
      <c r="M484" s="7"/>
    </row>
    <row r="485" spans="1:13" x14ac:dyDescent="0.35">
      <c r="A485" s="227" t="s">
        <v>1179</v>
      </c>
      <c r="B485" s="244">
        <v>46134</v>
      </c>
      <c r="C485" s="93" t="s">
        <v>1212</v>
      </c>
      <c r="D485" s="93" t="s">
        <v>1211</v>
      </c>
      <c r="E485" s="226">
        <v>7898216407</v>
      </c>
      <c r="F485" s="93" t="str">
        <f>'Membership Level'!A12</f>
        <v>Swimming Moth</v>
      </c>
      <c r="G485" s="93" t="s">
        <v>379</v>
      </c>
      <c r="H485" s="75">
        <v>2800</v>
      </c>
      <c r="I485" s="75">
        <v>2800</v>
      </c>
      <c r="J485" s="61">
        <f t="shared" si="7"/>
        <v>0</v>
      </c>
      <c r="K485" s="9">
        <v>46134</v>
      </c>
      <c r="L485" s="59">
        <f>DATE(YEAR(K485),MONTH(K485)+VLOOKUP($F483,'Membership Level'!$A$3:$B$15,2,FALSE),DAY(K485))</f>
        <v>46164</v>
      </c>
      <c r="M485" s="7"/>
    </row>
    <row r="486" spans="1:13" x14ac:dyDescent="0.35">
      <c r="A486" s="227" t="s">
        <v>1180</v>
      </c>
      <c r="B486" s="244">
        <v>46134</v>
      </c>
      <c r="C486" s="93" t="s">
        <v>1212</v>
      </c>
      <c r="D486" s="93" t="s">
        <v>1213</v>
      </c>
      <c r="E486" s="226">
        <v>7898216407</v>
      </c>
      <c r="F486" s="93" t="str">
        <f>'Membership Level'!A12</f>
        <v>Swimming Moth</v>
      </c>
      <c r="G486" s="93" t="s">
        <v>1214</v>
      </c>
      <c r="H486" s="75">
        <v>3300</v>
      </c>
      <c r="I486" s="75">
        <v>3300</v>
      </c>
      <c r="J486" s="61">
        <f t="shared" si="7"/>
        <v>0</v>
      </c>
      <c r="K486" s="244">
        <v>46134</v>
      </c>
      <c r="L486" s="59">
        <f>DATE(YEAR(K486),MONTH(K486)+VLOOKUP($F484,'Membership Level'!$A$3:$B$15,2,FALSE),DAY(K486))</f>
        <v>46164</v>
      </c>
      <c r="M486" s="7"/>
    </row>
    <row r="487" spans="1:13" x14ac:dyDescent="0.35">
      <c r="A487" s="227" t="s">
        <v>1181</v>
      </c>
      <c r="B487" s="244">
        <v>46134</v>
      </c>
      <c r="C487" s="93"/>
      <c r="D487" s="93" t="s">
        <v>1215</v>
      </c>
      <c r="E487" s="226">
        <v>8252261131</v>
      </c>
      <c r="F487" s="93" t="str">
        <f>'Membership Level'!A12</f>
        <v>Swimming Moth</v>
      </c>
      <c r="G487" s="93" t="s">
        <v>257</v>
      </c>
      <c r="H487" s="75">
        <v>3500</v>
      </c>
      <c r="I487" s="75">
        <v>3500</v>
      </c>
      <c r="J487" s="61">
        <f t="shared" si="7"/>
        <v>0</v>
      </c>
      <c r="K487" s="244">
        <v>46134</v>
      </c>
      <c r="L487" s="59">
        <f>DATE(YEAR(K487),MONTH(K487)+VLOOKUP($F485,'Membership Level'!$A$3:$B$15,2,FALSE),DAY(K487))</f>
        <v>46164</v>
      </c>
      <c r="M487" s="7"/>
    </row>
    <row r="488" spans="1:13" x14ac:dyDescent="0.35">
      <c r="A488" s="227" t="s">
        <v>1182</v>
      </c>
      <c r="B488" s="244">
        <v>46134</v>
      </c>
      <c r="C488" s="93" t="s">
        <v>1217</v>
      </c>
      <c r="D488" s="93" t="s">
        <v>1216</v>
      </c>
      <c r="E488" s="226">
        <v>7764946028</v>
      </c>
      <c r="F488" s="93" t="str">
        <f>'Membership Level'!A12</f>
        <v>Swimming Moth</v>
      </c>
      <c r="G488" s="93" t="s">
        <v>927</v>
      </c>
      <c r="H488" s="75">
        <v>2800</v>
      </c>
      <c r="I488" s="75">
        <v>2800</v>
      </c>
      <c r="J488" s="61">
        <f t="shared" si="7"/>
        <v>0</v>
      </c>
      <c r="K488" s="244">
        <v>46134</v>
      </c>
      <c r="L488" s="59">
        <f>DATE(YEAR(K488),MONTH(K488)+VLOOKUP($F486,'Membership Level'!$A$3:$B$15,2,FALSE),DAY(K488))</f>
        <v>46164</v>
      </c>
      <c r="M488" s="7"/>
    </row>
    <row r="489" spans="1:13" x14ac:dyDescent="0.35">
      <c r="A489" s="227" t="s">
        <v>1183</v>
      </c>
      <c r="B489" s="244">
        <v>46135</v>
      </c>
      <c r="C489" s="93" t="s">
        <v>1219</v>
      </c>
      <c r="D489" s="93" t="s">
        <v>1218</v>
      </c>
      <c r="E489" s="226">
        <v>6204346538</v>
      </c>
      <c r="F489" s="93" t="str">
        <f>'Membership Level'!A12</f>
        <v>Swimming Moth</v>
      </c>
      <c r="G489" s="93" t="s">
        <v>257</v>
      </c>
      <c r="H489" s="75">
        <v>4400</v>
      </c>
      <c r="I489" s="75">
        <v>4400</v>
      </c>
      <c r="J489" s="61">
        <f t="shared" si="7"/>
        <v>0</v>
      </c>
      <c r="K489" s="244">
        <v>46135</v>
      </c>
      <c r="L489" s="59">
        <f>DATE(YEAR(K489),MONTH(K489)+VLOOKUP($F487,'Membership Level'!$A$3:$B$15,2,FALSE),DAY(K489))</f>
        <v>46165</v>
      </c>
      <c r="M489" s="7"/>
    </row>
    <row r="490" spans="1:13" x14ac:dyDescent="0.35">
      <c r="A490" s="227" t="s">
        <v>1184</v>
      </c>
      <c r="B490" s="244">
        <v>46135</v>
      </c>
      <c r="C490" s="93" t="s">
        <v>281</v>
      </c>
      <c r="D490" s="93" t="s">
        <v>682</v>
      </c>
      <c r="E490" s="226">
        <v>6299276690</v>
      </c>
      <c r="F490" s="93" t="str">
        <f>'Membership Level'!A12</f>
        <v>Swimming Moth</v>
      </c>
      <c r="G490" s="93" t="s">
        <v>257</v>
      </c>
      <c r="H490" s="75">
        <v>4000</v>
      </c>
      <c r="I490" s="75">
        <v>4000</v>
      </c>
      <c r="J490" s="61">
        <f t="shared" si="7"/>
        <v>0</v>
      </c>
      <c r="K490" s="244">
        <v>46135</v>
      </c>
      <c r="L490" s="59">
        <f>DATE(YEAR(K490),MONTH(K490)+VLOOKUP($F488,'Membership Level'!$A$3:$B$15,2,FALSE),DAY(K490))</f>
        <v>46165</v>
      </c>
      <c r="M490" s="7"/>
    </row>
    <row r="491" spans="1:13" x14ac:dyDescent="0.35">
      <c r="A491" s="227" t="s">
        <v>1185</v>
      </c>
      <c r="B491" s="244">
        <v>46135</v>
      </c>
      <c r="C491" s="93"/>
      <c r="D491" s="93" t="s">
        <v>1220</v>
      </c>
      <c r="E491" s="235">
        <v>7085177625</v>
      </c>
      <c r="F491" s="93" t="str">
        <f>'Membership Level'!A12</f>
        <v>Swimming Moth</v>
      </c>
      <c r="G491" s="241" t="s">
        <v>248</v>
      </c>
      <c r="H491" s="75">
        <v>4400</v>
      </c>
      <c r="I491" s="75">
        <v>4400</v>
      </c>
      <c r="J491" s="61">
        <f t="shared" si="7"/>
        <v>0</v>
      </c>
      <c r="K491" s="333">
        <v>46136</v>
      </c>
      <c r="L491" s="307">
        <f>DATE(YEAR(K491),MONTH(K491)+VLOOKUP($F489,'Membership Level'!$A$3:$B$15,2,FALSE),DAY(K491))</f>
        <v>46166</v>
      </c>
      <c r="M491" s="7"/>
    </row>
    <row r="492" spans="1:13" x14ac:dyDescent="0.35">
      <c r="A492" s="227" t="s">
        <v>1186</v>
      </c>
      <c r="B492" s="244">
        <v>46135</v>
      </c>
      <c r="C492" s="93" t="s">
        <v>281</v>
      </c>
      <c r="D492" s="93" t="s">
        <v>1221</v>
      </c>
      <c r="E492" s="226">
        <v>9006412016</v>
      </c>
      <c r="F492" s="241" t="str">
        <f>'Membership Level'!A12</f>
        <v>Swimming Moth</v>
      </c>
      <c r="G492" s="93" t="s">
        <v>257</v>
      </c>
      <c r="H492" s="75">
        <v>4400</v>
      </c>
      <c r="I492" s="75">
        <v>4400</v>
      </c>
      <c r="J492" s="61">
        <f t="shared" si="7"/>
        <v>0</v>
      </c>
      <c r="K492" s="244">
        <v>46135</v>
      </c>
      <c r="L492" s="59">
        <f>DATE(YEAR(K492),MONTH(K492)+VLOOKUP($F490,'Membership Level'!$A$3:$B$15,2,FALSE),DAY(K492))</f>
        <v>46165</v>
      </c>
      <c r="M492" s="7"/>
    </row>
    <row r="493" spans="1:13" x14ac:dyDescent="0.35">
      <c r="A493" s="227" t="s">
        <v>1187</v>
      </c>
      <c r="B493" s="244">
        <v>46135</v>
      </c>
      <c r="C493" s="93" t="s">
        <v>30</v>
      </c>
      <c r="D493" s="93" t="s">
        <v>1222</v>
      </c>
      <c r="E493" s="235">
        <v>9304672076</v>
      </c>
      <c r="F493" s="93" t="str">
        <f>'Membership Level'!A12</f>
        <v>Swimming Moth</v>
      </c>
      <c r="G493" s="93" t="s">
        <v>257</v>
      </c>
      <c r="H493" s="75">
        <v>4000</v>
      </c>
      <c r="I493" s="75">
        <v>4000</v>
      </c>
      <c r="J493" s="61">
        <f t="shared" si="7"/>
        <v>0</v>
      </c>
      <c r="K493" s="244">
        <v>46135</v>
      </c>
      <c r="L493" s="59">
        <f>DATE(YEAR(K493),MONTH(K493)+VLOOKUP($F491,'Membership Level'!$A$3:$B$15,2,FALSE),DAY(K493))</f>
        <v>46165</v>
      </c>
      <c r="M493" s="7"/>
    </row>
    <row r="494" spans="1:13" s="11" customFormat="1" x14ac:dyDescent="0.35">
      <c r="A494" s="227" t="s">
        <v>1188</v>
      </c>
      <c r="B494" s="244">
        <v>46135</v>
      </c>
      <c r="C494" s="241" t="s">
        <v>32</v>
      </c>
      <c r="D494" s="241" t="s">
        <v>1224</v>
      </c>
      <c r="E494" s="226">
        <v>8227920982</v>
      </c>
      <c r="F494" s="93" t="str">
        <f>'Membership Level'!A12</f>
        <v>Swimming Moth</v>
      </c>
      <c r="G494" s="241" t="s">
        <v>248</v>
      </c>
      <c r="H494" s="75">
        <v>3300</v>
      </c>
      <c r="I494" s="75">
        <v>3300</v>
      </c>
      <c r="J494" s="61">
        <f t="shared" si="7"/>
        <v>0</v>
      </c>
      <c r="K494" s="244">
        <v>46135</v>
      </c>
      <c r="L494" s="59">
        <f>DATE(YEAR(K494),MONTH(K494)+VLOOKUP($F492,'Membership Level'!$A$3:$B$15,2,FALSE),DAY(K494))</f>
        <v>46165</v>
      </c>
      <c r="M494" s="58"/>
    </row>
    <row r="495" spans="1:13" x14ac:dyDescent="0.35">
      <c r="A495" s="227" t="s">
        <v>1189</v>
      </c>
      <c r="B495" s="244">
        <v>46135</v>
      </c>
      <c r="C495" s="93" t="s">
        <v>333</v>
      </c>
      <c r="D495" s="93" t="s">
        <v>1223</v>
      </c>
      <c r="E495" s="226">
        <v>8210097457</v>
      </c>
      <c r="F495" s="93" t="str">
        <f>'Membership Level'!A12</f>
        <v>Swimming Moth</v>
      </c>
      <c r="G495" s="93" t="s">
        <v>494</v>
      </c>
      <c r="H495" s="75">
        <v>2500</v>
      </c>
      <c r="I495" s="75">
        <v>2500</v>
      </c>
      <c r="J495" s="61">
        <f t="shared" si="7"/>
        <v>0</v>
      </c>
      <c r="K495" s="9">
        <v>46135</v>
      </c>
      <c r="L495" s="59">
        <f>DATE(YEAR(K495),MONTH(K495)+VLOOKUP($F493,'Membership Level'!$A$3:$B$15,2,FALSE),DAY(K495))</f>
        <v>46165</v>
      </c>
      <c r="M495" s="7"/>
    </row>
    <row r="496" spans="1:13" x14ac:dyDescent="0.35">
      <c r="A496" s="227" t="s">
        <v>1190</v>
      </c>
      <c r="B496" s="9">
        <v>46135</v>
      </c>
      <c r="C496" s="93"/>
      <c r="D496" s="93" t="s">
        <v>1245</v>
      </c>
      <c r="E496" s="226">
        <v>9709373111</v>
      </c>
      <c r="F496" s="93" t="str">
        <f>'Membership Level'!A12</f>
        <v>Swimming Moth</v>
      </c>
      <c r="G496" s="93" t="s">
        <v>494</v>
      </c>
      <c r="H496" s="75">
        <v>2500</v>
      </c>
      <c r="I496" s="75">
        <v>2500</v>
      </c>
      <c r="J496" s="61">
        <f t="shared" si="7"/>
        <v>0</v>
      </c>
      <c r="K496" s="9">
        <v>46135</v>
      </c>
      <c r="L496" s="59">
        <f>DATE(YEAR(K496),MONTH(K496)+VLOOKUP($F494,'Membership Level'!$A$3:$B$15,2,FALSE),DAY(K496))</f>
        <v>46165</v>
      </c>
      <c r="M496" s="7"/>
    </row>
    <row r="497" spans="1:13" x14ac:dyDescent="0.35">
      <c r="A497" s="227" t="s">
        <v>1191</v>
      </c>
      <c r="B497" s="9">
        <v>46135</v>
      </c>
      <c r="C497" s="93" t="s">
        <v>1272</v>
      </c>
      <c r="D497" s="93" t="s">
        <v>366</v>
      </c>
      <c r="E497" s="226">
        <v>8804383937</v>
      </c>
      <c r="F497" s="93" t="str">
        <f>'Membership Level'!A12</f>
        <v>Swimming Moth</v>
      </c>
      <c r="G497" s="93" t="s">
        <v>379</v>
      </c>
      <c r="H497" s="75">
        <v>2700</v>
      </c>
      <c r="I497" s="75">
        <v>2700</v>
      </c>
      <c r="J497" s="61">
        <f t="shared" si="7"/>
        <v>0</v>
      </c>
      <c r="K497" s="9">
        <v>46135</v>
      </c>
      <c r="L497" s="59">
        <f>DATE(YEAR(K497),MONTH(K497)+VLOOKUP($F495,'Membership Level'!$A$3:$B$15,2,FALSE),DAY(K497))</f>
        <v>46165</v>
      </c>
      <c r="M497" s="7"/>
    </row>
    <row r="498" spans="1:13" s="261" customFormat="1" x14ac:dyDescent="0.35">
      <c r="A498" s="255" t="s">
        <v>1192</v>
      </c>
      <c r="B498" s="268">
        <v>46135</v>
      </c>
      <c r="C498" s="260" t="s">
        <v>281</v>
      </c>
      <c r="D498" s="260" t="s">
        <v>1273</v>
      </c>
      <c r="E498" s="257">
        <v>9334116638</v>
      </c>
      <c r="F498" s="260" t="str">
        <f>'Membership Level'!A13</f>
        <v>Swimming Qty</v>
      </c>
      <c r="G498" s="260" t="s">
        <v>216</v>
      </c>
      <c r="H498" s="266">
        <v>11000</v>
      </c>
      <c r="I498" s="266">
        <v>11000</v>
      </c>
      <c r="J498" s="267">
        <f t="shared" si="7"/>
        <v>0</v>
      </c>
      <c r="K498" s="268">
        <v>46135</v>
      </c>
      <c r="L498" s="268">
        <v>46226</v>
      </c>
      <c r="M498" s="269"/>
    </row>
    <row r="499" spans="1:13" s="261" customFormat="1" x14ac:dyDescent="0.35">
      <c r="A499" s="255" t="s">
        <v>1193</v>
      </c>
      <c r="B499" s="268">
        <v>46135</v>
      </c>
      <c r="C499" s="260" t="s">
        <v>1271</v>
      </c>
      <c r="D499" s="260" t="s">
        <v>1270</v>
      </c>
      <c r="E499" s="257">
        <v>9334116638</v>
      </c>
      <c r="F499" s="260" t="str">
        <f>'Membership Level'!A13</f>
        <v>Swimming Qty</v>
      </c>
      <c r="G499" s="260" t="s">
        <v>216</v>
      </c>
      <c r="H499" s="266">
        <v>11000</v>
      </c>
      <c r="I499" s="266">
        <v>11000</v>
      </c>
      <c r="J499" s="267">
        <f t="shared" si="7"/>
        <v>0</v>
      </c>
      <c r="K499" s="268">
        <v>46135</v>
      </c>
      <c r="L499" s="268">
        <v>46226</v>
      </c>
      <c r="M499" s="269"/>
    </row>
    <row r="500" spans="1:13" x14ac:dyDescent="0.35">
      <c r="A500" s="227" t="s">
        <v>1194</v>
      </c>
      <c r="B500" s="244">
        <v>46135</v>
      </c>
      <c r="C500" s="93" t="s">
        <v>437</v>
      </c>
      <c r="D500" s="93" t="s">
        <v>1246</v>
      </c>
      <c r="E500" s="235">
        <v>7858873557</v>
      </c>
      <c r="F500" s="241" t="str">
        <f>'Membership Level'!A12</f>
        <v>Swimming Moth</v>
      </c>
      <c r="G500" s="93" t="s">
        <v>494</v>
      </c>
      <c r="H500" s="75">
        <v>2500</v>
      </c>
      <c r="I500" s="75">
        <v>2500</v>
      </c>
      <c r="J500" s="61">
        <f t="shared" si="7"/>
        <v>0</v>
      </c>
      <c r="K500" s="9">
        <v>46135</v>
      </c>
      <c r="L500" s="59">
        <v>46165</v>
      </c>
      <c r="M500" s="7"/>
    </row>
    <row r="501" spans="1:13" s="11" customFormat="1" x14ac:dyDescent="0.35">
      <c r="A501" s="227" t="s">
        <v>1195</v>
      </c>
      <c r="B501" s="244">
        <v>46135</v>
      </c>
      <c r="C501" s="241" t="s">
        <v>761</v>
      </c>
      <c r="D501" s="241" t="s">
        <v>1247</v>
      </c>
      <c r="E501" s="235">
        <v>7209939141</v>
      </c>
      <c r="F501" s="241" t="str">
        <f>'Membership Level'!A12</f>
        <v>Swimming Moth</v>
      </c>
      <c r="G501" s="241" t="s">
        <v>370</v>
      </c>
      <c r="H501" s="75">
        <v>3500</v>
      </c>
      <c r="I501" s="75">
        <v>3500</v>
      </c>
      <c r="J501" s="61">
        <f t="shared" si="7"/>
        <v>0</v>
      </c>
      <c r="K501" s="59">
        <v>46135</v>
      </c>
      <c r="L501" s="59">
        <v>46165</v>
      </c>
      <c r="M501" s="58"/>
    </row>
    <row r="502" spans="1:13" s="11" customFormat="1" x14ac:dyDescent="0.35">
      <c r="A502" s="227" t="s">
        <v>1225</v>
      </c>
      <c r="B502" s="244">
        <v>46135</v>
      </c>
      <c r="C502" s="241" t="s">
        <v>259</v>
      </c>
      <c r="D502" s="241" t="s">
        <v>493</v>
      </c>
      <c r="E502" s="235">
        <v>7209939141</v>
      </c>
      <c r="F502" s="241" t="str">
        <f>'Membership Level'!A12</f>
        <v>Swimming Moth</v>
      </c>
      <c r="G502" s="241" t="s">
        <v>308</v>
      </c>
      <c r="H502" s="75">
        <v>3500</v>
      </c>
      <c r="I502" s="75">
        <v>3500</v>
      </c>
      <c r="J502" s="61">
        <f t="shared" si="7"/>
        <v>0</v>
      </c>
      <c r="K502" s="59">
        <v>46135</v>
      </c>
      <c r="L502" s="59">
        <f>DATE(YEAR(K502),MONTH(K502)+VLOOKUP($F500,'Membership Level'!$A$3:$B$15,2,FALSE),DAY(K502))</f>
        <v>46165</v>
      </c>
      <c r="M502" s="58"/>
    </row>
    <row r="503" spans="1:13" s="11" customFormat="1" x14ac:dyDescent="0.35">
      <c r="A503" s="227" t="s">
        <v>1226</v>
      </c>
      <c r="B503" s="244">
        <v>46135</v>
      </c>
      <c r="C503" s="241" t="s">
        <v>1249</v>
      </c>
      <c r="D503" s="241" t="s">
        <v>1248</v>
      </c>
      <c r="E503" s="235">
        <v>8709463618</v>
      </c>
      <c r="F503" s="93" t="str">
        <f>'Membership Level'!A12</f>
        <v>Swimming Moth</v>
      </c>
      <c r="G503" s="241" t="s">
        <v>248</v>
      </c>
      <c r="H503" s="242">
        <v>4400</v>
      </c>
      <c r="I503" s="242">
        <v>4400</v>
      </c>
      <c r="J503" s="243">
        <f t="shared" si="7"/>
        <v>0</v>
      </c>
      <c r="K503" s="59">
        <v>46135</v>
      </c>
      <c r="L503" s="59">
        <f>DATE(YEAR(K503),MONTH(K503)+VLOOKUP($F501,'Membership Level'!$A$3:$B$15,2,FALSE),DAY(K503))</f>
        <v>46165</v>
      </c>
      <c r="M503" s="58"/>
    </row>
    <row r="504" spans="1:13" s="11" customFormat="1" x14ac:dyDescent="0.35">
      <c r="A504" s="227" t="s">
        <v>1227</v>
      </c>
      <c r="B504" s="244">
        <v>46136</v>
      </c>
      <c r="C504" s="241" t="s">
        <v>550</v>
      </c>
      <c r="D504" s="241" t="s">
        <v>1175</v>
      </c>
      <c r="E504" s="226">
        <v>9654430755</v>
      </c>
      <c r="F504" s="93" t="str">
        <f>'Membership Level'!A12</f>
        <v>Swimming Moth</v>
      </c>
      <c r="G504" s="241" t="s">
        <v>248</v>
      </c>
      <c r="H504" s="242">
        <v>4000</v>
      </c>
      <c r="I504" s="242">
        <v>4000</v>
      </c>
      <c r="J504" s="243">
        <f t="shared" si="7"/>
        <v>0</v>
      </c>
      <c r="K504" s="307">
        <v>46137</v>
      </c>
      <c r="L504" s="307">
        <f>DATE(YEAR(K504),MONTH(K504)+VLOOKUP($F502,'Membership Level'!$A$3:$B$15,2,FALSE),DAY(K504))</f>
        <v>46167</v>
      </c>
      <c r="M504" s="58"/>
    </row>
    <row r="505" spans="1:13" x14ac:dyDescent="0.35">
      <c r="A505" s="227" t="s">
        <v>1228</v>
      </c>
      <c r="B505" s="244">
        <v>46136</v>
      </c>
      <c r="C505" s="93" t="s">
        <v>32</v>
      </c>
      <c r="D505" s="93" t="s">
        <v>273</v>
      </c>
      <c r="E505" s="226">
        <v>9654430755</v>
      </c>
      <c r="F505" s="93" t="str">
        <f>'Membership Level'!A12</f>
        <v>Swimming Moth</v>
      </c>
      <c r="G505" s="93" t="s">
        <v>370</v>
      </c>
      <c r="H505" s="242">
        <v>3500</v>
      </c>
      <c r="I505" s="242">
        <v>3500</v>
      </c>
      <c r="J505" s="243">
        <f t="shared" si="7"/>
        <v>0</v>
      </c>
      <c r="K505" s="307">
        <v>46137</v>
      </c>
      <c r="L505" s="307">
        <f>DATE(YEAR(K505),MONTH(K505)+VLOOKUP($F503,'Membership Level'!$A$3:$B$15,2,FALSE),DAY(K505))</f>
        <v>46167</v>
      </c>
      <c r="M505" s="7"/>
    </row>
    <row r="506" spans="1:13" x14ac:dyDescent="0.35">
      <c r="A506" s="227" t="s">
        <v>1229</v>
      </c>
      <c r="B506" s="244">
        <v>46136</v>
      </c>
      <c r="C506" s="93" t="s">
        <v>333</v>
      </c>
      <c r="D506" s="93" t="s">
        <v>1274</v>
      </c>
      <c r="E506" s="226">
        <v>8969130001</v>
      </c>
      <c r="F506" s="93" t="str">
        <f>'Membership Level'!A12</f>
        <v>Swimming Moth</v>
      </c>
      <c r="G506" s="93" t="s">
        <v>248</v>
      </c>
      <c r="H506" s="242">
        <v>4000</v>
      </c>
      <c r="I506" s="242">
        <v>4000</v>
      </c>
      <c r="J506" s="243">
        <f t="shared" si="7"/>
        <v>0</v>
      </c>
      <c r="K506" s="59">
        <v>46136</v>
      </c>
      <c r="L506" s="59">
        <f>DATE(YEAR(K506),MONTH(K506)+VLOOKUP($F504,'Membership Level'!$A$3:$B$15,2,FALSE),DAY(K506))</f>
        <v>46166</v>
      </c>
      <c r="M506" s="7"/>
    </row>
    <row r="507" spans="1:13" x14ac:dyDescent="0.35">
      <c r="A507" s="227" t="s">
        <v>1230</v>
      </c>
      <c r="B507" s="244">
        <v>46136</v>
      </c>
      <c r="C507" s="93" t="s">
        <v>333</v>
      </c>
      <c r="D507" s="93" t="s">
        <v>868</v>
      </c>
      <c r="E507" s="226">
        <v>8969130001</v>
      </c>
      <c r="F507" s="93" t="str">
        <f>'Membership Level'!A12</f>
        <v>Swimming Moth</v>
      </c>
      <c r="G507" s="93" t="s">
        <v>248</v>
      </c>
      <c r="H507" s="242">
        <v>4000</v>
      </c>
      <c r="I507" s="242">
        <v>4000</v>
      </c>
      <c r="J507" s="243">
        <f t="shared" si="7"/>
        <v>0</v>
      </c>
      <c r="K507" s="59">
        <v>46136</v>
      </c>
      <c r="L507" s="59">
        <f>DATE(YEAR(K507),MONTH(K507)+VLOOKUP($F505,'Membership Level'!$A$3:$B$15,2,FALSE),DAY(K507))</f>
        <v>46166</v>
      </c>
      <c r="M507" s="7"/>
    </row>
    <row r="508" spans="1:13" x14ac:dyDescent="0.35">
      <c r="A508" s="227" t="s">
        <v>1231</v>
      </c>
      <c r="B508" s="244">
        <v>46136</v>
      </c>
      <c r="C508" s="93" t="s">
        <v>1276</v>
      </c>
      <c r="D508" s="93" t="s">
        <v>1275</v>
      </c>
      <c r="E508" s="226">
        <v>8969130001</v>
      </c>
      <c r="F508" s="93" t="str">
        <f>'Membership Level'!A12</f>
        <v>Swimming Moth</v>
      </c>
      <c r="G508" s="93" t="s">
        <v>370</v>
      </c>
      <c r="H508" s="242">
        <v>3500</v>
      </c>
      <c r="I508" s="242">
        <v>3500</v>
      </c>
      <c r="J508" s="243">
        <f t="shared" si="7"/>
        <v>0</v>
      </c>
      <c r="K508" s="59">
        <v>46136</v>
      </c>
      <c r="L508" s="59">
        <f>DATE(YEAR(K508),MONTH(K508)+VLOOKUP($F506,'Membership Level'!$A$3:$B$15,2,FALSE),DAY(K508))</f>
        <v>46166</v>
      </c>
      <c r="M508" s="7"/>
    </row>
    <row r="509" spans="1:13" x14ac:dyDescent="0.35">
      <c r="A509" s="227" t="s">
        <v>1232</v>
      </c>
      <c r="B509" s="244">
        <v>46136</v>
      </c>
      <c r="C509" s="93" t="s">
        <v>333</v>
      </c>
      <c r="D509" s="93" t="s">
        <v>459</v>
      </c>
      <c r="E509" s="226">
        <v>8969130001</v>
      </c>
      <c r="F509" s="93" t="str">
        <f>'Membership Level'!A12</f>
        <v>Swimming Moth</v>
      </c>
      <c r="G509" s="93" t="s">
        <v>248</v>
      </c>
      <c r="H509" s="242">
        <v>4000</v>
      </c>
      <c r="I509" s="242">
        <v>4000</v>
      </c>
      <c r="J509" s="243">
        <f t="shared" si="7"/>
        <v>0</v>
      </c>
      <c r="K509" s="59">
        <v>46136</v>
      </c>
      <c r="L509" s="59">
        <f>DATE(YEAR(K509),MONTH(K509)+VLOOKUP($F507,'Membership Level'!$A$3:$B$15,2,FALSE),DAY(K509))</f>
        <v>46166</v>
      </c>
      <c r="M509" s="7"/>
    </row>
    <row r="510" spans="1:13" x14ac:dyDescent="0.35">
      <c r="A510" s="227" t="s">
        <v>1233</v>
      </c>
      <c r="B510" s="244">
        <v>46136</v>
      </c>
      <c r="C510" s="93"/>
      <c r="D510" s="93" t="s">
        <v>1277</v>
      </c>
      <c r="E510" s="226">
        <v>9110943380</v>
      </c>
      <c r="F510" s="93" t="str">
        <f>'Membership Level'!A12</f>
        <v>Swimming Moth</v>
      </c>
      <c r="G510" s="93" t="s">
        <v>297</v>
      </c>
      <c r="H510" s="242">
        <v>3300</v>
      </c>
      <c r="I510" s="242">
        <v>3300</v>
      </c>
      <c r="J510" s="243">
        <f t="shared" si="7"/>
        <v>0</v>
      </c>
      <c r="K510" s="59">
        <v>46136</v>
      </c>
      <c r="L510" s="59">
        <f>DATE(YEAR(K510),MONTH(K510)+VLOOKUP($F508,'Membership Level'!$A$3:$B$15,2,FALSE),DAY(K510))</f>
        <v>46166</v>
      </c>
      <c r="M510" s="7"/>
    </row>
    <row r="511" spans="1:13" x14ac:dyDescent="0.35">
      <c r="A511" s="227" t="s">
        <v>1234</v>
      </c>
      <c r="B511" s="244">
        <v>46136</v>
      </c>
      <c r="C511" s="93" t="s">
        <v>222</v>
      </c>
      <c r="D511" s="93" t="s">
        <v>271</v>
      </c>
      <c r="E511" s="226">
        <v>9135123125</v>
      </c>
      <c r="F511" s="93" t="str">
        <f>'Membership Level'!A12</f>
        <v>Swimming Moth</v>
      </c>
      <c r="G511" s="93" t="s">
        <v>297</v>
      </c>
      <c r="H511" s="242">
        <v>3000</v>
      </c>
      <c r="I511" s="242">
        <v>3000</v>
      </c>
      <c r="J511" s="243">
        <f t="shared" si="7"/>
        <v>0</v>
      </c>
      <c r="K511" s="9">
        <v>46136</v>
      </c>
      <c r="L511" s="59">
        <f>DATE(YEAR(K511),MONTH(K511)+VLOOKUP($F509,'Membership Level'!$A$3:$B$15,2,FALSE),DAY(K511))</f>
        <v>46166</v>
      </c>
      <c r="M511" s="7"/>
    </row>
    <row r="512" spans="1:13" x14ac:dyDescent="0.35">
      <c r="A512" s="227" t="s">
        <v>1235</v>
      </c>
      <c r="B512" s="244">
        <v>46136</v>
      </c>
      <c r="C512" s="93"/>
      <c r="D512" s="93" t="s">
        <v>1278</v>
      </c>
      <c r="E512" s="226">
        <v>7978544929</v>
      </c>
      <c r="F512" s="93" t="str">
        <f>'Membership Level'!A12</f>
        <v>Swimming Moth</v>
      </c>
      <c r="G512" s="93" t="s">
        <v>297</v>
      </c>
      <c r="H512" s="242">
        <v>2000</v>
      </c>
      <c r="I512" s="242">
        <v>2000</v>
      </c>
      <c r="J512" s="243">
        <f t="shared" si="7"/>
        <v>0</v>
      </c>
      <c r="K512" s="9">
        <v>46136</v>
      </c>
      <c r="L512" s="59">
        <f>DATE(YEAR(K512),MONTH(K512)+VLOOKUP($F510,'Membership Level'!$A$3:$B$15,2,FALSE),DAY(K512))</f>
        <v>46166</v>
      </c>
      <c r="M512" s="7"/>
    </row>
    <row r="513" spans="1:13" x14ac:dyDescent="0.35">
      <c r="A513" s="227" t="s">
        <v>1236</v>
      </c>
      <c r="B513" s="244">
        <v>46136</v>
      </c>
      <c r="C513" s="93"/>
      <c r="D513" s="93" t="s">
        <v>1279</v>
      </c>
      <c r="E513" s="226">
        <v>7667313936</v>
      </c>
      <c r="F513" s="93" t="str">
        <f>'Membership Level'!A12</f>
        <v>Swimming Moth</v>
      </c>
      <c r="G513" s="93" t="s">
        <v>297</v>
      </c>
      <c r="H513" s="242">
        <v>2000</v>
      </c>
      <c r="I513" s="242">
        <v>2000</v>
      </c>
      <c r="J513" s="243">
        <f t="shared" si="7"/>
        <v>0</v>
      </c>
      <c r="K513" s="9">
        <v>46136</v>
      </c>
      <c r="L513" s="59">
        <f>DATE(YEAR(K513),MONTH(K513)+VLOOKUP($F511,'Membership Level'!$A$3:$B$15,2,FALSE),DAY(K513))</f>
        <v>46166</v>
      </c>
      <c r="M513" s="7"/>
    </row>
    <row r="514" spans="1:13" s="261" customFormat="1" x14ac:dyDescent="0.35">
      <c r="A514" s="255" t="s">
        <v>1237</v>
      </c>
      <c r="B514" s="263">
        <v>46137</v>
      </c>
      <c r="C514" s="260" t="s">
        <v>202</v>
      </c>
      <c r="D514" s="260" t="s">
        <v>1280</v>
      </c>
      <c r="E514" s="257">
        <v>9599764091</v>
      </c>
      <c r="F514" s="260" t="str">
        <f>'Membership Level'!A14</f>
        <v>Swimming HY</v>
      </c>
      <c r="G514" s="260" t="s">
        <v>237</v>
      </c>
      <c r="H514" s="264">
        <v>17500</v>
      </c>
      <c r="I514" s="264">
        <v>10000</v>
      </c>
      <c r="J514" s="265">
        <f t="shared" si="7"/>
        <v>7500</v>
      </c>
      <c r="K514" s="263">
        <v>46137</v>
      </c>
      <c r="L514" s="268">
        <v>46320</v>
      </c>
      <c r="M514" s="269"/>
    </row>
    <row r="515" spans="1:13" x14ac:dyDescent="0.35">
      <c r="A515" s="227" t="s">
        <v>1238</v>
      </c>
      <c r="B515" s="244">
        <v>46137</v>
      </c>
      <c r="C515" s="93" t="s">
        <v>32</v>
      </c>
      <c r="D515" s="93" t="s">
        <v>1281</v>
      </c>
      <c r="E515" s="226">
        <v>8434007319</v>
      </c>
      <c r="F515" s="93" t="str">
        <f>'Membership Level'!A12</f>
        <v>Swimming Moth</v>
      </c>
      <c r="G515" s="93" t="s">
        <v>306</v>
      </c>
      <c r="H515" s="242">
        <v>2500</v>
      </c>
      <c r="I515" s="242">
        <v>500</v>
      </c>
      <c r="J515" s="243">
        <f t="shared" si="7"/>
        <v>2000</v>
      </c>
      <c r="K515" s="244">
        <v>46137</v>
      </c>
      <c r="L515" s="59">
        <f>DATE(YEAR(K515),MONTH(K515)+VLOOKUP($F513,'Membership Level'!$A$3:$B$15,2,FALSE),DAY(K515))</f>
        <v>46167</v>
      </c>
      <c r="M515" s="7"/>
    </row>
    <row r="516" spans="1:13" x14ac:dyDescent="0.35">
      <c r="A516" s="227" t="s">
        <v>1239</v>
      </c>
      <c r="B516" s="244">
        <v>46137</v>
      </c>
      <c r="C516" s="93" t="s">
        <v>202</v>
      </c>
      <c r="D516" s="93" t="s">
        <v>1282</v>
      </c>
      <c r="E516" s="226">
        <v>8434007319</v>
      </c>
      <c r="F516" s="93" t="str">
        <f>'Membership Level'!A12</f>
        <v>Swimming Moth</v>
      </c>
      <c r="G516" s="93" t="s">
        <v>463</v>
      </c>
      <c r="H516" s="242">
        <v>2200</v>
      </c>
      <c r="I516" s="242">
        <v>2200</v>
      </c>
      <c r="J516" s="243">
        <f t="shared" si="7"/>
        <v>0</v>
      </c>
      <c r="K516" s="244">
        <v>46137</v>
      </c>
      <c r="L516" s="59">
        <v>46167</v>
      </c>
      <c r="M516" s="7"/>
    </row>
    <row r="517" spans="1:13" s="261" customFormat="1" x14ac:dyDescent="0.35">
      <c r="A517" s="255" t="s">
        <v>1240</v>
      </c>
      <c r="B517" s="263">
        <v>46137</v>
      </c>
      <c r="C517" s="260" t="s">
        <v>333</v>
      </c>
      <c r="D517" s="260" t="s">
        <v>1221</v>
      </c>
      <c r="E517" s="257">
        <v>9955881177</v>
      </c>
      <c r="F517" s="260" t="str">
        <f>'Membership Level'!A13</f>
        <v>Swimming Qty</v>
      </c>
      <c r="G517" s="260" t="s">
        <v>216</v>
      </c>
      <c r="H517" s="264">
        <v>11000</v>
      </c>
      <c r="I517" s="264">
        <v>11000</v>
      </c>
      <c r="J517" s="265">
        <f t="shared" si="7"/>
        <v>0</v>
      </c>
      <c r="K517" s="263">
        <v>46137</v>
      </c>
      <c r="L517" s="268">
        <v>46228</v>
      </c>
      <c r="M517" s="269"/>
    </row>
    <row r="518" spans="1:13" s="261" customFormat="1" x14ac:dyDescent="0.35">
      <c r="A518" s="255" t="s">
        <v>1241</v>
      </c>
      <c r="B518" s="263">
        <v>46137</v>
      </c>
      <c r="C518" s="260" t="s">
        <v>1283</v>
      </c>
      <c r="D518" s="260" t="s">
        <v>1284</v>
      </c>
      <c r="E518" s="257">
        <v>8800575419</v>
      </c>
      <c r="F518" s="260" t="str">
        <f>'Membership Level'!A13</f>
        <v>Swimming Qty</v>
      </c>
      <c r="G518" s="260" t="s">
        <v>216</v>
      </c>
      <c r="H518" s="264">
        <v>11000</v>
      </c>
      <c r="I518" s="264">
        <v>11000</v>
      </c>
      <c r="J518" s="265">
        <f t="shared" si="7"/>
        <v>0</v>
      </c>
      <c r="K518" s="263">
        <v>46137</v>
      </c>
      <c r="L518" s="268">
        <f>DATE(YEAR(K518),MONTH(K518)+VLOOKUP($F516,'Membership Level'!$A$3:$B$15,2,FALSE),DAY(K518))</f>
        <v>46167</v>
      </c>
      <c r="M518" s="269"/>
    </row>
    <row r="519" spans="1:13" x14ac:dyDescent="0.35">
      <c r="A519" s="227" t="s">
        <v>1242</v>
      </c>
      <c r="B519" s="244">
        <v>46137</v>
      </c>
      <c r="C519" s="93" t="s">
        <v>259</v>
      </c>
      <c r="D519" s="93" t="s">
        <v>1285</v>
      </c>
      <c r="E519" s="226">
        <v>8218903666</v>
      </c>
      <c r="F519" s="93" t="str">
        <f>'Membership Level'!A12</f>
        <v>Swimming Moth</v>
      </c>
      <c r="G519" s="93" t="s">
        <v>977</v>
      </c>
      <c r="H519" s="242">
        <v>2200</v>
      </c>
      <c r="I519" s="242">
        <v>2200</v>
      </c>
      <c r="J519" s="243">
        <f t="shared" si="7"/>
        <v>0</v>
      </c>
      <c r="K519" s="244">
        <v>46137</v>
      </c>
      <c r="L519" s="59">
        <f>DATE(YEAR(K519),MONTH(K519)+VLOOKUP($F517,'Membership Level'!$A$3:$B$15,2,FALSE),DAY(K519))</f>
        <v>46228</v>
      </c>
      <c r="M519" s="7"/>
    </row>
    <row r="520" spans="1:13" x14ac:dyDescent="0.35">
      <c r="A520" s="227" t="s">
        <v>1243</v>
      </c>
      <c r="B520" s="244">
        <v>46137</v>
      </c>
      <c r="C520" s="93" t="s">
        <v>1286</v>
      </c>
      <c r="D520" s="93" t="s">
        <v>1289</v>
      </c>
      <c r="E520" s="226">
        <v>8218903666</v>
      </c>
      <c r="F520" s="93" t="str">
        <f>'Membership Level'!A12</f>
        <v>Swimming Moth</v>
      </c>
      <c r="G520" s="93" t="s">
        <v>977</v>
      </c>
      <c r="H520" s="242">
        <v>2200</v>
      </c>
      <c r="I520" s="242">
        <v>2200</v>
      </c>
      <c r="J520" s="243">
        <f t="shared" si="7"/>
        <v>0</v>
      </c>
      <c r="K520" s="244">
        <v>46137</v>
      </c>
      <c r="L520" s="59">
        <f>DATE(YEAR(K520),MONTH(K520)+VLOOKUP($F518,'Membership Level'!$A$3:$B$15,2,FALSE),DAY(K520))</f>
        <v>46228</v>
      </c>
      <c r="M520" s="7"/>
    </row>
    <row r="521" spans="1:13" s="10" customFormat="1" x14ac:dyDescent="0.35">
      <c r="A521" s="281" t="s">
        <v>1244</v>
      </c>
      <c r="B521" s="334">
        <v>46137</v>
      </c>
      <c r="C521" s="248" t="s">
        <v>333</v>
      </c>
      <c r="D521" s="248" t="s">
        <v>1287</v>
      </c>
      <c r="E521" s="283">
        <v>8860488833</v>
      </c>
      <c r="F521" s="248"/>
      <c r="G521" s="248" t="s">
        <v>334</v>
      </c>
      <c r="H521" s="335">
        <v>0</v>
      </c>
      <c r="I521" s="335">
        <v>0</v>
      </c>
      <c r="J521" s="336">
        <f t="shared" si="7"/>
        <v>0</v>
      </c>
      <c r="K521" s="334">
        <v>46137</v>
      </c>
      <c r="L521" s="100">
        <f>DATE(YEAR(K521),MONTH(K521)+VLOOKUP($F519,'Membership Level'!$A$3:$B$15,2,FALSE),DAY(K521))</f>
        <v>46167</v>
      </c>
      <c r="M521" s="79"/>
    </row>
    <row r="522" spans="1:13" s="10" customFormat="1" x14ac:dyDescent="0.35">
      <c r="A522" s="281" t="s">
        <v>1250</v>
      </c>
      <c r="B522" s="334">
        <v>46137</v>
      </c>
      <c r="C522" s="248" t="s">
        <v>30</v>
      </c>
      <c r="D522" s="248" t="s">
        <v>1288</v>
      </c>
      <c r="E522" s="283">
        <v>8860488833</v>
      </c>
      <c r="F522" s="248"/>
      <c r="G522" s="248" t="s">
        <v>334</v>
      </c>
      <c r="H522" s="98">
        <v>0</v>
      </c>
      <c r="I522" s="98">
        <v>0</v>
      </c>
      <c r="J522" s="99">
        <f t="shared" si="7"/>
        <v>0</v>
      </c>
      <c r="K522" s="334">
        <v>46137</v>
      </c>
      <c r="L522" s="100">
        <f>DATE(YEAR(K522),MONTH(K522)+VLOOKUP($F520,'Membership Level'!$A$3:$B$15,2,FALSE),DAY(K522))</f>
        <v>46167</v>
      </c>
      <c r="M522" s="79"/>
    </row>
    <row r="523" spans="1:13" x14ac:dyDescent="0.35">
      <c r="A523" s="227" t="s">
        <v>1251</v>
      </c>
      <c r="B523" s="244">
        <v>46137</v>
      </c>
      <c r="C523" s="93" t="s">
        <v>32</v>
      </c>
      <c r="D523" s="93" t="s">
        <v>733</v>
      </c>
      <c r="E523" s="226">
        <v>9006104886</v>
      </c>
      <c r="F523" s="93" t="str">
        <f>'Membership Level'!A12</f>
        <v>Swimming Moth</v>
      </c>
      <c r="G523" s="93" t="s">
        <v>297</v>
      </c>
      <c r="H523" s="75">
        <v>3000</v>
      </c>
      <c r="I523" s="75">
        <v>3000</v>
      </c>
      <c r="J523" s="61">
        <f t="shared" ref="J523:J544" si="8">H523-I523</f>
        <v>0</v>
      </c>
      <c r="K523" s="244">
        <v>46137</v>
      </c>
      <c r="L523" s="59">
        <v>46167</v>
      </c>
      <c r="M523" s="7"/>
    </row>
    <row r="524" spans="1:13" x14ac:dyDescent="0.35">
      <c r="A524" s="227" t="s">
        <v>1252</v>
      </c>
      <c r="B524" s="244">
        <v>46137</v>
      </c>
      <c r="C524" s="93"/>
      <c r="D524" s="93" t="s">
        <v>493</v>
      </c>
      <c r="E524" s="226">
        <v>9771965272</v>
      </c>
      <c r="F524" s="93" t="str">
        <f>'Membership Level'!A12</f>
        <v>Swimming Moth</v>
      </c>
      <c r="G524" s="93" t="s">
        <v>1290</v>
      </c>
      <c r="H524" s="75">
        <v>2800</v>
      </c>
      <c r="I524" s="75">
        <v>2700</v>
      </c>
      <c r="J524" s="61">
        <f t="shared" si="8"/>
        <v>100</v>
      </c>
      <c r="K524" s="9">
        <v>46137</v>
      </c>
      <c r="L524" s="59">
        <v>46167</v>
      </c>
      <c r="M524" s="7"/>
    </row>
    <row r="525" spans="1:13" x14ac:dyDescent="0.35">
      <c r="A525" s="227" t="s">
        <v>1253</v>
      </c>
      <c r="B525" s="244">
        <v>46137</v>
      </c>
      <c r="C525" s="93"/>
      <c r="D525" s="93" t="s">
        <v>1291</v>
      </c>
      <c r="E525" s="226">
        <v>9771965272</v>
      </c>
      <c r="F525" s="93" t="str">
        <f>'Membership Level'!A12</f>
        <v>Swimming Moth</v>
      </c>
      <c r="G525" s="93" t="s">
        <v>379</v>
      </c>
      <c r="H525" s="75">
        <v>2800</v>
      </c>
      <c r="I525" s="75">
        <v>2800</v>
      </c>
      <c r="J525" s="61">
        <f t="shared" si="8"/>
        <v>0</v>
      </c>
      <c r="K525" s="9">
        <v>46137</v>
      </c>
      <c r="L525" s="59">
        <f>DATE(YEAR(K525),MONTH(K525)+VLOOKUP($F523,'Membership Level'!$A$3:$B$15,2,FALSE),DAY(K525))</f>
        <v>46167</v>
      </c>
      <c r="M525" s="7"/>
    </row>
    <row r="526" spans="1:13" x14ac:dyDescent="0.35">
      <c r="A526" s="227" t="s">
        <v>1254</v>
      </c>
      <c r="B526" s="244">
        <v>46137</v>
      </c>
      <c r="C526" s="93" t="s">
        <v>1292</v>
      </c>
      <c r="D526" s="93" t="s">
        <v>783</v>
      </c>
      <c r="E526" s="226">
        <v>9264475905</v>
      </c>
      <c r="F526" s="93" t="str">
        <f>'Membership Level'!A12</f>
        <v>Swimming Moth</v>
      </c>
      <c r="G526" s="93" t="s">
        <v>977</v>
      </c>
      <c r="H526" s="75">
        <v>2200</v>
      </c>
      <c r="I526" s="75">
        <v>2200</v>
      </c>
      <c r="J526" s="61">
        <f t="shared" si="8"/>
        <v>0</v>
      </c>
      <c r="K526" s="244">
        <v>46137</v>
      </c>
      <c r="L526" s="59">
        <f>DATE(YEAR(K526),MONTH(K526)+VLOOKUP($F524,'Membership Level'!$A$3:$B$15,2,FALSE),DAY(K526))</f>
        <v>46167</v>
      </c>
      <c r="M526" s="7"/>
    </row>
    <row r="527" spans="1:13" x14ac:dyDescent="0.35">
      <c r="A527" s="227" t="s">
        <v>1255</v>
      </c>
      <c r="B527" s="244">
        <v>46137</v>
      </c>
      <c r="C527" s="93"/>
      <c r="D527" s="93" t="s">
        <v>1293</v>
      </c>
      <c r="E527" s="226">
        <v>9135123125</v>
      </c>
      <c r="F527" s="93" t="str">
        <f>'Membership Level'!A12</f>
        <v>Swimming Moth</v>
      </c>
      <c r="G527" s="93" t="s">
        <v>379</v>
      </c>
      <c r="H527" s="75">
        <v>3000</v>
      </c>
      <c r="I527" s="75">
        <v>3000</v>
      </c>
      <c r="J527" s="61">
        <f t="shared" si="8"/>
        <v>0</v>
      </c>
      <c r="K527" s="244">
        <v>46137</v>
      </c>
      <c r="L527" s="59">
        <f>DATE(YEAR(K527),MONTH(K527)+VLOOKUP($F525,'Membership Level'!$A$3:$B$15,2,FALSE),DAY(K527))</f>
        <v>46167</v>
      </c>
      <c r="M527" s="7"/>
    </row>
    <row r="528" spans="1:13" x14ac:dyDescent="0.35">
      <c r="A528" s="227" t="s">
        <v>1256</v>
      </c>
      <c r="B528" s="59">
        <v>46137</v>
      </c>
      <c r="C528" s="93" t="s">
        <v>691</v>
      </c>
      <c r="D528" s="93" t="s">
        <v>1294</v>
      </c>
      <c r="E528" s="226">
        <v>7482925244</v>
      </c>
      <c r="F528" s="93" t="str">
        <f>'Membership Level'!A12</f>
        <v>Swimming Moth</v>
      </c>
      <c r="G528" s="93" t="s">
        <v>977</v>
      </c>
      <c r="H528" s="75">
        <v>2200</v>
      </c>
      <c r="I528" s="75">
        <v>2200</v>
      </c>
      <c r="J528" s="61">
        <f t="shared" si="8"/>
        <v>0</v>
      </c>
      <c r="K528" s="9">
        <v>46137</v>
      </c>
      <c r="L528" s="59">
        <f>DATE(YEAR(K528),MONTH(K528)+VLOOKUP($F526,'Membership Level'!$A$3:$B$15,2,FALSE),DAY(K528))</f>
        <v>46167</v>
      </c>
      <c r="M528" s="7"/>
    </row>
    <row r="529" spans="1:13" x14ac:dyDescent="0.35">
      <c r="A529" s="227" t="s">
        <v>1257</v>
      </c>
      <c r="B529" s="59">
        <v>46137</v>
      </c>
      <c r="C529" s="93"/>
      <c r="D529" s="93" t="s">
        <v>1295</v>
      </c>
      <c r="E529" s="226">
        <v>9434748280</v>
      </c>
      <c r="F529" s="93" t="str">
        <f>'Membership Level'!A12</f>
        <v>Swimming Moth</v>
      </c>
      <c r="G529" s="93" t="s">
        <v>494</v>
      </c>
      <c r="H529" s="75">
        <v>2500</v>
      </c>
      <c r="I529" s="75">
        <v>2500</v>
      </c>
      <c r="J529" s="61">
        <f t="shared" si="8"/>
        <v>0</v>
      </c>
      <c r="K529" s="9">
        <v>46137</v>
      </c>
      <c r="L529" s="59">
        <f>DATE(YEAR(K529),MONTH(K529)+VLOOKUP($F527,'Membership Level'!$A$3:$B$15,2,FALSE),DAY(K529))</f>
        <v>46167</v>
      </c>
      <c r="M529" s="7"/>
    </row>
    <row r="530" spans="1:13" x14ac:dyDescent="0.35">
      <c r="A530" s="227" t="s">
        <v>1258</v>
      </c>
      <c r="B530" s="59">
        <v>46137</v>
      </c>
      <c r="C530" s="93" t="s">
        <v>1296</v>
      </c>
      <c r="D530" s="93" t="s">
        <v>981</v>
      </c>
      <c r="E530" s="226">
        <v>7407585466</v>
      </c>
      <c r="F530" s="93" t="str">
        <f>'Membership Level'!A12</f>
        <v>Swimming Moth</v>
      </c>
      <c r="G530" s="93" t="s">
        <v>379</v>
      </c>
      <c r="H530" s="75">
        <v>2800</v>
      </c>
      <c r="I530" s="75">
        <v>2800</v>
      </c>
      <c r="J530" s="61">
        <f t="shared" si="8"/>
        <v>0</v>
      </c>
      <c r="K530" s="9">
        <v>46137</v>
      </c>
      <c r="L530" s="59">
        <f>DATE(YEAR(K530),MONTH(K530)+VLOOKUP($F528,'Membership Level'!$A$3:$B$15,2,FALSE),DAY(K530))</f>
        <v>46167</v>
      </c>
      <c r="M530" s="7"/>
    </row>
    <row r="531" spans="1:13" x14ac:dyDescent="0.35">
      <c r="A531" s="227" t="s">
        <v>1259</v>
      </c>
      <c r="B531" s="59">
        <v>46137</v>
      </c>
      <c r="C531" s="93" t="s">
        <v>559</v>
      </c>
      <c r="D531" s="93" t="s">
        <v>1297</v>
      </c>
      <c r="E531" s="226">
        <v>9905497698</v>
      </c>
      <c r="F531" s="93" t="str">
        <f>'Membership Level'!A12</f>
        <v>Swimming Moth</v>
      </c>
      <c r="G531" s="93" t="s">
        <v>370</v>
      </c>
      <c r="H531" s="75">
        <v>3800</v>
      </c>
      <c r="I531" s="75">
        <v>3800</v>
      </c>
      <c r="J531" s="61">
        <f t="shared" si="8"/>
        <v>0</v>
      </c>
      <c r="K531" s="9">
        <v>46137</v>
      </c>
      <c r="L531" s="59">
        <f>DATE(YEAR(K531),MONTH(K531)+VLOOKUP($F529,'Membership Level'!$A$3:$B$15,2,FALSE),DAY(K531))</f>
        <v>46167</v>
      </c>
      <c r="M531" s="7"/>
    </row>
    <row r="532" spans="1:13" x14ac:dyDescent="0.35">
      <c r="A532" s="227" t="s">
        <v>1260</v>
      </c>
      <c r="B532" s="59">
        <v>46137</v>
      </c>
      <c r="C532" s="93" t="s">
        <v>492</v>
      </c>
      <c r="D532" s="93" t="s">
        <v>865</v>
      </c>
      <c r="E532" s="226">
        <v>7835850607</v>
      </c>
      <c r="F532" s="93" t="str">
        <f>'Membership Level'!A12</f>
        <v>Swimming Moth</v>
      </c>
      <c r="G532" s="93" t="s">
        <v>455</v>
      </c>
      <c r="H532" s="75">
        <v>2500</v>
      </c>
      <c r="I532" s="75">
        <v>2500</v>
      </c>
      <c r="J532" s="61">
        <f t="shared" si="8"/>
        <v>0</v>
      </c>
      <c r="K532" s="9">
        <v>46137</v>
      </c>
      <c r="L532" s="59">
        <f>DATE(YEAR(K532),MONTH(K532)+VLOOKUP($F530,'Membership Level'!$A$3:$B$15,2,FALSE),DAY(K532))</f>
        <v>46167</v>
      </c>
      <c r="M532" s="7"/>
    </row>
    <row r="533" spans="1:13" x14ac:dyDescent="0.35">
      <c r="A533" s="227" t="s">
        <v>1261</v>
      </c>
      <c r="B533" s="59">
        <v>46138</v>
      </c>
      <c r="C533" s="93" t="s">
        <v>1298</v>
      </c>
      <c r="D533" s="93" t="s">
        <v>316</v>
      </c>
      <c r="E533" s="226">
        <v>6290469895</v>
      </c>
      <c r="F533" s="93" t="str">
        <f>'Membership Level'!A12</f>
        <v>Swimming Moth</v>
      </c>
      <c r="G533" s="93" t="s">
        <v>455</v>
      </c>
      <c r="H533" s="75">
        <v>2800</v>
      </c>
      <c r="I533" s="75">
        <v>2800</v>
      </c>
      <c r="J533" s="61">
        <f t="shared" si="8"/>
        <v>0</v>
      </c>
      <c r="K533" s="9">
        <v>46138</v>
      </c>
      <c r="L533" s="59">
        <f>DATE(YEAR(K533),MONTH(K533)+VLOOKUP($F531,'Membership Level'!$A$3:$B$15,2,FALSE),DAY(K533))</f>
        <v>46168</v>
      </c>
      <c r="M533" s="7"/>
    </row>
    <row r="534" spans="1:13" x14ac:dyDescent="0.35">
      <c r="A534" s="227" t="s">
        <v>1262</v>
      </c>
      <c r="B534" s="59">
        <v>46138</v>
      </c>
      <c r="C534" s="93" t="s">
        <v>1319</v>
      </c>
      <c r="D534" s="93" t="s">
        <v>307</v>
      </c>
      <c r="E534" s="226">
        <v>6205275546</v>
      </c>
      <c r="F534" s="93" t="str">
        <f>'Membership Level'!A12</f>
        <v>Swimming Moth</v>
      </c>
      <c r="G534" s="93" t="s">
        <v>370</v>
      </c>
      <c r="H534" s="75">
        <v>3800</v>
      </c>
      <c r="I534" s="75">
        <v>3800</v>
      </c>
      <c r="J534" s="61">
        <f t="shared" si="8"/>
        <v>0</v>
      </c>
      <c r="K534" s="59">
        <v>46138</v>
      </c>
      <c r="L534" s="59">
        <f>DATE(YEAR(K534),MONTH(K534)+VLOOKUP($F532,'Membership Level'!$A$3:$B$15,2,FALSE),DAY(K534))</f>
        <v>46168</v>
      </c>
      <c r="M534" s="7"/>
    </row>
    <row r="535" spans="1:13" x14ac:dyDescent="0.35">
      <c r="A535" s="227" t="s">
        <v>1263</v>
      </c>
      <c r="B535" s="59">
        <v>46138</v>
      </c>
      <c r="C535" s="93" t="s">
        <v>1321</v>
      </c>
      <c r="D535" s="93" t="s">
        <v>1320</v>
      </c>
      <c r="E535" s="226">
        <v>9810767564</v>
      </c>
      <c r="F535" s="93" t="str">
        <f>'Membership Level'!A12</f>
        <v>Swimming Moth</v>
      </c>
      <c r="G535" s="93" t="s">
        <v>1170</v>
      </c>
      <c r="H535" s="75">
        <v>2500</v>
      </c>
      <c r="I535" s="75">
        <v>2500</v>
      </c>
      <c r="J535" s="61">
        <f t="shared" si="8"/>
        <v>0</v>
      </c>
      <c r="K535" s="59">
        <v>46138</v>
      </c>
      <c r="L535" s="59">
        <f>DATE(YEAR(K535),MONTH(K535)+VLOOKUP($F533,'Membership Level'!$A$3:$B$15,2,FALSE),DAY(K535))</f>
        <v>46168</v>
      </c>
      <c r="M535" s="7"/>
    </row>
    <row r="536" spans="1:13" x14ac:dyDescent="0.35">
      <c r="A536" s="227" t="s">
        <v>1264</v>
      </c>
      <c r="B536" s="59">
        <v>46138</v>
      </c>
      <c r="C536" s="93" t="s">
        <v>202</v>
      </c>
      <c r="D536" s="93" t="s">
        <v>1221</v>
      </c>
      <c r="E536" s="226">
        <v>7050178272</v>
      </c>
      <c r="F536" s="93" t="str">
        <f>'Membership Level'!A12</f>
        <v>Swimming Moth</v>
      </c>
      <c r="G536" s="93" t="s">
        <v>248</v>
      </c>
      <c r="H536" s="75">
        <v>4400</v>
      </c>
      <c r="I536" s="75">
        <v>4400</v>
      </c>
      <c r="J536" s="61">
        <f t="shared" si="8"/>
        <v>0</v>
      </c>
      <c r="K536" s="59">
        <v>46138</v>
      </c>
      <c r="L536" s="59">
        <f>DATE(YEAR(K536),MONTH(K536)+VLOOKUP($F534,'Membership Level'!$A$3:$B$15,2,FALSE),DAY(K536))</f>
        <v>46168</v>
      </c>
      <c r="M536" s="7"/>
    </row>
    <row r="537" spans="1:13" x14ac:dyDescent="0.35">
      <c r="A537" s="227" t="s">
        <v>1265</v>
      </c>
      <c r="B537" s="59">
        <v>46138</v>
      </c>
      <c r="C537" s="93" t="s">
        <v>202</v>
      </c>
      <c r="D537" s="93" t="s">
        <v>1322</v>
      </c>
      <c r="E537" s="226">
        <v>7352529908</v>
      </c>
      <c r="F537" s="93" t="str">
        <f>'Membership Level'!A12</f>
        <v>Swimming Moth</v>
      </c>
      <c r="G537" s="93" t="s">
        <v>494</v>
      </c>
      <c r="H537" s="75">
        <v>2500</v>
      </c>
      <c r="I537" s="75">
        <v>2500</v>
      </c>
      <c r="J537" s="61">
        <f t="shared" si="8"/>
        <v>0</v>
      </c>
      <c r="K537" s="59">
        <v>46138</v>
      </c>
      <c r="L537" s="59">
        <f>DATE(YEAR(K537),MONTH(K537)+VLOOKUP($F535,'Membership Level'!$A$3:$B$15,2,FALSE),DAY(K537))</f>
        <v>46168</v>
      </c>
      <c r="M537" s="7"/>
    </row>
    <row r="538" spans="1:13" s="85" customFormat="1" x14ac:dyDescent="0.35">
      <c r="A538" s="318" t="s">
        <v>1266</v>
      </c>
      <c r="B538" s="182">
        <v>46138</v>
      </c>
      <c r="C538" s="286" t="s">
        <v>222</v>
      </c>
      <c r="D538" s="286" t="s">
        <v>1323</v>
      </c>
      <c r="E538" s="319">
        <v>9386593717</v>
      </c>
      <c r="F538" s="286" t="str">
        <f>'Membership Level'!A13</f>
        <v>Swimming Qty</v>
      </c>
      <c r="G538" s="286" t="s">
        <v>1326</v>
      </c>
      <c r="H538" s="181">
        <v>7500</v>
      </c>
      <c r="I538" s="181">
        <v>7500</v>
      </c>
      <c r="J538" s="320">
        <f t="shared" si="8"/>
        <v>0</v>
      </c>
      <c r="K538" s="182">
        <v>46138</v>
      </c>
      <c r="L538" s="182">
        <v>46229</v>
      </c>
      <c r="M538" s="165"/>
    </row>
    <row r="539" spans="1:13" s="85" customFormat="1" x14ac:dyDescent="0.35">
      <c r="A539" s="318" t="s">
        <v>1267</v>
      </c>
      <c r="B539" s="182">
        <v>46138</v>
      </c>
      <c r="C539" s="286" t="s">
        <v>222</v>
      </c>
      <c r="D539" s="286" t="s">
        <v>1324</v>
      </c>
      <c r="E539" s="319">
        <v>9386593717</v>
      </c>
      <c r="F539" s="286" t="str">
        <f>'Membership Level'!A13</f>
        <v>Swimming Qty</v>
      </c>
      <c r="G539" s="286" t="s">
        <v>1326</v>
      </c>
      <c r="H539" s="181">
        <v>7500</v>
      </c>
      <c r="I539" s="181">
        <v>7500</v>
      </c>
      <c r="J539" s="320">
        <f t="shared" si="8"/>
        <v>0</v>
      </c>
      <c r="K539" s="182">
        <v>46138</v>
      </c>
      <c r="L539" s="182">
        <v>46229</v>
      </c>
      <c r="M539" s="165"/>
    </row>
    <row r="540" spans="1:13" s="90" customFormat="1" x14ac:dyDescent="0.35">
      <c r="A540" s="227" t="s">
        <v>1268</v>
      </c>
      <c r="B540" s="59">
        <v>46138</v>
      </c>
      <c r="C540" s="93" t="s">
        <v>30</v>
      </c>
      <c r="D540" s="93" t="s">
        <v>449</v>
      </c>
      <c r="E540" s="226">
        <v>9473002948</v>
      </c>
      <c r="F540" s="93" t="str">
        <f>'Membership Level'!A12</f>
        <v>Swimming Moth</v>
      </c>
      <c r="G540" s="93" t="s">
        <v>308</v>
      </c>
      <c r="H540" s="75">
        <v>3500</v>
      </c>
      <c r="I540" s="75">
        <v>3500</v>
      </c>
      <c r="J540" s="61">
        <f t="shared" si="8"/>
        <v>0</v>
      </c>
      <c r="K540" s="59">
        <v>46138</v>
      </c>
      <c r="L540" s="59">
        <v>46168</v>
      </c>
      <c r="M540" s="7"/>
    </row>
    <row r="541" spans="1:13" x14ac:dyDescent="0.35">
      <c r="A541" s="227" t="s">
        <v>1269</v>
      </c>
      <c r="B541" s="59">
        <v>46138</v>
      </c>
      <c r="C541" s="93" t="s">
        <v>333</v>
      </c>
      <c r="D541" s="93" t="s">
        <v>1325</v>
      </c>
      <c r="E541" s="226">
        <v>9473002948</v>
      </c>
      <c r="F541" s="93" t="str">
        <f>'Membership Level'!A12</f>
        <v>Swimming Moth</v>
      </c>
      <c r="G541" s="93" t="s">
        <v>370</v>
      </c>
      <c r="H541" s="75">
        <v>3500</v>
      </c>
      <c r="I541" s="75">
        <v>3500</v>
      </c>
      <c r="J541" s="61">
        <f t="shared" si="8"/>
        <v>0</v>
      </c>
      <c r="K541" s="59">
        <v>46138</v>
      </c>
      <c r="L541" s="59">
        <v>46168</v>
      </c>
      <c r="M541" s="7"/>
    </row>
    <row r="542" spans="1:13" x14ac:dyDescent="0.35">
      <c r="A542" s="227" t="s">
        <v>1299</v>
      </c>
      <c r="B542" s="59">
        <v>46138</v>
      </c>
      <c r="C542" s="93" t="s">
        <v>32</v>
      </c>
      <c r="D542" s="93" t="s">
        <v>1327</v>
      </c>
      <c r="E542" s="226">
        <v>8360442509</v>
      </c>
      <c r="F542" s="93" t="str">
        <f>'Membership Level'!A12</f>
        <v>Swimming Moth</v>
      </c>
      <c r="G542" s="93" t="s">
        <v>379</v>
      </c>
      <c r="H542" s="75">
        <v>2800</v>
      </c>
      <c r="I542" s="75">
        <v>2800</v>
      </c>
      <c r="J542" s="61">
        <f t="shared" si="8"/>
        <v>0</v>
      </c>
      <c r="K542" s="9">
        <v>46138</v>
      </c>
      <c r="L542" s="59">
        <v>46168</v>
      </c>
      <c r="M542" s="7"/>
    </row>
    <row r="543" spans="1:13" x14ac:dyDescent="0.35">
      <c r="A543" s="227" t="s">
        <v>1300</v>
      </c>
      <c r="B543" s="59">
        <v>46138</v>
      </c>
      <c r="C543" s="93" t="s">
        <v>249</v>
      </c>
      <c r="D543" s="93" t="s">
        <v>493</v>
      </c>
      <c r="E543" s="226">
        <v>9916229376</v>
      </c>
      <c r="F543" s="93" t="str">
        <f>'Membership Level'!A12</f>
        <v>Swimming Moth</v>
      </c>
      <c r="G543" s="93" t="s">
        <v>248</v>
      </c>
      <c r="H543" s="75">
        <v>4400</v>
      </c>
      <c r="I543" s="75">
        <v>4400</v>
      </c>
      <c r="J543" s="61">
        <f t="shared" si="8"/>
        <v>0</v>
      </c>
      <c r="K543" s="9">
        <v>46138</v>
      </c>
      <c r="L543" s="59">
        <f>DATE(YEAR(K543),MONTH(K543)+VLOOKUP($F541,'Membership Level'!$A$3:$B$15,2,FALSE),DAY(K543))</f>
        <v>46168</v>
      </c>
      <c r="M543" s="7"/>
    </row>
    <row r="544" spans="1:13" x14ac:dyDescent="0.35">
      <c r="A544" s="227" t="s">
        <v>1301</v>
      </c>
      <c r="B544" s="59">
        <v>46138</v>
      </c>
      <c r="C544" s="93" t="s">
        <v>333</v>
      </c>
      <c r="D544" s="93" t="s">
        <v>1328</v>
      </c>
      <c r="E544" s="226">
        <v>8587097042</v>
      </c>
      <c r="F544" s="93" t="str">
        <f>'Membership Level'!A12</f>
        <v>Swimming Moth</v>
      </c>
      <c r="G544" s="93" t="s">
        <v>370</v>
      </c>
      <c r="H544" s="75">
        <v>3800</v>
      </c>
      <c r="I544" s="75">
        <v>3800</v>
      </c>
      <c r="J544" s="61">
        <f t="shared" si="8"/>
        <v>0</v>
      </c>
      <c r="K544" s="300">
        <v>46140</v>
      </c>
      <c r="L544" s="300">
        <f>DATE(YEAR(K544),MONTH(K544)+VLOOKUP($F542,'Membership Level'!$A$3:$B$15,2,FALSE),DAY(K544))</f>
        <v>46170</v>
      </c>
      <c r="M544" s="7"/>
    </row>
    <row r="545" spans="1:13" x14ac:dyDescent="0.35">
      <c r="A545" s="227" t="s">
        <v>1302</v>
      </c>
      <c r="B545" s="59">
        <v>46138</v>
      </c>
      <c r="C545" s="93" t="s">
        <v>1330</v>
      </c>
      <c r="D545" s="93" t="s">
        <v>1329</v>
      </c>
      <c r="E545" s="226">
        <v>9905458913</v>
      </c>
      <c r="F545" s="93" t="str">
        <f>'Membership Level'!A12</f>
        <v>Swimming Moth</v>
      </c>
      <c r="G545" s="93" t="s">
        <v>248</v>
      </c>
      <c r="H545" s="75">
        <v>4400</v>
      </c>
      <c r="I545" s="75">
        <v>4400</v>
      </c>
      <c r="J545" s="61"/>
      <c r="K545" s="9">
        <v>46138</v>
      </c>
      <c r="L545" s="59">
        <f>DATE(YEAR(K545),MONTH(K545)+VLOOKUP($F543,'Membership Level'!$A$3:$B$15,2,FALSE),DAY(K545))</f>
        <v>46168</v>
      </c>
      <c r="M545" s="7"/>
    </row>
    <row r="546" spans="1:13" x14ac:dyDescent="0.35">
      <c r="A546" s="227" t="s">
        <v>1303</v>
      </c>
      <c r="B546" s="59">
        <v>46139</v>
      </c>
      <c r="C546" s="93" t="s">
        <v>312</v>
      </c>
      <c r="D546" s="93" t="s">
        <v>1331</v>
      </c>
      <c r="E546" s="226">
        <v>7979780906</v>
      </c>
      <c r="F546" s="93" t="str">
        <f>'Membership Level'!A12</f>
        <v>Swimming Moth</v>
      </c>
      <c r="G546" s="93" t="s">
        <v>248</v>
      </c>
      <c r="H546" s="75">
        <v>4000</v>
      </c>
      <c r="I546" s="75">
        <v>4000</v>
      </c>
      <c r="J546" s="61"/>
      <c r="K546" s="9">
        <v>46139</v>
      </c>
      <c r="L546" s="59">
        <f>DATE(YEAR(K546),MONTH(K546)+VLOOKUP($F544,'Membership Level'!$A$3:$B$15,2,FALSE),DAY(K546))</f>
        <v>46169</v>
      </c>
      <c r="M546" s="7"/>
    </row>
    <row r="547" spans="1:13" x14ac:dyDescent="0.35">
      <c r="A547" s="227" t="s">
        <v>1304</v>
      </c>
      <c r="B547" s="59">
        <v>46139</v>
      </c>
      <c r="C547" s="93" t="s">
        <v>333</v>
      </c>
      <c r="D547" s="93" t="s">
        <v>1332</v>
      </c>
      <c r="E547" s="226">
        <v>8383991913</v>
      </c>
      <c r="F547" s="93" t="str">
        <f>'Membership Level'!A12</f>
        <v>Swimming Moth</v>
      </c>
      <c r="G547" s="93" t="s">
        <v>297</v>
      </c>
      <c r="H547" s="75">
        <v>3000</v>
      </c>
      <c r="I547" s="75">
        <v>3000</v>
      </c>
      <c r="J547" s="61"/>
      <c r="K547" s="9">
        <v>46139</v>
      </c>
      <c r="L547" s="59">
        <f>DATE(YEAR(K547),MONTH(K547)+VLOOKUP($F545,'Membership Level'!$A$3:$B$15,2,FALSE),DAY(K547))</f>
        <v>46169</v>
      </c>
      <c r="M547" s="7"/>
    </row>
    <row r="548" spans="1:13" x14ac:dyDescent="0.35">
      <c r="A548" s="227" t="s">
        <v>1305</v>
      </c>
      <c r="B548" s="59">
        <v>46140</v>
      </c>
      <c r="C548" s="93" t="s">
        <v>1333</v>
      </c>
      <c r="D548" s="93" t="s">
        <v>264</v>
      </c>
      <c r="E548" s="226">
        <v>9955552999</v>
      </c>
      <c r="F548" s="93" t="str">
        <f>'Membership Level'!A12</f>
        <v>Swimming Moth</v>
      </c>
      <c r="G548" s="93" t="s">
        <v>248</v>
      </c>
      <c r="H548" s="75">
        <v>4000</v>
      </c>
      <c r="I548" s="75">
        <v>4000</v>
      </c>
      <c r="J548" s="61"/>
      <c r="K548" s="9">
        <v>46140</v>
      </c>
      <c r="L548" s="59">
        <f>DATE(YEAR(K548),MONTH(K548)+VLOOKUP($F546,'Membership Level'!$A$3:$B$15,2,FALSE),DAY(K548))</f>
        <v>46170</v>
      </c>
      <c r="M548" s="7"/>
    </row>
    <row r="549" spans="1:13" x14ac:dyDescent="0.35">
      <c r="A549" s="227" t="s">
        <v>1306</v>
      </c>
      <c r="B549" s="59">
        <v>46140</v>
      </c>
      <c r="C549" s="93" t="s">
        <v>618</v>
      </c>
      <c r="D549" s="93" t="s">
        <v>1023</v>
      </c>
      <c r="E549" s="226">
        <v>9955552999</v>
      </c>
      <c r="F549" s="93" t="str">
        <f>'Membership Level'!A12</f>
        <v>Swimming Moth</v>
      </c>
      <c r="G549" s="93" t="s">
        <v>248</v>
      </c>
      <c r="H549" s="75">
        <v>4000</v>
      </c>
      <c r="I549" s="75">
        <v>4000</v>
      </c>
      <c r="J549" s="61"/>
      <c r="K549" s="9">
        <v>46140</v>
      </c>
      <c r="L549" s="59">
        <f>DATE(YEAR(K549),MONTH(K549)+VLOOKUP($F547,'Membership Level'!$A$3:$B$15,2,FALSE),DAY(K549))</f>
        <v>46170</v>
      </c>
      <c r="M549" s="7"/>
    </row>
    <row r="550" spans="1:13" x14ac:dyDescent="0.35">
      <c r="A550" s="227" t="s">
        <v>1307</v>
      </c>
      <c r="B550" s="9">
        <v>46140</v>
      </c>
      <c r="C550" s="93" t="s">
        <v>202</v>
      </c>
      <c r="D550" s="93" t="s">
        <v>614</v>
      </c>
      <c r="E550" s="226">
        <v>9955552999</v>
      </c>
      <c r="F550" s="93" t="str">
        <f>'Membership Level'!A12</f>
        <v>Swimming Moth</v>
      </c>
      <c r="G550" s="93" t="s">
        <v>370</v>
      </c>
      <c r="H550" s="75">
        <v>3500</v>
      </c>
      <c r="I550" s="75">
        <v>3500</v>
      </c>
      <c r="J550" s="61"/>
      <c r="K550" s="9">
        <v>46140</v>
      </c>
      <c r="L550" s="59">
        <f>DATE(YEAR(K550),MONTH(K550)+VLOOKUP($F548,'Membership Level'!$A$3:$B$15,2,FALSE),DAY(K550))</f>
        <v>46170</v>
      </c>
      <c r="M550" s="7"/>
    </row>
    <row r="551" spans="1:13" x14ac:dyDescent="0.35">
      <c r="A551" s="227" t="s">
        <v>1308</v>
      </c>
      <c r="B551" s="9">
        <v>46140</v>
      </c>
      <c r="C551" s="93" t="s">
        <v>32</v>
      </c>
      <c r="D551" s="93" t="s">
        <v>1334</v>
      </c>
      <c r="E551" s="226">
        <v>9955552999</v>
      </c>
      <c r="F551" s="93" t="str">
        <f>'Membership Level'!A12</f>
        <v>Swimming Moth</v>
      </c>
      <c r="G551" s="93" t="s">
        <v>370</v>
      </c>
      <c r="H551" s="75">
        <v>3500</v>
      </c>
      <c r="I551" s="75">
        <v>3500</v>
      </c>
      <c r="J551" s="61"/>
      <c r="K551" s="9">
        <v>46140</v>
      </c>
      <c r="L551" s="59">
        <f>DATE(YEAR(K551),MONTH(K551)+VLOOKUP($F549,'Membership Level'!$A$3:$B$15,2,FALSE),DAY(K551))</f>
        <v>46170</v>
      </c>
      <c r="M551" s="7"/>
    </row>
    <row r="552" spans="1:13" x14ac:dyDescent="0.35">
      <c r="A552" s="227" t="s">
        <v>1309</v>
      </c>
      <c r="B552" s="9">
        <v>46140</v>
      </c>
      <c r="C552" s="93" t="s">
        <v>1336</v>
      </c>
      <c r="D552" s="93" t="s">
        <v>1335</v>
      </c>
      <c r="E552" s="226">
        <v>9939142025</v>
      </c>
      <c r="F552" s="93" t="str">
        <f>'Membership Level'!A12</f>
        <v>Swimming Moth</v>
      </c>
      <c r="G552" s="93" t="s">
        <v>257</v>
      </c>
      <c r="H552" s="75">
        <v>4400</v>
      </c>
      <c r="I552" s="75">
        <v>4400</v>
      </c>
      <c r="J552" s="61"/>
      <c r="K552" s="300">
        <v>46144</v>
      </c>
      <c r="L552" s="300">
        <v>46175</v>
      </c>
      <c r="M552" s="7"/>
    </row>
    <row r="553" spans="1:13" x14ac:dyDescent="0.35">
      <c r="A553" s="227" t="s">
        <v>1310</v>
      </c>
      <c r="B553" s="9">
        <v>46140</v>
      </c>
      <c r="C553" s="93" t="s">
        <v>202</v>
      </c>
      <c r="D553" s="93" t="s">
        <v>348</v>
      </c>
      <c r="E553" s="226">
        <v>7542083999</v>
      </c>
      <c r="F553" s="93" t="str">
        <f>'Membership Level'!A12</f>
        <v>Swimming Moth</v>
      </c>
      <c r="G553" s="93" t="s">
        <v>379</v>
      </c>
      <c r="H553" s="75">
        <v>2800</v>
      </c>
      <c r="I553" s="75">
        <v>2800</v>
      </c>
      <c r="J553" s="61" t="s">
        <v>601</v>
      </c>
      <c r="K553" s="9">
        <v>46140</v>
      </c>
      <c r="L553" s="59">
        <f>DATE(YEAR(K553),MONTH(K553)+VLOOKUP($F551,'Membership Level'!$A$3:$B$15,2,FALSE),DAY(K553))</f>
        <v>46170</v>
      </c>
      <c r="M553" s="7"/>
    </row>
    <row r="554" spans="1:13" x14ac:dyDescent="0.35">
      <c r="A554" s="227" t="s">
        <v>1311</v>
      </c>
      <c r="B554" s="9">
        <v>46140</v>
      </c>
      <c r="C554" s="93" t="s">
        <v>1337</v>
      </c>
      <c r="D554" s="93" t="s">
        <v>32</v>
      </c>
      <c r="E554" s="226">
        <v>8789230720</v>
      </c>
      <c r="F554" s="93" t="str">
        <f>'Membership Level'!A12</f>
        <v>Swimming Moth</v>
      </c>
      <c r="G554" s="93" t="s">
        <v>248</v>
      </c>
      <c r="H554" s="75">
        <v>4000</v>
      </c>
      <c r="I554" s="75">
        <v>4000</v>
      </c>
      <c r="J554" s="61"/>
      <c r="K554" s="9">
        <v>46140</v>
      </c>
      <c r="L554" s="59">
        <v>46170</v>
      </c>
      <c r="M554" s="7"/>
    </row>
    <row r="555" spans="1:13" x14ac:dyDescent="0.35">
      <c r="A555" s="227" t="s">
        <v>1312</v>
      </c>
      <c r="B555" s="9">
        <v>46140</v>
      </c>
      <c r="C555" s="93" t="s">
        <v>1330</v>
      </c>
      <c r="D555" s="93" t="s">
        <v>1358</v>
      </c>
      <c r="E555" s="226">
        <v>9905458913</v>
      </c>
      <c r="F555" s="93" t="str">
        <f>'Membership Level'!A12</f>
        <v>Swimming Moth</v>
      </c>
      <c r="G555" s="93" t="s">
        <v>248</v>
      </c>
      <c r="H555" s="75">
        <v>4000</v>
      </c>
      <c r="I555" s="75">
        <v>4000</v>
      </c>
      <c r="J555" s="61"/>
      <c r="K555" s="9">
        <v>46140</v>
      </c>
      <c r="L555" s="59">
        <f>DATE(YEAR(K555),MONTH(K555)+VLOOKUP($F553,'Membership Level'!$A$3:$B$15,2,FALSE),DAY(K555))</f>
        <v>46170</v>
      </c>
      <c r="M555" s="7"/>
    </row>
    <row r="556" spans="1:13" x14ac:dyDescent="0.35">
      <c r="A556" s="227" t="s">
        <v>1313</v>
      </c>
      <c r="B556" s="9">
        <v>46140</v>
      </c>
      <c r="C556" s="93" t="s">
        <v>333</v>
      </c>
      <c r="D556" s="93" t="s">
        <v>1360</v>
      </c>
      <c r="E556" s="226">
        <v>6201915647</v>
      </c>
      <c r="F556" s="93" t="str">
        <f>'Membership Level'!A12</f>
        <v>Swimming Moth</v>
      </c>
      <c r="G556" s="93" t="s">
        <v>297</v>
      </c>
      <c r="H556" s="75">
        <v>3000</v>
      </c>
      <c r="I556" s="75">
        <v>3000</v>
      </c>
      <c r="J556" s="61"/>
      <c r="K556" s="9">
        <v>46140</v>
      </c>
      <c r="L556" s="59">
        <f>DATE(YEAR(K556),MONTH(K556)+VLOOKUP($F554,'Membership Level'!$A$3:$B$15,2,FALSE),DAY(K556))</f>
        <v>46170</v>
      </c>
      <c r="M556" s="7"/>
    </row>
    <row r="557" spans="1:13" x14ac:dyDescent="0.35">
      <c r="A557" s="227" t="s">
        <v>1314</v>
      </c>
      <c r="B557" s="9">
        <v>46140</v>
      </c>
      <c r="C557" s="93" t="s">
        <v>333</v>
      </c>
      <c r="D557" s="93" t="s">
        <v>1361</v>
      </c>
      <c r="E557" s="226">
        <v>6201915647</v>
      </c>
      <c r="F557" s="93" t="str">
        <f>'Membership Level'!A12</f>
        <v>Swimming Moth</v>
      </c>
      <c r="G557" s="93" t="s">
        <v>297</v>
      </c>
      <c r="H557" s="75">
        <v>3000</v>
      </c>
      <c r="I557" s="75">
        <v>3000</v>
      </c>
      <c r="J557" s="61"/>
      <c r="K557" s="9">
        <v>46140</v>
      </c>
      <c r="L557" s="59">
        <f>DATE(YEAR(K557),MONTH(K557)+VLOOKUP($F555,'Membership Level'!$A$3:$B$15,2,FALSE),DAY(K557))</f>
        <v>46170</v>
      </c>
      <c r="M557" s="7"/>
    </row>
    <row r="558" spans="1:13" x14ac:dyDescent="0.35">
      <c r="A558" s="227" t="s">
        <v>1315</v>
      </c>
      <c r="B558" s="59">
        <v>46141</v>
      </c>
      <c r="C558" s="93" t="s">
        <v>333</v>
      </c>
      <c r="D558" s="93" t="s">
        <v>1382</v>
      </c>
      <c r="E558" s="226">
        <v>8292247744</v>
      </c>
      <c r="F558" s="93" t="str">
        <f>'Membership Level'!A12</f>
        <v>Swimming Moth</v>
      </c>
      <c r="G558" s="93" t="s">
        <v>248</v>
      </c>
      <c r="H558" s="75">
        <v>4400</v>
      </c>
      <c r="I558" s="75">
        <v>4400</v>
      </c>
      <c r="J558" s="61"/>
      <c r="K558" s="9">
        <v>46141</v>
      </c>
      <c r="L558" s="59">
        <f>DATE(YEAR(K558),MONTH(K558)+VLOOKUP($F556,'Membership Level'!$A$3:$B$15,2,FALSE),DAY(K558))</f>
        <v>46171</v>
      </c>
      <c r="M558" s="7"/>
    </row>
    <row r="559" spans="1:13" x14ac:dyDescent="0.35">
      <c r="A559" s="227" t="s">
        <v>1316</v>
      </c>
      <c r="B559" s="59">
        <v>46141</v>
      </c>
      <c r="C559" s="93" t="s">
        <v>32</v>
      </c>
      <c r="D559" s="93" t="s">
        <v>459</v>
      </c>
      <c r="E559" s="226">
        <v>9123498664</v>
      </c>
      <c r="F559" s="93" t="str">
        <f>'Membership Level'!A12</f>
        <v>Swimming Moth</v>
      </c>
      <c r="G559" s="241" t="s">
        <v>494</v>
      </c>
      <c r="H559" s="75">
        <v>2500</v>
      </c>
      <c r="I559" s="75">
        <v>2500</v>
      </c>
      <c r="J559" s="61"/>
      <c r="K559" s="300">
        <v>46144</v>
      </c>
      <c r="L559" s="300">
        <f>DATE(YEAR(K559),MONTH(K559)+VLOOKUP($F557,'Membership Level'!$A$3:$B$15,2,FALSE),DAY(K559))</f>
        <v>46175</v>
      </c>
      <c r="M559" s="7"/>
    </row>
    <row r="560" spans="1:13" x14ac:dyDescent="0.35">
      <c r="A560" s="227" t="s">
        <v>1317</v>
      </c>
      <c r="B560" s="59">
        <v>46141</v>
      </c>
      <c r="C560" s="93" t="s">
        <v>202</v>
      </c>
      <c r="D560" s="93" t="s">
        <v>1383</v>
      </c>
      <c r="E560" s="226">
        <v>7044204278</v>
      </c>
      <c r="F560" s="93" t="str">
        <f>'Membership Level'!A12</f>
        <v>Swimming Moth</v>
      </c>
      <c r="G560" s="241" t="s">
        <v>297</v>
      </c>
      <c r="H560" s="75">
        <v>3300</v>
      </c>
      <c r="I560" s="75">
        <v>3300</v>
      </c>
      <c r="J560" s="61"/>
      <c r="K560" s="300">
        <v>46144</v>
      </c>
      <c r="L560" s="300">
        <f>DATE(YEAR(K560),MONTH(K560)+VLOOKUP($F558,'Membership Level'!$A$3:$B$15,2,FALSE),DAY(K560))</f>
        <v>46175</v>
      </c>
      <c r="M560" s="7"/>
    </row>
    <row r="561" spans="1:13" x14ac:dyDescent="0.35">
      <c r="A561" s="227" t="s">
        <v>1318</v>
      </c>
      <c r="B561" s="59">
        <v>46141</v>
      </c>
      <c r="C561" s="93" t="s">
        <v>1384</v>
      </c>
      <c r="D561" s="93" t="s">
        <v>1385</v>
      </c>
      <c r="E561" s="226">
        <v>7783809946</v>
      </c>
      <c r="F561" s="93" t="str">
        <f>'Membership Level'!A12</f>
        <v>Swimming Moth</v>
      </c>
      <c r="G561" s="93" t="s">
        <v>278</v>
      </c>
      <c r="H561" s="75">
        <v>3300</v>
      </c>
      <c r="I561" s="75">
        <v>3300</v>
      </c>
      <c r="J561" s="61"/>
      <c r="K561" s="59">
        <v>46141</v>
      </c>
      <c r="L561" s="59">
        <f>DATE(YEAR(K561),MONTH(K561)+VLOOKUP($F559,'Membership Level'!$A$3:$B$15,2,FALSE),DAY(K561))</f>
        <v>46171</v>
      </c>
      <c r="M561" s="7"/>
    </row>
    <row r="562" spans="1:13" x14ac:dyDescent="0.35">
      <c r="A562" s="227" t="s">
        <v>1338</v>
      </c>
      <c r="B562" s="59">
        <v>46141</v>
      </c>
      <c r="C562" s="93" t="s">
        <v>1386</v>
      </c>
      <c r="D562" s="93" t="s">
        <v>1387</v>
      </c>
      <c r="E562" s="226">
        <v>8340136564</v>
      </c>
      <c r="F562" s="93" t="str">
        <f>'Membership Level'!A12</f>
        <v>Swimming Moth</v>
      </c>
      <c r="G562" s="93" t="s">
        <v>257</v>
      </c>
      <c r="H562" s="75">
        <v>3500</v>
      </c>
      <c r="I562" s="75">
        <v>3500</v>
      </c>
      <c r="J562" s="61"/>
      <c r="K562" s="59">
        <v>46141</v>
      </c>
      <c r="L562" s="59">
        <f>DATE(YEAR(K562),MONTH(K562)+VLOOKUP($F560,'Membership Level'!$A$3:$B$15,2,FALSE),DAY(K562))</f>
        <v>46171</v>
      </c>
      <c r="M562" s="7"/>
    </row>
    <row r="563" spans="1:13" x14ac:dyDescent="0.35">
      <c r="A563" s="227" t="s">
        <v>1339</v>
      </c>
      <c r="B563" s="59">
        <v>46141</v>
      </c>
      <c r="C563" s="93" t="s">
        <v>1388</v>
      </c>
      <c r="D563" s="93" t="s">
        <v>1389</v>
      </c>
      <c r="E563" s="226">
        <v>8340765558</v>
      </c>
      <c r="F563" s="93" t="str">
        <f>'Membership Level'!A12</f>
        <v>Swimming Moth</v>
      </c>
      <c r="G563" s="93" t="s">
        <v>257</v>
      </c>
      <c r="H563" s="75">
        <v>3500</v>
      </c>
      <c r="I563" s="75">
        <v>3500</v>
      </c>
      <c r="J563" s="61"/>
      <c r="K563" s="59">
        <v>46141</v>
      </c>
      <c r="L563" s="59">
        <f>DATE(YEAR(K563),MONTH(K563)+VLOOKUP($F561,'Membership Level'!$A$3:$B$15,2,FALSE),DAY(K563))</f>
        <v>46171</v>
      </c>
      <c r="M563" s="7"/>
    </row>
    <row r="564" spans="1:13" x14ac:dyDescent="0.35">
      <c r="A564" s="227" t="s">
        <v>1340</v>
      </c>
      <c r="B564" s="59">
        <v>46141</v>
      </c>
      <c r="C564" s="93" t="s">
        <v>1391</v>
      </c>
      <c r="D564" s="93" t="s">
        <v>1390</v>
      </c>
      <c r="E564" s="226">
        <v>8271033786</v>
      </c>
      <c r="F564" s="93" t="str">
        <f>'Membership Level'!A12</f>
        <v>Swimming Moth</v>
      </c>
      <c r="G564" s="93" t="s">
        <v>257</v>
      </c>
      <c r="H564" s="75">
        <v>3800</v>
      </c>
      <c r="I564" s="75">
        <v>3800</v>
      </c>
      <c r="J564" s="61"/>
      <c r="K564" s="59">
        <v>46141</v>
      </c>
      <c r="L564" s="59">
        <f>DATE(YEAR(K564),MONTH(K564)+VLOOKUP($F562,'Membership Level'!$A$3:$B$15,2,FALSE),DAY(K564))</f>
        <v>46171</v>
      </c>
      <c r="M564" s="7"/>
    </row>
    <row r="565" spans="1:13" x14ac:dyDescent="0.35">
      <c r="A565" s="227" t="s">
        <v>1341</v>
      </c>
      <c r="B565" s="59">
        <v>46141</v>
      </c>
      <c r="C565" s="93" t="s">
        <v>1391</v>
      </c>
      <c r="D565" s="93" t="s">
        <v>1392</v>
      </c>
      <c r="E565" s="226">
        <v>8271033786</v>
      </c>
      <c r="F565" s="93" t="str">
        <f>'Membership Level'!A12</f>
        <v>Swimming Moth</v>
      </c>
      <c r="G565" s="93" t="s">
        <v>257</v>
      </c>
      <c r="H565" s="75">
        <v>3800</v>
      </c>
      <c r="I565" s="75">
        <v>3800</v>
      </c>
      <c r="J565" s="61"/>
      <c r="K565" s="9">
        <v>46141</v>
      </c>
      <c r="L565" s="59">
        <f>DATE(YEAR(K565),MONTH(K565)+VLOOKUP($F563,'Membership Level'!$A$3:$B$15,2,FALSE),DAY(K565))</f>
        <v>46171</v>
      </c>
      <c r="M565" s="7"/>
    </row>
    <row r="566" spans="1:13" s="85" customFormat="1" x14ac:dyDescent="0.35">
      <c r="A566" s="318" t="s">
        <v>1342</v>
      </c>
      <c r="B566" s="182">
        <v>46141</v>
      </c>
      <c r="C566" s="286" t="s">
        <v>1393</v>
      </c>
      <c r="D566" s="286" t="s">
        <v>1394</v>
      </c>
      <c r="E566" s="319">
        <v>9304850092</v>
      </c>
      <c r="F566" s="286" t="str">
        <f>'Membership Level'!A12</f>
        <v>Swimming Moth</v>
      </c>
      <c r="G566" s="286" t="s">
        <v>1395</v>
      </c>
      <c r="H566" s="181">
        <v>7000</v>
      </c>
      <c r="I566" s="181">
        <v>7000</v>
      </c>
      <c r="J566" s="320"/>
      <c r="K566" s="182">
        <v>46110</v>
      </c>
      <c r="L566" s="182">
        <f>DATE(YEAR(K566),MONTH(K566)+VLOOKUP($F564,'Membership Level'!$A$3:$B$15,2,FALSE),DAY(K566))</f>
        <v>46141</v>
      </c>
      <c r="M566" s="165"/>
    </row>
    <row r="567" spans="1:13" x14ac:dyDescent="0.35">
      <c r="A567" s="227" t="s">
        <v>1343</v>
      </c>
      <c r="B567" s="59">
        <v>46141</v>
      </c>
      <c r="C567" s="93" t="s">
        <v>362</v>
      </c>
      <c r="D567" s="93" t="s">
        <v>42</v>
      </c>
      <c r="E567" s="226">
        <v>9801654865</v>
      </c>
      <c r="F567" s="93" t="str">
        <f>'Membership Level'!A12</f>
        <v>Swimming Moth</v>
      </c>
      <c r="G567" s="93" t="s">
        <v>257</v>
      </c>
      <c r="H567" s="75">
        <v>3500</v>
      </c>
      <c r="I567" s="75">
        <v>3500</v>
      </c>
      <c r="J567" s="61"/>
      <c r="K567" s="9">
        <v>46141</v>
      </c>
      <c r="L567" s="59">
        <f>DATE(YEAR(K567),MONTH(K567)+VLOOKUP($F565,'Membership Level'!$A$3:$B$15,2,FALSE),DAY(K567))</f>
        <v>46171</v>
      </c>
      <c r="M567" s="7"/>
    </row>
    <row r="568" spans="1:13" x14ac:dyDescent="0.35">
      <c r="A568" s="227" t="s">
        <v>1344</v>
      </c>
      <c r="B568" s="59">
        <v>46141</v>
      </c>
      <c r="C568" s="93" t="s">
        <v>30</v>
      </c>
      <c r="D568" s="93" t="s">
        <v>1396</v>
      </c>
      <c r="E568" s="226">
        <v>8669130674</v>
      </c>
      <c r="F568" s="93" t="str">
        <f>'Membership Level'!A12</f>
        <v>Swimming Moth</v>
      </c>
      <c r="G568" s="93" t="s">
        <v>257</v>
      </c>
      <c r="H568" s="75">
        <v>3500</v>
      </c>
      <c r="I568" s="75">
        <v>3500</v>
      </c>
      <c r="J568" s="61"/>
      <c r="K568" s="9">
        <v>46141</v>
      </c>
      <c r="L568" s="59">
        <f>DATE(YEAR(K568),MONTH(K568)+VLOOKUP($F566,'Membership Level'!$A$3:$B$15,2,FALSE),DAY(K568))</f>
        <v>46171</v>
      </c>
      <c r="M568" s="7"/>
    </row>
    <row r="569" spans="1:13" x14ac:dyDescent="0.35">
      <c r="A569" s="227" t="s">
        <v>1345</v>
      </c>
      <c r="B569" s="59">
        <v>46142</v>
      </c>
      <c r="C569" s="93"/>
      <c r="D569" s="93" t="s">
        <v>73</v>
      </c>
      <c r="E569" s="226">
        <v>7678643311</v>
      </c>
      <c r="F569" s="93" t="str">
        <f>'Membership Level'!A12</f>
        <v>Swimming Moth</v>
      </c>
      <c r="G569" s="93" t="s">
        <v>1398</v>
      </c>
      <c r="H569" s="75">
        <v>3300</v>
      </c>
      <c r="I569" s="75">
        <v>3300</v>
      </c>
      <c r="J569" s="61"/>
      <c r="K569" s="9">
        <v>46142</v>
      </c>
      <c r="L569" s="59">
        <f>DATE(YEAR(K569),MONTH(K569)+VLOOKUP($F567,'Membership Level'!$A$3:$B$15,2,FALSE),DAY(K569))</f>
        <v>46172</v>
      </c>
      <c r="M569" s="7"/>
    </row>
    <row r="570" spans="1:13" x14ac:dyDescent="0.35">
      <c r="A570" s="227" t="s">
        <v>1346</v>
      </c>
      <c r="B570" s="59">
        <v>46142</v>
      </c>
      <c r="C570" s="93" t="s">
        <v>281</v>
      </c>
      <c r="D570" s="93" t="s">
        <v>1397</v>
      </c>
      <c r="E570" s="226">
        <v>7678643311</v>
      </c>
      <c r="F570" s="241" t="str">
        <f>'Membership Level'!A12</f>
        <v>Swimming Moth</v>
      </c>
      <c r="G570" s="93" t="s">
        <v>876</v>
      </c>
      <c r="H570" s="75">
        <v>3300</v>
      </c>
      <c r="I570" s="75">
        <v>3300</v>
      </c>
      <c r="J570" s="61"/>
      <c r="K570" s="9">
        <v>46142</v>
      </c>
      <c r="L570" s="59">
        <f>DATE(YEAR(K570),MONTH(K570)+VLOOKUP($F568,'Membership Level'!$A$3:$B$15,2,FALSE),DAY(K570))</f>
        <v>46172</v>
      </c>
      <c r="M570" s="7"/>
    </row>
    <row r="571" spans="1:13" x14ac:dyDescent="0.35">
      <c r="A571" s="227" t="s">
        <v>1347</v>
      </c>
      <c r="B571" s="59">
        <v>46142</v>
      </c>
      <c r="C571" s="241" t="s">
        <v>1400</v>
      </c>
      <c r="D571" s="93" t="s">
        <v>1399</v>
      </c>
      <c r="E571" s="235">
        <v>7694938459</v>
      </c>
      <c r="F571" s="241" t="str">
        <f>'Membership Level'!A12</f>
        <v>Swimming Moth</v>
      </c>
      <c r="G571" s="93" t="s">
        <v>876</v>
      </c>
      <c r="H571" s="75">
        <v>3000</v>
      </c>
      <c r="I571" s="75">
        <v>3000</v>
      </c>
      <c r="J571" s="61"/>
      <c r="K571" s="9">
        <v>46142</v>
      </c>
      <c r="L571" s="59">
        <f>DATE(YEAR(K571),MONTH(K571)+VLOOKUP($F569,'Membership Level'!$A$3:$B$15,2,FALSE),DAY(K571))</f>
        <v>46172</v>
      </c>
      <c r="M571" s="7"/>
    </row>
    <row r="572" spans="1:13" s="11" customFormat="1" x14ac:dyDescent="0.35">
      <c r="A572" s="227" t="s">
        <v>1348</v>
      </c>
      <c r="B572" s="59">
        <v>46142</v>
      </c>
      <c r="C572" s="241" t="s">
        <v>281</v>
      </c>
      <c r="D572" s="241" t="s">
        <v>1401</v>
      </c>
      <c r="E572" s="235">
        <v>9899761819</v>
      </c>
      <c r="F572" s="241" t="str">
        <f>'Membership Level'!A12</f>
        <v>Swimming Moth</v>
      </c>
      <c r="G572" s="241" t="s">
        <v>876</v>
      </c>
      <c r="H572" s="75">
        <v>3000</v>
      </c>
      <c r="I572" s="75">
        <v>3000</v>
      </c>
      <c r="J572" s="61"/>
      <c r="K572" s="59">
        <v>46142</v>
      </c>
      <c r="L572" s="59">
        <f>DATE(YEAR(K572),MONTH(K572)+VLOOKUP($F570,'Membership Level'!$A$3:$B$15,2,FALSE),DAY(K572))</f>
        <v>46172</v>
      </c>
      <c r="M572" s="58"/>
    </row>
    <row r="573" spans="1:13" s="11" customFormat="1" x14ac:dyDescent="0.35">
      <c r="A573" s="227" t="s">
        <v>1349</v>
      </c>
      <c r="B573" s="59">
        <v>46142</v>
      </c>
      <c r="C573" s="241" t="s">
        <v>291</v>
      </c>
      <c r="D573" s="241" t="s">
        <v>1402</v>
      </c>
      <c r="E573" s="235">
        <v>9934170097</v>
      </c>
      <c r="F573" s="93" t="str">
        <f>'Membership Level'!A12</f>
        <v>Swimming Moth</v>
      </c>
      <c r="G573" s="241" t="s">
        <v>1012</v>
      </c>
      <c r="H573" s="75">
        <v>2800</v>
      </c>
      <c r="I573" s="75">
        <v>2800</v>
      </c>
      <c r="J573" s="61"/>
      <c r="K573" s="59">
        <v>46142</v>
      </c>
      <c r="L573" s="59">
        <f>DATE(YEAR(K573),MONTH(K573)+VLOOKUP($F571,'Membership Level'!$A$3:$B$15,2,FALSE),DAY(K573))</f>
        <v>46172</v>
      </c>
      <c r="M573" s="58"/>
    </row>
    <row r="574" spans="1:13" s="11" customFormat="1" x14ac:dyDescent="0.35">
      <c r="A574" s="227" t="s">
        <v>1350</v>
      </c>
      <c r="B574" s="59">
        <v>46142</v>
      </c>
      <c r="C574" s="241" t="s">
        <v>1404</v>
      </c>
      <c r="D574" s="241" t="s">
        <v>1403</v>
      </c>
      <c r="E574" s="226">
        <v>9473028158</v>
      </c>
      <c r="F574" s="93" t="str">
        <f>'Membership Level'!A12</f>
        <v>Swimming Moth</v>
      </c>
      <c r="G574" s="241" t="s">
        <v>257</v>
      </c>
      <c r="H574" s="75">
        <v>4400</v>
      </c>
      <c r="I574" s="75">
        <v>4400</v>
      </c>
      <c r="J574" s="61"/>
      <c r="K574" s="59">
        <v>46142</v>
      </c>
      <c r="L574" s="59">
        <f>DATE(YEAR(K574),MONTH(K574)+VLOOKUP($F572,'Membership Level'!$A$3:$B$15,2,FALSE),DAY(K574))</f>
        <v>46172</v>
      </c>
      <c r="M574" s="58"/>
    </row>
    <row r="575" spans="1:13" x14ac:dyDescent="0.35">
      <c r="A575" s="227" t="s">
        <v>1351</v>
      </c>
      <c r="B575" s="59">
        <v>46142</v>
      </c>
      <c r="C575" s="93" t="s">
        <v>1319</v>
      </c>
      <c r="D575" s="93" t="s">
        <v>1405</v>
      </c>
      <c r="E575" s="226">
        <v>6205275546</v>
      </c>
      <c r="F575" s="93" t="str">
        <f>'Membership Level'!A12</f>
        <v>Swimming Moth</v>
      </c>
      <c r="G575" s="93" t="s">
        <v>257</v>
      </c>
      <c r="H575" s="75">
        <v>3800</v>
      </c>
      <c r="I575" s="75">
        <v>3800</v>
      </c>
      <c r="J575" s="61"/>
      <c r="K575" s="9">
        <v>46142</v>
      </c>
      <c r="L575" s="59">
        <f>DATE(YEAR(K575),MONTH(K575)+VLOOKUP($F573,'Membership Level'!$A$3:$B$15,2,FALSE),DAY(K575))</f>
        <v>46172</v>
      </c>
      <c r="M575" s="7"/>
    </row>
    <row r="576" spans="1:13" x14ac:dyDescent="0.35">
      <c r="A576" s="227" t="s">
        <v>1352</v>
      </c>
      <c r="B576" s="59">
        <v>46143</v>
      </c>
      <c r="C576" s="93" t="s">
        <v>1406</v>
      </c>
      <c r="D576" s="93" t="s">
        <v>1407</v>
      </c>
      <c r="E576" s="226">
        <v>9849421154</v>
      </c>
      <c r="F576" s="93" t="str">
        <f>'Membership Level'!A12</f>
        <v>Swimming Moth</v>
      </c>
      <c r="G576" s="93" t="s">
        <v>257</v>
      </c>
      <c r="H576" s="75">
        <v>4000</v>
      </c>
      <c r="I576" s="75">
        <v>4000</v>
      </c>
      <c r="J576" s="61"/>
      <c r="K576" s="9">
        <v>46143</v>
      </c>
      <c r="L576" s="59">
        <f>DATE(YEAR(K576),MONTH(K576)+VLOOKUP($F574,'Membership Level'!$A$3:$B$15,2,FALSE),DAY(K576))</f>
        <v>46174</v>
      </c>
      <c r="M576" s="7"/>
    </row>
    <row r="577" spans="1:13" s="261" customFormat="1" x14ac:dyDescent="0.35">
      <c r="A577" s="255" t="s">
        <v>1353</v>
      </c>
      <c r="B577" s="268">
        <v>46143</v>
      </c>
      <c r="C577" s="260"/>
      <c r="D577" s="260" t="s">
        <v>1409</v>
      </c>
      <c r="E577" s="257">
        <v>8084018777</v>
      </c>
      <c r="F577" s="260" t="str">
        <f>'Membership Level'!A13</f>
        <v>Swimming Qty</v>
      </c>
      <c r="G577" s="260" t="s">
        <v>216</v>
      </c>
      <c r="H577" s="266">
        <v>8000</v>
      </c>
      <c r="I577" s="266">
        <v>8000</v>
      </c>
      <c r="J577" s="267"/>
      <c r="K577" s="268">
        <v>46143</v>
      </c>
      <c r="L577" s="268">
        <v>46235</v>
      </c>
      <c r="M577" s="269"/>
    </row>
    <row r="578" spans="1:13" s="261" customFormat="1" x14ac:dyDescent="0.35">
      <c r="A578" s="255" t="s">
        <v>1354</v>
      </c>
      <c r="B578" s="268">
        <v>46143</v>
      </c>
      <c r="C578" s="260" t="s">
        <v>1411</v>
      </c>
      <c r="D578" s="260" t="s">
        <v>1410</v>
      </c>
      <c r="E578" s="257">
        <v>9473032506</v>
      </c>
      <c r="F578" s="260" t="str">
        <f>'Membership Level'!A14</f>
        <v>Swimming HY</v>
      </c>
      <c r="G578" s="260" t="s">
        <v>237</v>
      </c>
      <c r="H578" s="266">
        <v>17500</v>
      </c>
      <c r="I578" s="266">
        <v>17500</v>
      </c>
      <c r="J578" s="267"/>
      <c r="K578" s="268">
        <v>46143</v>
      </c>
      <c r="L578" s="268">
        <v>46327</v>
      </c>
      <c r="M578" s="269"/>
    </row>
    <row r="579" spans="1:13" x14ac:dyDescent="0.35">
      <c r="A579" s="227" t="s">
        <v>1355</v>
      </c>
      <c r="B579" s="59">
        <v>46143</v>
      </c>
      <c r="C579" s="93" t="s">
        <v>30</v>
      </c>
      <c r="D579" s="93" t="s">
        <v>1412</v>
      </c>
      <c r="E579" s="226">
        <v>9835184168</v>
      </c>
      <c r="F579" s="93" t="str">
        <f>'Membership Level'!A12</f>
        <v>Swimming Moth</v>
      </c>
      <c r="G579" s="93" t="s">
        <v>248</v>
      </c>
      <c r="H579" s="75">
        <v>4000</v>
      </c>
      <c r="I579" s="75">
        <v>4000</v>
      </c>
      <c r="J579" s="61"/>
      <c r="K579" s="59">
        <v>46143</v>
      </c>
      <c r="L579" s="59">
        <v>46174</v>
      </c>
      <c r="M579" s="7"/>
    </row>
    <row r="580" spans="1:13" x14ac:dyDescent="0.35">
      <c r="A580" s="227" t="s">
        <v>1356</v>
      </c>
      <c r="B580" s="59">
        <v>46143</v>
      </c>
      <c r="C580" s="93" t="s">
        <v>32</v>
      </c>
      <c r="D580" s="93" t="s">
        <v>1413</v>
      </c>
      <c r="E580" s="226">
        <v>9560240434</v>
      </c>
      <c r="F580" s="93" t="str">
        <f>'Membership Level'!A12</f>
        <v>Swimming Moth</v>
      </c>
      <c r="G580" s="93" t="s">
        <v>248</v>
      </c>
      <c r="H580" s="75">
        <v>3000</v>
      </c>
      <c r="I580" s="75">
        <v>3000</v>
      </c>
      <c r="J580" s="61"/>
      <c r="K580" s="59">
        <v>46143</v>
      </c>
      <c r="L580" s="59">
        <v>46174</v>
      </c>
      <c r="M580" s="7"/>
    </row>
    <row r="581" spans="1:13" x14ac:dyDescent="0.35">
      <c r="A581" s="227" t="s">
        <v>1357</v>
      </c>
      <c r="B581" s="59">
        <v>46143</v>
      </c>
      <c r="C581" s="93" t="s">
        <v>202</v>
      </c>
      <c r="D581" s="93" t="s">
        <v>1414</v>
      </c>
      <c r="E581" s="226">
        <v>9560240434</v>
      </c>
      <c r="F581" s="93" t="str">
        <f>'Membership Level'!A12</f>
        <v>Swimming Moth</v>
      </c>
      <c r="G581" s="93" t="s">
        <v>248</v>
      </c>
      <c r="H581" s="75">
        <v>3000</v>
      </c>
      <c r="I581" s="75">
        <v>3000</v>
      </c>
      <c r="J581" s="61"/>
      <c r="K581" s="59">
        <v>46143</v>
      </c>
      <c r="L581" s="59">
        <f>DATE(YEAR(K581),MONTH(K581)+VLOOKUP($F579,'Membership Level'!$A$3:$B$15,2,FALSE),DAY(K581))</f>
        <v>46174</v>
      </c>
      <c r="M581" s="7"/>
    </row>
    <row r="582" spans="1:13" x14ac:dyDescent="0.35">
      <c r="A582" s="227" t="s">
        <v>1362</v>
      </c>
      <c r="B582" s="59">
        <v>46143</v>
      </c>
      <c r="C582" s="93" t="s">
        <v>1416</v>
      </c>
      <c r="D582" s="93" t="s">
        <v>1415</v>
      </c>
      <c r="E582" s="226">
        <v>9798020649</v>
      </c>
      <c r="F582" s="93" t="str">
        <f>'Membership Level'!A12</f>
        <v>Swimming Moth</v>
      </c>
      <c r="G582" s="93" t="s">
        <v>379</v>
      </c>
      <c r="H582" s="75">
        <v>2800</v>
      </c>
      <c r="I582" s="75">
        <v>2800</v>
      </c>
      <c r="J582" s="61"/>
      <c r="K582" s="59">
        <v>46143</v>
      </c>
      <c r="L582" s="59">
        <f>DATE(YEAR(K582),MONTH(K582)+VLOOKUP($F580,'Membership Level'!$A$3:$B$15,2,FALSE),DAY(K582))</f>
        <v>46174</v>
      </c>
      <c r="M582" s="7"/>
    </row>
    <row r="583" spans="1:13" x14ac:dyDescent="0.35">
      <c r="A583" s="227" t="s">
        <v>1363</v>
      </c>
      <c r="B583" s="59">
        <v>46143</v>
      </c>
      <c r="C583" s="93" t="s">
        <v>1319</v>
      </c>
      <c r="D583" s="93" t="s">
        <v>961</v>
      </c>
      <c r="E583" s="226">
        <v>9955767170</v>
      </c>
      <c r="F583" s="93"/>
      <c r="G583" s="93" t="s">
        <v>1417</v>
      </c>
      <c r="H583" s="75">
        <v>0</v>
      </c>
      <c r="I583" s="75">
        <v>0</v>
      </c>
      <c r="J583" s="61"/>
      <c r="K583" s="59">
        <v>46143</v>
      </c>
      <c r="L583" s="59">
        <f>DATE(YEAR(K583),MONTH(K583)+VLOOKUP($F581,'Membership Level'!$A$3:$B$15,2,FALSE),DAY(K583))</f>
        <v>46174</v>
      </c>
      <c r="M583" s="7"/>
    </row>
    <row r="584" spans="1:13" x14ac:dyDescent="0.35">
      <c r="A584" s="227" t="s">
        <v>1364</v>
      </c>
      <c r="B584" s="59">
        <v>46143</v>
      </c>
      <c r="C584" s="93"/>
      <c r="D584" s="93" t="s">
        <v>1418</v>
      </c>
      <c r="E584" s="226">
        <v>9097727378</v>
      </c>
      <c r="F584" s="93" t="str">
        <f>'Membership Level'!A12</f>
        <v>Swimming Moth</v>
      </c>
      <c r="G584" s="93" t="s">
        <v>308</v>
      </c>
      <c r="H584" s="75">
        <v>3800</v>
      </c>
      <c r="I584" s="75">
        <v>3800</v>
      </c>
      <c r="J584" s="61"/>
      <c r="K584" s="59">
        <v>46143</v>
      </c>
      <c r="L584" s="59">
        <f>DATE(YEAR(K584),MONTH(K584)+VLOOKUP($F582,'Membership Level'!$A$3:$B$15,2,FALSE),DAY(K584))</f>
        <v>46174</v>
      </c>
      <c r="M584" s="7"/>
    </row>
    <row r="585" spans="1:13" x14ac:dyDescent="0.35">
      <c r="A585" s="227" t="s">
        <v>1365</v>
      </c>
      <c r="B585" s="59">
        <v>46143</v>
      </c>
      <c r="C585" s="93" t="s">
        <v>202</v>
      </c>
      <c r="D585" s="93" t="s">
        <v>1273</v>
      </c>
      <c r="E585" s="226">
        <v>9304322235</v>
      </c>
      <c r="F585" s="93" t="str">
        <f>'Membership Level'!A12</f>
        <v>Swimming Moth</v>
      </c>
      <c r="G585" s="93" t="s">
        <v>297</v>
      </c>
      <c r="H585" s="75">
        <v>3000</v>
      </c>
      <c r="I585" s="75">
        <v>3000</v>
      </c>
      <c r="J585" s="61"/>
      <c r="K585" s="59">
        <v>46143</v>
      </c>
      <c r="L585" s="59">
        <v>46174</v>
      </c>
      <c r="M585" s="7"/>
    </row>
    <row r="586" spans="1:13" x14ac:dyDescent="0.35">
      <c r="A586" s="227" t="s">
        <v>1366</v>
      </c>
      <c r="B586" s="59">
        <v>46143</v>
      </c>
      <c r="C586" s="93" t="s">
        <v>249</v>
      </c>
      <c r="D586" s="93" t="s">
        <v>1420</v>
      </c>
      <c r="E586" s="226">
        <v>9304322235</v>
      </c>
      <c r="F586" s="93" t="str">
        <f>'Membership Level'!A12</f>
        <v>Swimming Moth</v>
      </c>
      <c r="G586" s="93" t="s">
        <v>297</v>
      </c>
      <c r="H586" s="75">
        <v>3000</v>
      </c>
      <c r="I586" s="75">
        <v>3000</v>
      </c>
      <c r="J586" s="61"/>
      <c r="K586" s="9">
        <v>46143</v>
      </c>
      <c r="L586" s="59">
        <f>DATE(YEAR(K586),MONTH(K586)+VLOOKUP($F584,'Membership Level'!$A$3:$B$15,2,FALSE),DAY(K586))</f>
        <v>46174</v>
      </c>
      <c r="M586" s="7"/>
    </row>
    <row r="587" spans="1:13" x14ac:dyDescent="0.35">
      <c r="A587" s="227" t="s">
        <v>1367</v>
      </c>
      <c r="B587" s="59">
        <v>46143</v>
      </c>
      <c r="C587" s="93" t="s">
        <v>291</v>
      </c>
      <c r="D587" s="93" t="s">
        <v>1421</v>
      </c>
      <c r="E587" s="226">
        <v>9304322235</v>
      </c>
      <c r="F587" s="93" t="str">
        <f>'Membership Level'!A12</f>
        <v>Swimming Moth</v>
      </c>
      <c r="G587" s="93" t="s">
        <v>379</v>
      </c>
      <c r="H587" s="75">
        <v>2800</v>
      </c>
      <c r="I587" s="75">
        <v>2800</v>
      </c>
      <c r="J587" s="61"/>
      <c r="K587" s="9">
        <v>46143</v>
      </c>
      <c r="L587" s="59">
        <f>DATE(YEAR(K587),MONTH(K587)+VLOOKUP($F585,'Membership Level'!$A$3:$B$15,2,FALSE),DAY(K587))</f>
        <v>46174</v>
      </c>
      <c r="M587" s="7"/>
    </row>
    <row r="588" spans="1:13" x14ac:dyDescent="0.35">
      <c r="A588" s="227" t="s">
        <v>1368</v>
      </c>
      <c r="B588" s="59">
        <v>46143</v>
      </c>
      <c r="C588" s="93" t="s">
        <v>291</v>
      </c>
      <c r="D588" s="93" t="s">
        <v>1422</v>
      </c>
      <c r="E588" s="226">
        <v>9304322235</v>
      </c>
      <c r="F588" s="93" t="str">
        <f>'Membership Level'!A12</f>
        <v>Swimming Moth</v>
      </c>
      <c r="G588" s="93" t="s">
        <v>455</v>
      </c>
      <c r="H588" s="75">
        <v>2800</v>
      </c>
      <c r="I588" s="75">
        <v>2800</v>
      </c>
      <c r="J588" s="61"/>
      <c r="K588" s="9">
        <v>46143</v>
      </c>
      <c r="L588" s="59">
        <f>DATE(YEAR(K588),MONTH(K588)+VLOOKUP($F586,'Membership Level'!$A$3:$B$15,2,FALSE),DAY(K588))</f>
        <v>46174</v>
      </c>
      <c r="M588" s="7"/>
    </row>
    <row r="589" spans="1:13" x14ac:dyDescent="0.35">
      <c r="A589" s="227" t="s">
        <v>1369</v>
      </c>
      <c r="B589" s="59">
        <v>46143</v>
      </c>
      <c r="C589" s="93" t="s">
        <v>1423</v>
      </c>
      <c r="D589" s="93" t="s">
        <v>695</v>
      </c>
      <c r="E589" s="226">
        <v>7761894545</v>
      </c>
      <c r="F589" s="241" t="str">
        <f>'Membership Level'!A12</f>
        <v>Swimming Moth</v>
      </c>
      <c r="G589" s="93" t="s">
        <v>248</v>
      </c>
      <c r="H589" s="75">
        <v>4000</v>
      </c>
      <c r="I589" s="75">
        <v>4000</v>
      </c>
      <c r="J589" s="61"/>
      <c r="K589" s="9">
        <v>46143</v>
      </c>
      <c r="L589" s="59">
        <f>DATE(YEAR(K589),MONTH(K589)+VLOOKUP($F587,'Membership Level'!$A$3:$B$15,2,FALSE),DAY(K589))</f>
        <v>46174</v>
      </c>
      <c r="M589" s="7"/>
    </row>
    <row r="590" spans="1:13" x14ac:dyDescent="0.35">
      <c r="A590" s="227" t="s">
        <v>1370</v>
      </c>
      <c r="B590" s="59">
        <v>46144</v>
      </c>
      <c r="C590" s="93" t="s">
        <v>1425</v>
      </c>
      <c r="D590" s="93" t="s">
        <v>1424</v>
      </c>
      <c r="E590" s="235">
        <v>8800575419</v>
      </c>
      <c r="F590" s="93" t="str">
        <f>'Membership Level'!A12</f>
        <v>Swimming Moth</v>
      </c>
      <c r="G590" s="93" t="s">
        <v>248</v>
      </c>
      <c r="H590" s="75">
        <v>4000</v>
      </c>
      <c r="I590" s="75">
        <v>4000</v>
      </c>
      <c r="J590" s="61"/>
      <c r="K590" s="59">
        <v>46144</v>
      </c>
      <c r="L590" s="59">
        <f>DATE(YEAR(K590),MONTH(K590)+VLOOKUP($F588,'Membership Level'!$A$3:$B$15,2,FALSE),DAY(K590))</f>
        <v>46175</v>
      </c>
      <c r="M590" s="7"/>
    </row>
    <row r="591" spans="1:13" s="11" customFormat="1" x14ac:dyDescent="0.35">
      <c r="A591" s="227" t="s">
        <v>1371</v>
      </c>
      <c r="B591" s="59">
        <v>46144</v>
      </c>
      <c r="C591" s="241" t="s">
        <v>550</v>
      </c>
      <c r="D591" s="241" t="s">
        <v>1426</v>
      </c>
      <c r="E591" s="226">
        <v>8986911304</v>
      </c>
      <c r="F591" s="93" t="str">
        <f>'Membership Level'!A12</f>
        <v>Swimming Moth</v>
      </c>
      <c r="G591" s="241" t="s">
        <v>297</v>
      </c>
      <c r="H591" s="75">
        <v>3300</v>
      </c>
      <c r="I591" s="75">
        <v>3300</v>
      </c>
      <c r="J591" s="61"/>
      <c r="K591" s="59">
        <v>46144</v>
      </c>
      <c r="L591" s="59">
        <f>DATE(YEAR(K591),MONTH(K591)+VLOOKUP($F589,'Membership Level'!$A$3:$B$15,2,FALSE),DAY(K591))</f>
        <v>46175</v>
      </c>
      <c r="M591" s="58"/>
    </row>
    <row r="592" spans="1:13" x14ac:dyDescent="0.35">
      <c r="A592" s="227" t="s">
        <v>1372</v>
      </c>
      <c r="B592" s="59">
        <v>46144</v>
      </c>
      <c r="C592" s="93"/>
      <c r="D592" s="93" t="s">
        <v>1427</v>
      </c>
      <c r="E592" s="226">
        <v>8447633580</v>
      </c>
      <c r="F592" s="93" t="str">
        <f>'Membership Level'!A12</f>
        <v>Swimming Moth</v>
      </c>
      <c r="G592" s="93" t="s">
        <v>248</v>
      </c>
      <c r="H592" s="75">
        <v>4400</v>
      </c>
      <c r="I592" s="75">
        <v>4400</v>
      </c>
      <c r="J592" s="61"/>
      <c r="K592" s="300">
        <v>46145</v>
      </c>
      <c r="L592" s="300">
        <f>DATE(YEAR(K592),MONTH(K592)+VLOOKUP($F590,'Membership Level'!$A$3:$B$15,2,FALSE),DAY(K592))</f>
        <v>46176</v>
      </c>
      <c r="M592" s="7"/>
    </row>
    <row r="593" spans="1:13" x14ac:dyDescent="0.35">
      <c r="A593" s="227" t="s">
        <v>1373</v>
      </c>
      <c r="B593" s="59">
        <v>46144</v>
      </c>
      <c r="C593" s="93" t="s">
        <v>32</v>
      </c>
      <c r="D593" s="93" t="s">
        <v>1428</v>
      </c>
      <c r="E593" s="226">
        <v>8825289816</v>
      </c>
      <c r="F593" s="93" t="str">
        <f>'Membership Level'!A12</f>
        <v>Swimming Moth</v>
      </c>
      <c r="G593" s="93" t="s">
        <v>248</v>
      </c>
      <c r="H593" s="75">
        <v>4400</v>
      </c>
      <c r="I593" s="75">
        <v>4400</v>
      </c>
      <c r="J593" s="61"/>
      <c r="K593" s="59">
        <v>46144</v>
      </c>
      <c r="L593" s="59">
        <f>DATE(YEAR(K593),MONTH(K593)+VLOOKUP($F591,'Membership Level'!$A$3:$B$15,2,FALSE),DAY(K593))</f>
        <v>46175</v>
      </c>
      <c r="M593" s="7"/>
    </row>
    <row r="594" spans="1:13" x14ac:dyDescent="0.35">
      <c r="A594" s="227" t="s">
        <v>1374</v>
      </c>
      <c r="B594" s="59">
        <v>46144</v>
      </c>
      <c r="C594" s="93" t="s">
        <v>680</v>
      </c>
      <c r="D594" s="93" t="s">
        <v>1429</v>
      </c>
      <c r="E594" s="226">
        <v>8210372467</v>
      </c>
      <c r="F594" s="93" t="str">
        <f>'Membership Level'!A12</f>
        <v>Swimming Moth</v>
      </c>
      <c r="G594" s="93" t="s">
        <v>1214</v>
      </c>
      <c r="H594" s="75">
        <v>2000</v>
      </c>
      <c r="I594" s="75">
        <v>2000</v>
      </c>
      <c r="J594" s="61"/>
      <c r="K594" s="59">
        <v>46144</v>
      </c>
      <c r="L594" s="59">
        <f>DATE(YEAR(K594),MONTH(K594)+VLOOKUP($F592,'Membership Level'!$A$3:$B$15,2,FALSE),DAY(K594))</f>
        <v>46175</v>
      </c>
      <c r="M594" s="7"/>
    </row>
    <row r="595" spans="1:13" x14ac:dyDescent="0.35">
      <c r="A595" s="227" t="s">
        <v>1375</v>
      </c>
      <c r="B595" s="59">
        <v>46144</v>
      </c>
      <c r="C595" s="93" t="s">
        <v>1431</v>
      </c>
      <c r="D595" s="93" t="s">
        <v>1430</v>
      </c>
      <c r="E595" s="226">
        <v>9162811019</v>
      </c>
      <c r="F595" s="93" t="str">
        <f>'Membership Level'!A12</f>
        <v>Swimming Moth</v>
      </c>
      <c r="G595" s="93" t="s">
        <v>248</v>
      </c>
      <c r="H595" s="75">
        <v>3800</v>
      </c>
      <c r="I595" s="75">
        <v>3800</v>
      </c>
      <c r="J595" s="61"/>
      <c r="K595" s="59">
        <v>46144</v>
      </c>
      <c r="L595" s="59">
        <f>DATE(YEAR(K595),MONTH(K595)+VLOOKUP($F593,'Membership Level'!$A$3:$B$15,2,FALSE),DAY(K595))</f>
        <v>46175</v>
      </c>
      <c r="M595" s="7"/>
    </row>
    <row r="596" spans="1:13" x14ac:dyDescent="0.35">
      <c r="A596" s="227" t="s">
        <v>1376</v>
      </c>
      <c r="B596" s="59">
        <v>46144</v>
      </c>
      <c r="C596" s="93" t="s">
        <v>1432</v>
      </c>
      <c r="D596" s="93" t="s">
        <v>302</v>
      </c>
      <c r="E596" s="226">
        <v>9546077235</v>
      </c>
      <c r="F596" s="93" t="str">
        <f>'Membership Level'!A12</f>
        <v>Swimming Moth</v>
      </c>
      <c r="G596" s="93" t="s">
        <v>257</v>
      </c>
      <c r="H596" s="75">
        <v>3500</v>
      </c>
      <c r="I596" s="75">
        <v>3500</v>
      </c>
      <c r="J596" s="61"/>
      <c r="K596" s="300">
        <v>46147</v>
      </c>
      <c r="L596" s="300">
        <f>DATE(YEAR(K596),MONTH(K596)+VLOOKUP($F594,'Membership Level'!$A$3:$B$15,2,FALSE),DAY(K596))</f>
        <v>46178</v>
      </c>
      <c r="M596" s="7"/>
    </row>
    <row r="597" spans="1:13" x14ac:dyDescent="0.35">
      <c r="A597" s="227" t="s">
        <v>1377</v>
      </c>
      <c r="B597" s="59">
        <v>46144</v>
      </c>
      <c r="C597" s="93" t="s">
        <v>1432</v>
      </c>
      <c r="D597" s="93" t="s">
        <v>1433</v>
      </c>
      <c r="E597" s="226">
        <v>9546077235</v>
      </c>
      <c r="F597" s="93" t="str">
        <f>'Membership Level'!A13</f>
        <v>Swimming Qty</v>
      </c>
      <c r="G597" s="93" t="s">
        <v>257</v>
      </c>
      <c r="H597" s="75">
        <v>3500</v>
      </c>
      <c r="I597" s="75">
        <v>3500</v>
      </c>
      <c r="J597" s="61"/>
      <c r="K597" s="300">
        <v>46147</v>
      </c>
      <c r="L597" s="300">
        <f>DATE(YEAR(K597),MONTH(K597)+VLOOKUP($F595,'Membership Level'!$A$3:$B$15,2,FALSE),DAY(K597))</f>
        <v>46178</v>
      </c>
      <c r="M597" s="7"/>
    </row>
    <row r="598" spans="1:13" x14ac:dyDescent="0.35">
      <c r="A598" s="227" t="s">
        <v>1378</v>
      </c>
      <c r="B598" s="59">
        <v>46144</v>
      </c>
      <c r="C598" s="93"/>
      <c r="D598" s="93" t="s">
        <v>1434</v>
      </c>
      <c r="E598" s="226">
        <v>7209387543</v>
      </c>
      <c r="F598" s="93" t="str">
        <f>'Membership Level'!A12</f>
        <v>Swimming Moth</v>
      </c>
      <c r="G598" s="93" t="s">
        <v>440</v>
      </c>
      <c r="H598" s="75">
        <v>2800</v>
      </c>
      <c r="I598" s="75">
        <v>2800</v>
      </c>
      <c r="J598" s="61"/>
      <c r="K598" s="59">
        <v>46144</v>
      </c>
      <c r="L598" s="59">
        <f>DATE(YEAR(K598),MONTH(K598)+VLOOKUP($F596,'Membership Level'!$A$3:$B$15,2,FALSE),DAY(K598))</f>
        <v>46175</v>
      </c>
      <c r="M598" s="7"/>
    </row>
    <row r="599" spans="1:13" s="82" customFormat="1" x14ac:dyDescent="0.35">
      <c r="A599" s="227" t="s">
        <v>1379</v>
      </c>
      <c r="B599" s="59">
        <v>46144</v>
      </c>
      <c r="C599" s="93" t="s">
        <v>1393</v>
      </c>
      <c r="D599" s="93" t="s">
        <v>605</v>
      </c>
      <c r="E599" s="226">
        <v>9681794659</v>
      </c>
      <c r="F599" s="93" t="str">
        <f>'Membership Level'!A12</f>
        <v>Swimming Moth</v>
      </c>
      <c r="G599" s="93" t="s">
        <v>1436</v>
      </c>
      <c r="H599" s="75">
        <v>3400</v>
      </c>
      <c r="I599" s="75">
        <v>3400</v>
      </c>
      <c r="J599" s="61"/>
      <c r="K599" s="59">
        <v>46144</v>
      </c>
      <c r="L599" s="59">
        <v>46175</v>
      </c>
      <c r="M599" s="7"/>
    </row>
    <row r="600" spans="1:13" x14ac:dyDescent="0.35">
      <c r="A600" s="227" t="s">
        <v>1380</v>
      </c>
      <c r="B600" s="59">
        <v>46145</v>
      </c>
      <c r="C600" s="93" t="s">
        <v>1439</v>
      </c>
      <c r="D600" s="93" t="s">
        <v>1438</v>
      </c>
      <c r="E600" s="226">
        <v>9047783116</v>
      </c>
      <c r="F600" s="224" t="str">
        <f>'Membership Level'!A12</f>
        <v>Swimming Moth</v>
      </c>
      <c r="G600" s="93" t="s">
        <v>257</v>
      </c>
      <c r="H600" s="75">
        <v>4400</v>
      </c>
      <c r="I600" s="75">
        <v>4400</v>
      </c>
      <c r="J600" s="61"/>
      <c r="K600" s="59">
        <v>46145</v>
      </c>
      <c r="L600" s="59">
        <v>46176</v>
      </c>
      <c r="M600" s="7"/>
    </row>
    <row r="601" spans="1:13" x14ac:dyDescent="0.35">
      <c r="A601" s="227" t="s">
        <v>1381</v>
      </c>
      <c r="B601" s="59">
        <v>46145</v>
      </c>
      <c r="C601" s="93" t="s">
        <v>1440</v>
      </c>
      <c r="D601" s="93" t="s">
        <v>1441</v>
      </c>
      <c r="E601" s="317">
        <v>9431494638</v>
      </c>
      <c r="F601" s="93" t="str">
        <f>'Membership Level'!A12</f>
        <v>Swimming Moth</v>
      </c>
      <c r="G601" s="93" t="s">
        <v>308</v>
      </c>
      <c r="H601" s="75">
        <v>3500</v>
      </c>
      <c r="I601" s="75">
        <v>3500</v>
      </c>
      <c r="J601" s="61"/>
      <c r="K601" s="59">
        <v>46145</v>
      </c>
      <c r="L601" s="59">
        <v>46176</v>
      </c>
      <c r="M601" s="7"/>
    </row>
    <row r="602" spans="1:13" x14ac:dyDescent="0.35">
      <c r="A602" s="58" t="s">
        <v>1442</v>
      </c>
      <c r="B602" s="59">
        <v>46145</v>
      </c>
      <c r="C602" s="247" t="s">
        <v>1444</v>
      </c>
      <c r="D602" s="224" t="s">
        <v>1445</v>
      </c>
      <c r="E602" s="226">
        <v>7070098908</v>
      </c>
      <c r="F602" s="93" t="str">
        <f>'Membership Level'!A12</f>
        <v>Swimming Moth</v>
      </c>
      <c r="G602" s="224" t="s">
        <v>308</v>
      </c>
      <c r="H602" s="75">
        <v>3500</v>
      </c>
      <c r="I602" s="75">
        <v>3500</v>
      </c>
      <c r="J602" s="61"/>
      <c r="K602" s="59">
        <v>46145</v>
      </c>
      <c r="L602" s="59">
        <v>46176</v>
      </c>
    </row>
    <row r="603" spans="1:13" x14ac:dyDescent="0.35">
      <c r="A603" s="58" t="s">
        <v>1443</v>
      </c>
      <c r="B603" s="59">
        <v>46145</v>
      </c>
      <c r="C603" s="93" t="s">
        <v>202</v>
      </c>
      <c r="D603" s="93" t="s">
        <v>1447</v>
      </c>
      <c r="E603" s="226">
        <v>9576075294</v>
      </c>
      <c r="F603" s="93" t="str">
        <f>'Membership Level'!A12</f>
        <v>Swimming Moth</v>
      </c>
      <c r="G603" s="93" t="s">
        <v>370</v>
      </c>
      <c r="H603" s="75">
        <v>3500</v>
      </c>
      <c r="I603" s="75">
        <v>3500</v>
      </c>
      <c r="J603" s="61"/>
      <c r="K603" s="59">
        <v>46145</v>
      </c>
      <c r="L603" s="59">
        <v>46176</v>
      </c>
      <c r="M603" s="7"/>
    </row>
    <row r="604" spans="1:13" x14ac:dyDescent="0.35">
      <c r="A604" s="58" t="s">
        <v>1448</v>
      </c>
      <c r="B604" s="59">
        <v>46145</v>
      </c>
      <c r="C604" s="93" t="s">
        <v>1455</v>
      </c>
      <c r="D604" s="93" t="s">
        <v>1658</v>
      </c>
      <c r="E604" s="226">
        <v>94941771620</v>
      </c>
      <c r="F604" s="93" t="s">
        <v>1446</v>
      </c>
      <c r="G604" s="93" t="s">
        <v>1568</v>
      </c>
      <c r="H604" s="75">
        <v>3800</v>
      </c>
      <c r="I604" s="75">
        <v>3800</v>
      </c>
      <c r="J604" s="61"/>
      <c r="K604" s="300">
        <v>46154</v>
      </c>
      <c r="L604" s="300">
        <v>46185</v>
      </c>
      <c r="M604" s="7"/>
    </row>
    <row r="605" spans="1:13" s="85" customFormat="1" x14ac:dyDescent="0.35">
      <c r="A605" s="165" t="s">
        <v>1449</v>
      </c>
      <c r="B605" s="182">
        <v>46145</v>
      </c>
      <c r="C605" s="286" t="s">
        <v>222</v>
      </c>
      <c r="D605" s="286" t="s">
        <v>1456</v>
      </c>
      <c r="E605" s="319">
        <v>9097267110</v>
      </c>
      <c r="F605" s="286" t="s">
        <v>1457</v>
      </c>
      <c r="G605" s="286" t="s">
        <v>1458</v>
      </c>
      <c r="H605" s="181">
        <v>8000</v>
      </c>
      <c r="I605" s="181">
        <v>8000</v>
      </c>
      <c r="J605" s="320"/>
      <c r="K605" s="300">
        <v>46145</v>
      </c>
      <c r="L605" s="300">
        <v>46206</v>
      </c>
      <c r="M605" s="165"/>
    </row>
    <row r="606" spans="1:13" s="85" customFormat="1" x14ac:dyDescent="0.35">
      <c r="A606" s="165" t="s">
        <v>1450</v>
      </c>
      <c r="B606" s="182">
        <v>46145</v>
      </c>
      <c r="C606" s="286" t="s">
        <v>222</v>
      </c>
      <c r="D606" s="286" t="s">
        <v>1006</v>
      </c>
      <c r="E606" s="319">
        <v>9097267110</v>
      </c>
      <c r="F606" s="286" t="s">
        <v>1457</v>
      </c>
      <c r="G606" s="286" t="s">
        <v>1458</v>
      </c>
      <c r="H606" s="181">
        <v>8000</v>
      </c>
      <c r="I606" s="181">
        <v>8000</v>
      </c>
      <c r="J606" s="320"/>
      <c r="K606" s="300">
        <v>46145</v>
      </c>
      <c r="L606" s="300">
        <v>46206</v>
      </c>
      <c r="M606" s="165"/>
    </row>
    <row r="607" spans="1:13" x14ac:dyDescent="0.35">
      <c r="A607" s="58" t="s">
        <v>1451</v>
      </c>
      <c r="B607" s="59">
        <v>46145</v>
      </c>
      <c r="C607" s="93" t="s">
        <v>333</v>
      </c>
      <c r="D607" s="93" t="s">
        <v>1672</v>
      </c>
      <c r="E607" s="226">
        <v>8763681047</v>
      </c>
      <c r="F607" s="93" t="s">
        <v>1435</v>
      </c>
      <c r="G607" s="93" t="s">
        <v>880</v>
      </c>
      <c r="H607" s="75">
        <v>2000</v>
      </c>
      <c r="I607" s="75">
        <v>2000</v>
      </c>
      <c r="J607" s="61"/>
      <c r="K607" s="59">
        <v>46145</v>
      </c>
      <c r="L607" s="59">
        <v>46176</v>
      </c>
      <c r="M607" s="7"/>
    </row>
    <row r="608" spans="1:13" x14ac:dyDescent="0.35">
      <c r="A608" s="58" t="s">
        <v>1452</v>
      </c>
      <c r="B608" s="59">
        <v>46145</v>
      </c>
      <c r="C608" s="93" t="s">
        <v>333</v>
      </c>
      <c r="D608" s="93" t="s">
        <v>1465</v>
      </c>
      <c r="E608" s="226">
        <v>8763681047</v>
      </c>
      <c r="F608" s="93" t="s">
        <v>1435</v>
      </c>
      <c r="G608" s="93" t="s">
        <v>880</v>
      </c>
      <c r="H608" s="75">
        <v>2000</v>
      </c>
      <c r="I608" s="75">
        <v>2000</v>
      </c>
      <c r="J608" s="61"/>
      <c r="K608" s="59">
        <v>46145</v>
      </c>
      <c r="L608" s="59">
        <v>46176</v>
      </c>
      <c r="M608" s="7"/>
    </row>
    <row r="609" spans="1:13" x14ac:dyDescent="0.35">
      <c r="A609" s="58" t="s">
        <v>1453</v>
      </c>
      <c r="B609" s="59">
        <v>46145</v>
      </c>
      <c r="C609" s="93"/>
      <c r="D609" s="93" t="s">
        <v>1459</v>
      </c>
      <c r="E609" s="226">
        <v>9430251184</v>
      </c>
      <c r="F609" s="93" t="s">
        <v>1435</v>
      </c>
      <c r="G609" s="93" t="s">
        <v>926</v>
      </c>
      <c r="H609" s="75">
        <v>2500</v>
      </c>
      <c r="I609" s="75">
        <v>2500</v>
      </c>
      <c r="J609" s="61"/>
      <c r="K609" s="59">
        <v>46145</v>
      </c>
      <c r="L609" s="59">
        <v>46176</v>
      </c>
      <c r="M609" s="7"/>
    </row>
    <row r="610" spans="1:13" x14ac:dyDescent="0.35">
      <c r="A610" s="58" t="s">
        <v>1454</v>
      </c>
      <c r="B610" s="59">
        <v>46145</v>
      </c>
      <c r="C610" s="93" t="s">
        <v>202</v>
      </c>
      <c r="D610" s="93" t="s">
        <v>1461</v>
      </c>
      <c r="E610" s="226">
        <v>7061279577</v>
      </c>
      <c r="F610" s="93" t="s">
        <v>1435</v>
      </c>
      <c r="G610" s="93" t="s">
        <v>1462</v>
      </c>
      <c r="H610" s="75">
        <v>3500</v>
      </c>
      <c r="I610" s="75">
        <v>3500</v>
      </c>
      <c r="J610" s="61"/>
      <c r="K610" s="59">
        <v>46145</v>
      </c>
      <c r="L610" s="59">
        <v>46176</v>
      </c>
      <c r="M610" s="7"/>
    </row>
    <row r="611" spans="1:13" x14ac:dyDescent="0.35">
      <c r="A611" s="58" t="s">
        <v>1460</v>
      </c>
      <c r="B611" s="59">
        <v>46145</v>
      </c>
      <c r="C611" s="93" t="s">
        <v>682</v>
      </c>
      <c r="D611" s="93" t="s">
        <v>355</v>
      </c>
      <c r="E611" s="226">
        <v>9471480130</v>
      </c>
      <c r="F611" s="93" t="s">
        <v>1435</v>
      </c>
      <c r="G611" s="93" t="s">
        <v>1462</v>
      </c>
      <c r="H611" s="75">
        <v>3500</v>
      </c>
      <c r="I611" s="75">
        <v>3500</v>
      </c>
      <c r="J611" s="61"/>
      <c r="K611" s="59">
        <v>46150</v>
      </c>
      <c r="L611" s="59">
        <v>46181</v>
      </c>
      <c r="M611" s="7"/>
    </row>
    <row r="612" spans="1:13" s="380" customFormat="1" x14ac:dyDescent="0.35">
      <c r="A612" s="374"/>
      <c r="B612" s="375"/>
      <c r="C612" s="376"/>
      <c r="D612" s="376"/>
      <c r="E612" s="377"/>
      <c r="F612" s="376"/>
      <c r="G612" s="376"/>
      <c r="H612" s="378"/>
      <c r="I612" s="378"/>
      <c r="J612" s="379"/>
      <c r="K612" s="375"/>
      <c r="L612" s="375"/>
      <c r="M612" s="79"/>
    </row>
    <row r="613" spans="1:13" s="82" customFormat="1" x14ac:dyDescent="0.35">
      <c r="A613" s="58" t="s">
        <v>1466</v>
      </c>
      <c r="B613" s="59">
        <v>46145</v>
      </c>
      <c r="C613" s="93" t="s">
        <v>249</v>
      </c>
      <c r="D613" s="93" t="s">
        <v>1463</v>
      </c>
      <c r="E613" s="226">
        <v>9135100001</v>
      </c>
      <c r="F613" s="93" t="str">
        <f>'Membership Level'!A12</f>
        <v>Swimming Moth</v>
      </c>
      <c r="G613" s="93" t="s">
        <v>1464</v>
      </c>
      <c r="H613" s="75">
        <v>2200</v>
      </c>
      <c r="I613" s="75">
        <v>2200</v>
      </c>
      <c r="J613" s="61"/>
      <c r="K613" s="59">
        <v>46145</v>
      </c>
      <c r="L613" s="59">
        <v>46176</v>
      </c>
      <c r="M613" s="7"/>
    </row>
    <row r="614" spans="1:13" x14ac:dyDescent="0.35">
      <c r="A614" s="58" t="s">
        <v>1467</v>
      </c>
      <c r="B614" s="59">
        <v>46146</v>
      </c>
      <c r="C614" s="93" t="s">
        <v>618</v>
      </c>
      <c r="D614" s="93" t="s">
        <v>1538</v>
      </c>
      <c r="E614" s="226">
        <v>9821121834</v>
      </c>
      <c r="F614" s="93" t="str">
        <f>'Membership Level'!A12</f>
        <v>Swimming Moth</v>
      </c>
      <c r="G614" s="93" t="s">
        <v>370</v>
      </c>
      <c r="H614" s="75">
        <v>3800</v>
      </c>
      <c r="I614" s="75">
        <v>3800</v>
      </c>
      <c r="J614" s="61"/>
      <c r="K614" s="59">
        <v>46146</v>
      </c>
      <c r="L614" s="59">
        <v>46146</v>
      </c>
      <c r="M614" s="7"/>
    </row>
    <row r="615" spans="1:13" x14ac:dyDescent="0.35">
      <c r="A615" s="58" t="s">
        <v>1468</v>
      </c>
      <c r="B615" s="59">
        <v>46147</v>
      </c>
      <c r="C615" s="93" t="s">
        <v>734</v>
      </c>
      <c r="D615" s="93" t="s">
        <v>1534</v>
      </c>
      <c r="E615" s="226">
        <v>8507206243</v>
      </c>
      <c r="F615" s="93" t="str">
        <f>'Membership Level'!A12</f>
        <v>Swimming Moth</v>
      </c>
      <c r="G615" s="93" t="s">
        <v>977</v>
      </c>
      <c r="H615" s="75">
        <v>2200</v>
      </c>
      <c r="I615" s="75">
        <v>2200</v>
      </c>
      <c r="J615" s="61"/>
      <c r="K615" s="59">
        <v>46147</v>
      </c>
      <c r="L615" s="59">
        <v>46178</v>
      </c>
      <c r="M615" s="7"/>
    </row>
    <row r="616" spans="1:13" x14ac:dyDescent="0.35">
      <c r="A616" s="58" t="s">
        <v>1469</v>
      </c>
      <c r="B616" s="59">
        <v>46147</v>
      </c>
      <c r="C616" s="93" t="s">
        <v>734</v>
      </c>
      <c r="D616" s="93" t="s">
        <v>341</v>
      </c>
      <c r="E616" s="226">
        <v>8507206243</v>
      </c>
      <c r="F616" s="93" t="str">
        <f>'Membership Level'!A12</f>
        <v>Swimming Moth</v>
      </c>
      <c r="G616" s="93" t="s">
        <v>977</v>
      </c>
      <c r="H616" s="75">
        <v>2200</v>
      </c>
      <c r="I616" s="75">
        <v>2200</v>
      </c>
      <c r="J616" s="61"/>
      <c r="K616" s="59">
        <v>46147</v>
      </c>
      <c r="L616" s="59">
        <v>46178</v>
      </c>
      <c r="M616" s="7"/>
    </row>
    <row r="617" spans="1:13" x14ac:dyDescent="0.35">
      <c r="A617" s="58" t="s">
        <v>1470</v>
      </c>
      <c r="B617" s="59">
        <v>46147</v>
      </c>
      <c r="C617" s="93" t="s">
        <v>1536</v>
      </c>
      <c r="D617" s="93" t="s">
        <v>1535</v>
      </c>
      <c r="E617" s="226">
        <v>8789784668</v>
      </c>
      <c r="F617" s="93" t="str">
        <f>'Membership Level'!A12</f>
        <v>Swimming Moth</v>
      </c>
      <c r="G617" s="93" t="s">
        <v>370</v>
      </c>
      <c r="H617" s="75">
        <v>3800</v>
      </c>
      <c r="I617" s="75">
        <v>3800</v>
      </c>
      <c r="J617" s="61"/>
      <c r="K617" s="59">
        <v>46147</v>
      </c>
      <c r="L617" s="59">
        <v>46178</v>
      </c>
      <c r="M617" s="7"/>
    </row>
    <row r="618" spans="1:13" x14ac:dyDescent="0.35">
      <c r="A618" s="58" t="s">
        <v>1471</v>
      </c>
      <c r="B618" s="59">
        <v>46147</v>
      </c>
      <c r="C618" s="93" t="s">
        <v>333</v>
      </c>
      <c r="D618" s="93" t="s">
        <v>827</v>
      </c>
      <c r="E618" s="226">
        <v>8447777916</v>
      </c>
      <c r="F618" s="93" t="str">
        <f>'Membership Level'!A12</f>
        <v>Swimming Moth</v>
      </c>
      <c r="G618" s="93" t="s">
        <v>1537</v>
      </c>
      <c r="H618" s="75">
        <v>4000</v>
      </c>
      <c r="I618" s="75">
        <v>4000</v>
      </c>
      <c r="J618" s="61"/>
      <c r="K618" s="300">
        <v>46149</v>
      </c>
      <c r="L618" s="300">
        <v>46180</v>
      </c>
      <c r="M618" s="7"/>
    </row>
    <row r="619" spans="1:13" x14ac:dyDescent="0.35">
      <c r="A619" s="58" t="s">
        <v>1472</v>
      </c>
      <c r="B619" s="59">
        <v>46148</v>
      </c>
      <c r="C619" s="93" t="s">
        <v>222</v>
      </c>
      <c r="D619" s="93" t="s">
        <v>1539</v>
      </c>
      <c r="E619" s="226">
        <v>9386133959</v>
      </c>
      <c r="F619" s="93" t="str">
        <f>'Membership Level'!A12</f>
        <v>Swimming Moth</v>
      </c>
      <c r="G619" s="93" t="s">
        <v>297</v>
      </c>
      <c r="H619" s="75">
        <v>3000</v>
      </c>
      <c r="I619" s="75">
        <v>3000</v>
      </c>
      <c r="J619" s="61"/>
      <c r="K619" s="59">
        <v>46148</v>
      </c>
      <c r="L619" s="59">
        <v>46179</v>
      </c>
      <c r="M619" s="7"/>
    </row>
    <row r="620" spans="1:13" x14ac:dyDescent="0.35">
      <c r="A620" s="58" t="s">
        <v>1473</v>
      </c>
      <c r="B620" s="59">
        <v>46148</v>
      </c>
      <c r="C620" s="93" t="s">
        <v>249</v>
      </c>
      <c r="D620" s="93" t="s">
        <v>287</v>
      </c>
      <c r="E620" s="226">
        <v>7033889876</v>
      </c>
      <c r="F620" s="93" t="str">
        <f>'Membership Level'!A12</f>
        <v>Swimming Moth</v>
      </c>
      <c r="G620" s="93" t="s">
        <v>248</v>
      </c>
      <c r="H620" s="75">
        <v>4400</v>
      </c>
      <c r="I620" s="75">
        <v>4400</v>
      </c>
      <c r="J620" s="61"/>
      <c r="K620" s="353">
        <v>46160</v>
      </c>
      <c r="L620" s="59">
        <v>46179</v>
      </c>
      <c r="M620" s="7"/>
    </row>
    <row r="621" spans="1:13" s="10" customFormat="1" x14ac:dyDescent="0.35">
      <c r="A621" s="79" t="s">
        <v>1474</v>
      </c>
      <c r="B621" s="100">
        <v>46148</v>
      </c>
      <c r="C621" s="248" t="s">
        <v>222</v>
      </c>
      <c r="D621" s="248" t="s">
        <v>1540</v>
      </c>
      <c r="E621" s="283"/>
      <c r="F621" s="248" t="str">
        <f>'Membership Level'!A12</f>
        <v>Swimming Moth</v>
      </c>
      <c r="G621" s="248" t="s">
        <v>248</v>
      </c>
      <c r="H621" s="98">
        <v>2000</v>
      </c>
      <c r="I621" s="98">
        <v>2000</v>
      </c>
      <c r="J621" s="99"/>
      <c r="K621" s="100">
        <v>46148</v>
      </c>
      <c r="L621" s="100">
        <v>46179</v>
      </c>
      <c r="M621" s="79"/>
    </row>
    <row r="622" spans="1:13" s="10" customFormat="1" x14ac:dyDescent="0.35">
      <c r="A622" s="79" t="s">
        <v>1475</v>
      </c>
      <c r="B622" s="100">
        <v>46148</v>
      </c>
      <c r="C622" s="248" t="s">
        <v>333</v>
      </c>
      <c r="D622" s="248" t="s">
        <v>1541</v>
      </c>
      <c r="E622" s="283"/>
      <c r="F622" s="248" t="str">
        <f>'Membership Level'!A12</f>
        <v>Swimming Moth</v>
      </c>
      <c r="G622" s="248" t="s">
        <v>248</v>
      </c>
      <c r="H622" s="98">
        <v>2000</v>
      </c>
      <c r="I622" s="98">
        <v>2000</v>
      </c>
      <c r="J622" s="99"/>
      <c r="K622" s="100">
        <v>46148</v>
      </c>
      <c r="L622" s="100">
        <v>46179</v>
      </c>
      <c r="M622" s="79"/>
    </row>
    <row r="623" spans="1:13" s="10" customFormat="1" x14ac:dyDescent="0.35">
      <c r="A623" s="79" t="s">
        <v>1476</v>
      </c>
      <c r="B623" s="100">
        <v>46149</v>
      </c>
      <c r="C623" s="248"/>
      <c r="D623" s="248" t="s">
        <v>1542</v>
      </c>
      <c r="E623" s="283">
        <v>9621494445</v>
      </c>
      <c r="F623" s="248" t="str">
        <f>'Membership Level'!A12</f>
        <v>Swimming Moth</v>
      </c>
      <c r="G623" s="248" t="s">
        <v>257</v>
      </c>
      <c r="H623" s="98">
        <v>3500</v>
      </c>
      <c r="I623" s="98">
        <v>3500</v>
      </c>
      <c r="J623" s="99"/>
      <c r="K623" s="100">
        <v>46149</v>
      </c>
      <c r="L623" s="100">
        <v>46180</v>
      </c>
      <c r="M623" s="79"/>
    </row>
    <row r="624" spans="1:13" s="10" customFormat="1" x14ac:dyDescent="0.35">
      <c r="A624" s="79" t="s">
        <v>1477</v>
      </c>
      <c r="B624" s="100">
        <v>46149</v>
      </c>
      <c r="C624" s="248" t="s">
        <v>1544</v>
      </c>
      <c r="D624" s="248" t="s">
        <v>1543</v>
      </c>
      <c r="E624" s="283">
        <v>9621494445</v>
      </c>
      <c r="F624" s="248" t="str">
        <f>'Membership Level'!A12</f>
        <v>Swimming Moth</v>
      </c>
      <c r="G624" s="248" t="s">
        <v>248</v>
      </c>
      <c r="H624" s="98">
        <v>3500</v>
      </c>
      <c r="I624" s="98">
        <v>3500</v>
      </c>
      <c r="J624" s="99"/>
      <c r="K624" s="100">
        <v>46149</v>
      </c>
      <c r="L624" s="100">
        <f>DATE(YEAR(K624),MONTH(K624)+VLOOKUP($F622,'Membership Level'!$A$3:$B$15,2,FALSE),DAY(K624))</f>
        <v>46180</v>
      </c>
      <c r="M624" s="79"/>
    </row>
    <row r="625" spans="1:13" x14ac:dyDescent="0.35">
      <c r="A625" s="58" t="s">
        <v>1478</v>
      </c>
      <c r="B625" s="59">
        <v>46149</v>
      </c>
      <c r="C625" s="93" t="s">
        <v>1545</v>
      </c>
      <c r="D625" s="93" t="s">
        <v>1546</v>
      </c>
      <c r="E625" s="226">
        <v>9112376113</v>
      </c>
      <c r="F625" s="93" t="str">
        <f>'Membership Level'!A12</f>
        <v>Swimming Moth</v>
      </c>
      <c r="G625" s="93" t="s">
        <v>248</v>
      </c>
      <c r="H625" s="75">
        <v>4000</v>
      </c>
      <c r="I625" s="75">
        <v>4000</v>
      </c>
      <c r="J625" s="61"/>
      <c r="K625" s="9">
        <v>46149</v>
      </c>
      <c r="L625" s="59">
        <f>DATE(YEAR(K625),MONTH(K625)+VLOOKUP($F623,'Membership Level'!$A$3:$B$15,2,FALSE),DAY(K625))</f>
        <v>46180</v>
      </c>
      <c r="M625" s="7"/>
    </row>
    <row r="626" spans="1:13" x14ac:dyDescent="0.35">
      <c r="A626" s="58" t="s">
        <v>1479</v>
      </c>
      <c r="B626" s="59">
        <v>46149</v>
      </c>
      <c r="C626" s="93" t="s">
        <v>577</v>
      </c>
      <c r="D626" s="93" t="s">
        <v>681</v>
      </c>
      <c r="E626" s="226">
        <v>8340460266</v>
      </c>
      <c r="F626" s="93" t="str">
        <f>'Membership Level'!A12</f>
        <v>Swimming Moth</v>
      </c>
      <c r="G626" s="93" t="s">
        <v>370</v>
      </c>
      <c r="H626" s="75">
        <v>3500</v>
      </c>
      <c r="I626" s="75">
        <v>3500</v>
      </c>
      <c r="J626" s="61"/>
      <c r="K626" s="9">
        <v>46149</v>
      </c>
      <c r="L626" s="59">
        <f>DATE(YEAR(K626),MONTH(K626)+VLOOKUP($F624,'Membership Level'!$A$3:$B$15,2,FALSE),DAY(K626))</f>
        <v>46180</v>
      </c>
      <c r="M626" s="7"/>
    </row>
    <row r="627" spans="1:13" x14ac:dyDescent="0.35">
      <c r="A627" s="58" t="s">
        <v>1480</v>
      </c>
      <c r="B627" s="59">
        <v>46149</v>
      </c>
      <c r="C627" s="93" t="s">
        <v>577</v>
      </c>
      <c r="D627" s="93" t="s">
        <v>1547</v>
      </c>
      <c r="E627" s="226">
        <v>8340460266</v>
      </c>
      <c r="F627" s="93" t="str">
        <f>'Membership Level'!A12</f>
        <v>Swimming Moth</v>
      </c>
      <c r="G627" s="93" t="s">
        <v>248</v>
      </c>
      <c r="H627" s="75">
        <v>3500</v>
      </c>
      <c r="I627" s="75">
        <v>3500</v>
      </c>
      <c r="J627" s="61"/>
      <c r="K627" s="9">
        <v>46149</v>
      </c>
      <c r="L627" s="59">
        <f>DATE(YEAR(K627),MONTH(K627)+VLOOKUP($F625,'Membership Level'!$A$3:$B$15,2,FALSE),DAY(K627))</f>
        <v>46180</v>
      </c>
      <c r="M627" s="7"/>
    </row>
    <row r="628" spans="1:13" x14ac:dyDescent="0.35">
      <c r="A628" s="58" t="s">
        <v>1481</v>
      </c>
      <c r="B628" s="9">
        <v>46150</v>
      </c>
      <c r="C628" s="93" t="s">
        <v>1549</v>
      </c>
      <c r="D628" s="93" t="s">
        <v>1548</v>
      </c>
      <c r="E628" s="226">
        <v>8863863696</v>
      </c>
      <c r="F628" s="93" t="str">
        <f>'Membership Level'!A12</f>
        <v>Swimming Moth</v>
      </c>
      <c r="G628" s="93" t="s">
        <v>561</v>
      </c>
      <c r="H628" s="75">
        <v>3300</v>
      </c>
      <c r="I628" s="75">
        <v>3300</v>
      </c>
      <c r="J628" s="61"/>
      <c r="K628" s="9">
        <v>46150</v>
      </c>
      <c r="L628" s="59">
        <f>DATE(YEAR(K628),MONTH(K628)+VLOOKUP($F626,'Membership Level'!$A$3:$B$15,2,FALSE),DAY(K628))</f>
        <v>46181</v>
      </c>
      <c r="M628" s="7"/>
    </row>
    <row r="629" spans="1:13" x14ac:dyDescent="0.35">
      <c r="A629" s="58" t="s">
        <v>1482</v>
      </c>
      <c r="B629" s="9">
        <v>46150</v>
      </c>
      <c r="C629" s="93" t="s">
        <v>467</v>
      </c>
      <c r="D629" s="93" t="s">
        <v>1550</v>
      </c>
      <c r="E629" s="226">
        <v>8863863696</v>
      </c>
      <c r="F629" s="93" t="str">
        <f>'Membership Level'!A12</f>
        <v>Swimming Moth</v>
      </c>
      <c r="G629" s="93" t="s">
        <v>561</v>
      </c>
      <c r="H629" s="75">
        <v>3300</v>
      </c>
      <c r="I629" s="75">
        <v>3300</v>
      </c>
      <c r="J629" s="61"/>
      <c r="K629" s="9">
        <v>46150</v>
      </c>
      <c r="L629" s="59">
        <f>DATE(YEAR(K629),MONTH(K629)+VLOOKUP($F627,'Membership Level'!$A$3:$B$15,2,FALSE),DAY(K629))</f>
        <v>46181</v>
      </c>
      <c r="M629" s="7"/>
    </row>
    <row r="630" spans="1:13" x14ac:dyDescent="0.35">
      <c r="A630" s="58" t="s">
        <v>1483</v>
      </c>
      <c r="B630" s="59">
        <v>46150</v>
      </c>
      <c r="C630" s="93" t="s">
        <v>1552</v>
      </c>
      <c r="D630" s="93" t="s">
        <v>1551</v>
      </c>
      <c r="E630" s="235">
        <v>9507611444</v>
      </c>
      <c r="F630" s="241" t="str">
        <f>'Membership Level'!A12</f>
        <v>Swimming Moth</v>
      </c>
      <c r="G630" s="241" t="s">
        <v>297</v>
      </c>
      <c r="H630" s="75">
        <v>3000</v>
      </c>
      <c r="I630" s="75">
        <v>3000</v>
      </c>
      <c r="J630" s="61"/>
      <c r="K630" s="9">
        <v>46150</v>
      </c>
      <c r="L630" s="59">
        <f>DATE(YEAR(K630),MONTH(K630)+VLOOKUP($F628,'Membership Level'!$A$3:$B$15,2,FALSE),DAY(K630))</f>
        <v>46181</v>
      </c>
      <c r="M630" s="7"/>
    </row>
    <row r="631" spans="1:13" x14ac:dyDescent="0.35">
      <c r="A631" s="58" t="s">
        <v>1484</v>
      </c>
      <c r="B631" s="59">
        <v>46151</v>
      </c>
      <c r="C631" s="93" t="s">
        <v>333</v>
      </c>
      <c r="D631" s="93" t="s">
        <v>1553</v>
      </c>
      <c r="E631" s="235">
        <v>9873286977</v>
      </c>
      <c r="F631" s="241" t="str">
        <f>'Membership Level'!A12</f>
        <v>Swimming Moth</v>
      </c>
      <c r="G631" s="241" t="s">
        <v>494</v>
      </c>
      <c r="H631" s="75">
        <v>2500</v>
      </c>
      <c r="I631" s="75">
        <v>2500</v>
      </c>
      <c r="J631" s="61"/>
      <c r="K631" s="9">
        <v>46151</v>
      </c>
      <c r="L631" s="59">
        <f>DATE(YEAR(K631),MONTH(K631)+VLOOKUP($F629,'Membership Level'!$A$3:$B$15,2,FALSE),DAY(K631))</f>
        <v>46182</v>
      </c>
      <c r="M631" s="7"/>
    </row>
    <row r="632" spans="1:13" s="6" customFormat="1" x14ac:dyDescent="0.35">
      <c r="A632" s="58" t="s">
        <v>1485</v>
      </c>
      <c r="B632" s="59">
        <v>46151</v>
      </c>
      <c r="C632" s="241" t="s">
        <v>333</v>
      </c>
      <c r="D632" s="241" t="s">
        <v>1554</v>
      </c>
      <c r="E632" s="235">
        <v>9631905090</v>
      </c>
      <c r="F632" s="241" t="str">
        <f>'Membership Level'!A12</f>
        <v>Swimming Moth</v>
      </c>
      <c r="G632" s="241" t="s">
        <v>494</v>
      </c>
      <c r="H632" s="75">
        <v>2500</v>
      </c>
      <c r="I632" s="75">
        <v>2500</v>
      </c>
      <c r="J632" s="61"/>
      <c r="K632" s="59">
        <v>46151</v>
      </c>
      <c r="L632" s="59">
        <f>DATE(YEAR(K632),MONTH(K632)+VLOOKUP($F630,'Membership Level'!$A$3:$B$15,2,FALSE),DAY(K632))</f>
        <v>46182</v>
      </c>
      <c r="M632" s="7"/>
    </row>
    <row r="633" spans="1:13" x14ac:dyDescent="0.35">
      <c r="A633" s="58" t="s">
        <v>1486</v>
      </c>
      <c r="B633" s="59">
        <v>46151</v>
      </c>
      <c r="C633" s="241" t="s">
        <v>333</v>
      </c>
      <c r="D633" s="241" t="s">
        <v>1555</v>
      </c>
      <c r="E633" s="235">
        <v>9771498807</v>
      </c>
      <c r="F633" s="241" t="str">
        <f>'Membership Level'!A12</f>
        <v>Swimming Moth</v>
      </c>
      <c r="G633" s="241" t="s">
        <v>370</v>
      </c>
      <c r="H633" s="75">
        <v>3500</v>
      </c>
      <c r="I633" s="75">
        <v>3500</v>
      </c>
      <c r="J633" s="61"/>
      <c r="K633" s="9">
        <v>46151</v>
      </c>
      <c r="L633" s="59">
        <f>DATE(YEAR(K633),MONTH(K633)+VLOOKUP($F631,'Membership Level'!$A$3:$B$15,2,FALSE),DAY(K633))</f>
        <v>46182</v>
      </c>
      <c r="M633" s="7"/>
    </row>
    <row r="634" spans="1:13" x14ac:dyDescent="0.35">
      <c r="A634" s="58" t="s">
        <v>1487</v>
      </c>
      <c r="B634" s="59">
        <v>46151</v>
      </c>
      <c r="C634" s="93" t="s">
        <v>333</v>
      </c>
      <c r="D634" s="93" t="s">
        <v>1556</v>
      </c>
      <c r="E634" s="226">
        <v>9771498807</v>
      </c>
      <c r="F634" s="93" t="str">
        <f>'Membership Level'!A12</f>
        <v>Swimming Moth</v>
      </c>
      <c r="G634" s="93" t="s">
        <v>370</v>
      </c>
      <c r="H634" s="75">
        <v>3500</v>
      </c>
      <c r="I634" s="75">
        <v>3500</v>
      </c>
      <c r="J634" s="61"/>
      <c r="K634" s="9">
        <v>46151</v>
      </c>
      <c r="L634" s="59">
        <f>DATE(YEAR(K634),MONTH(K634)+VLOOKUP($F632,'Membership Level'!$A$3:$B$15,2,FALSE),DAY(K634))</f>
        <v>46182</v>
      </c>
      <c r="M634" s="7"/>
    </row>
    <row r="635" spans="1:13" x14ac:dyDescent="0.35">
      <c r="A635" s="58" t="s">
        <v>1488</v>
      </c>
      <c r="B635" s="59">
        <v>46151</v>
      </c>
      <c r="C635" s="93" t="s">
        <v>550</v>
      </c>
      <c r="D635" s="93" t="s">
        <v>465</v>
      </c>
      <c r="E635" s="226">
        <v>9304888417</v>
      </c>
      <c r="F635" s="93" t="str">
        <f>'Membership Level'!A12</f>
        <v>Swimming Moth</v>
      </c>
      <c r="G635" s="93" t="s">
        <v>1568</v>
      </c>
      <c r="H635" s="75">
        <v>3500</v>
      </c>
      <c r="I635" s="75">
        <v>3500</v>
      </c>
      <c r="J635" s="61"/>
      <c r="K635" s="300">
        <v>46156</v>
      </c>
      <c r="L635" s="300">
        <f>DATE(YEAR(K635),MONTH(K635)+VLOOKUP($F633,'Membership Level'!$A$3:$B$15,2,FALSE),DAY(K635))</f>
        <v>46187</v>
      </c>
      <c r="M635" s="7"/>
    </row>
    <row r="636" spans="1:13" x14ac:dyDescent="0.35">
      <c r="A636" s="58" t="s">
        <v>1489</v>
      </c>
      <c r="B636" s="59">
        <v>46151</v>
      </c>
      <c r="C636" s="93" t="s">
        <v>550</v>
      </c>
      <c r="D636" s="93" t="s">
        <v>1562</v>
      </c>
      <c r="E636" s="226">
        <v>9304888417</v>
      </c>
      <c r="F636" s="93" t="str">
        <f>'Membership Level'!A12</f>
        <v>Swimming Moth</v>
      </c>
      <c r="G636" s="93" t="s">
        <v>1772</v>
      </c>
      <c r="H636" s="75">
        <v>3500</v>
      </c>
      <c r="I636" s="75">
        <v>3500</v>
      </c>
      <c r="J636" s="61"/>
      <c r="K636" s="300">
        <v>46156</v>
      </c>
      <c r="L636" s="300">
        <f>DATE(YEAR(K636),MONTH(K636)+VLOOKUP($F634,'Membership Level'!$A$3:$B$15,2,FALSE),DAY(K636))</f>
        <v>46187</v>
      </c>
      <c r="M636" s="7"/>
    </row>
    <row r="637" spans="1:13" x14ac:dyDescent="0.35">
      <c r="A637" s="58" t="s">
        <v>1490</v>
      </c>
      <c r="B637" s="59">
        <v>46151</v>
      </c>
      <c r="C637" s="93" t="s">
        <v>202</v>
      </c>
      <c r="D637" s="93" t="s">
        <v>1563</v>
      </c>
      <c r="E637" s="226">
        <v>9304888417</v>
      </c>
      <c r="F637" s="93" t="str">
        <f>'Membership Level'!A12</f>
        <v>Swimming Moth</v>
      </c>
      <c r="G637" s="93" t="s">
        <v>248</v>
      </c>
      <c r="H637" s="75">
        <v>4000</v>
      </c>
      <c r="I637" s="75">
        <v>4000</v>
      </c>
      <c r="J637" s="61"/>
      <c r="K637" s="300">
        <v>46156</v>
      </c>
      <c r="L637" s="300">
        <f>DATE(YEAR(K637),MONTH(K637)+VLOOKUP($F635,'Membership Level'!$A$3:$B$15,2,FALSE),DAY(K637))</f>
        <v>46187</v>
      </c>
      <c r="M637" s="7"/>
    </row>
    <row r="638" spans="1:13" x14ac:dyDescent="0.35">
      <c r="A638" s="58" t="s">
        <v>1491</v>
      </c>
      <c r="B638" s="59">
        <v>46151</v>
      </c>
      <c r="C638" s="93" t="s">
        <v>202</v>
      </c>
      <c r="D638" s="93" t="s">
        <v>1564</v>
      </c>
      <c r="E638" s="226">
        <v>8102432513</v>
      </c>
      <c r="F638" s="93" t="str">
        <f>'Membership Level'!A12</f>
        <v>Swimming Moth</v>
      </c>
      <c r="G638" s="93" t="s">
        <v>1170</v>
      </c>
      <c r="H638" s="75">
        <v>2500</v>
      </c>
      <c r="I638" s="75">
        <v>2500</v>
      </c>
      <c r="J638" s="61"/>
      <c r="K638" s="9">
        <v>46151</v>
      </c>
      <c r="L638" s="59">
        <f>DATE(YEAR(K638),MONTH(K638)+VLOOKUP($F636,'Membership Level'!$A$3:$B$15,2,FALSE),DAY(K638))</f>
        <v>46182</v>
      </c>
      <c r="M638" s="7"/>
    </row>
    <row r="639" spans="1:13" x14ac:dyDescent="0.35">
      <c r="A639" s="58" t="s">
        <v>1492</v>
      </c>
      <c r="B639" s="59">
        <v>46151</v>
      </c>
      <c r="C639" s="93"/>
      <c r="D639" s="93" t="s">
        <v>307</v>
      </c>
      <c r="E639" s="226">
        <v>9458656575</v>
      </c>
      <c r="F639" s="93"/>
      <c r="G639" s="93" t="s">
        <v>1417</v>
      </c>
      <c r="H639" s="75">
        <v>1000</v>
      </c>
      <c r="I639" s="75">
        <v>1000</v>
      </c>
      <c r="J639" s="61"/>
      <c r="K639" s="9">
        <v>46151</v>
      </c>
      <c r="L639" s="59">
        <f>DATE(YEAR(K639),MONTH(K639)+VLOOKUP($F637,'Membership Level'!$A$3:$B$15,2,FALSE),DAY(K639))</f>
        <v>46182</v>
      </c>
      <c r="M639" s="7"/>
    </row>
    <row r="640" spans="1:13" x14ac:dyDescent="0.35">
      <c r="A640" s="58" t="s">
        <v>1493</v>
      </c>
      <c r="B640" s="59">
        <v>46151</v>
      </c>
      <c r="C640" s="93"/>
      <c r="D640" s="93" t="s">
        <v>1565</v>
      </c>
      <c r="E640" s="226">
        <v>9458656575</v>
      </c>
      <c r="F640" s="93"/>
      <c r="G640" s="93" t="s">
        <v>1417</v>
      </c>
      <c r="H640" s="75">
        <v>1000</v>
      </c>
      <c r="I640" s="75">
        <v>1000</v>
      </c>
      <c r="J640" s="61"/>
      <c r="K640" s="9">
        <v>46151</v>
      </c>
      <c r="L640" s="59">
        <f>DATE(YEAR(K640),MONTH(K640)+VLOOKUP($F638,'Membership Level'!$A$3:$B$15,2,FALSE),DAY(K640))</f>
        <v>46182</v>
      </c>
      <c r="M640" s="7"/>
    </row>
    <row r="641" spans="1:13" x14ac:dyDescent="0.35">
      <c r="A641" s="58" t="s">
        <v>1494</v>
      </c>
      <c r="B641" s="59">
        <v>46151</v>
      </c>
      <c r="C641" s="93" t="s">
        <v>1567</v>
      </c>
      <c r="D641" s="93" t="s">
        <v>1566</v>
      </c>
      <c r="E641" s="226">
        <v>9995418465</v>
      </c>
      <c r="F641" s="93" t="str">
        <f>'Membership Level'!A12</f>
        <v>Swimming Moth</v>
      </c>
      <c r="G641" s="93" t="s">
        <v>1568</v>
      </c>
      <c r="H641" s="75">
        <v>3800</v>
      </c>
      <c r="I641" s="75">
        <v>3800</v>
      </c>
      <c r="J641" s="61"/>
      <c r="K641" s="9">
        <v>46151</v>
      </c>
      <c r="L641" s="59">
        <v>46182</v>
      </c>
      <c r="M641" s="7"/>
    </row>
    <row r="642" spans="1:13" x14ac:dyDescent="0.35">
      <c r="A642" s="58" t="s">
        <v>1495</v>
      </c>
      <c r="B642" s="59">
        <v>46151</v>
      </c>
      <c r="C642" s="93"/>
      <c r="D642" s="93" t="s">
        <v>1569</v>
      </c>
      <c r="E642" s="226">
        <v>9905833209</v>
      </c>
      <c r="F642" s="93" t="str">
        <f>'Membership Level'!A12</f>
        <v>Swimming Moth</v>
      </c>
      <c r="G642" s="93" t="s">
        <v>370</v>
      </c>
      <c r="H642" s="75">
        <v>3500</v>
      </c>
      <c r="I642" s="75">
        <v>3500</v>
      </c>
      <c r="J642" s="61"/>
      <c r="K642" s="9">
        <v>46151</v>
      </c>
      <c r="L642" s="59">
        <v>46182</v>
      </c>
      <c r="M642" s="7"/>
    </row>
    <row r="643" spans="1:13" x14ac:dyDescent="0.35">
      <c r="A643" s="58" t="s">
        <v>1496</v>
      </c>
      <c r="B643" s="59">
        <v>46151</v>
      </c>
      <c r="C643" s="93" t="s">
        <v>202</v>
      </c>
      <c r="D643" s="93" t="s">
        <v>1760</v>
      </c>
      <c r="E643" s="226">
        <v>9525647975</v>
      </c>
      <c r="F643" s="93" t="str">
        <f>'Membership Level'!A12</f>
        <v>Swimming Moth</v>
      </c>
      <c r="G643" s="93" t="s">
        <v>1290</v>
      </c>
      <c r="H643" s="75">
        <v>1800</v>
      </c>
      <c r="I643" s="75">
        <v>1800</v>
      </c>
      <c r="J643" s="61"/>
      <c r="K643" s="9">
        <v>46151</v>
      </c>
      <c r="L643" s="59">
        <f>DATE(YEAR(K643),MONTH(K643)+VLOOKUP($F641,'Membership Level'!$A$3:$B$15,2,FALSE),DAY(K643))</f>
        <v>46182</v>
      </c>
      <c r="M643" s="7"/>
    </row>
    <row r="644" spans="1:13" x14ac:dyDescent="0.35">
      <c r="A644" s="58" t="s">
        <v>1497</v>
      </c>
      <c r="B644" s="59">
        <v>46151</v>
      </c>
      <c r="C644" s="93" t="s">
        <v>892</v>
      </c>
      <c r="D644" s="93" t="s">
        <v>1570</v>
      </c>
      <c r="E644" s="226">
        <v>9525647975</v>
      </c>
      <c r="F644" s="93" t="str">
        <f>'Membership Level'!A12</f>
        <v>Swimming Moth</v>
      </c>
      <c r="G644" s="93" t="s">
        <v>379</v>
      </c>
      <c r="H644" s="75">
        <v>1800</v>
      </c>
      <c r="I644" s="75">
        <v>1800</v>
      </c>
      <c r="J644" s="61"/>
      <c r="K644" s="9">
        <v>46151</v>
      </c>
      <c r="L644" s="59">
        <f>DATE(YEAR(K644),MONTH(K644)+VLOOKUP($F642,'Membership Level'!$A$3:$B$15,2,FALSE),DAY(K644))</f>
        <v>46182</v>
      </c>
      <c r="M644" s="7"/>
    </row>
    <row r="645" spans="1:13" x14ac:dyDescent="0.35">
      <c r="A645" s="58" t="s">
        <v>1498</v>
      </c>
      <c r="B645" s="59">
        <v>46151</v>
      </c>
      <c r="C645" s="93" t="s">
        <v>249</v>
      </c>
      <c r="D645" s="93" t="s">
        <v>1571</v>
      </c>
      <c r="E645" s="226">
        <v>9852087574</v>
      </c>
      <c r="F645" s="93" t="str">
        <f>'Membership Level'!A12</f>
        <v>Swimming Moth</v>
      </c>
      <c r="G645" s="93" t="s">
        <v>1170</v>
      </c>
      <c r="H645" s="75">
        <v>2500</v>
      </c>
      <c r="I645" s="75">
        <v>2500</v>
      </c>
      <c r="J645" s="61"/>
      <c r="K645" s="9">
        <v>46151</v>
      </c>
      <c r="L645" s="59">
        <f>DATE(YEAR(K645),MONTH(K645)+VLOOKUP($F643,'Membership Level'!$A$3:$B$15,2,FALSE),DAY(K645))</f>
        <v>46182</v>
      </c>
      <c r="M645" s="7"/>
    </row>
    <row r="646" spans="1:13" x14ac:dyDescent="0.35">
      <c r="A646" s="58" t="s">
        <v>1499</v>
      </c>
      <c r="B646" s="59">
        <v>46151</v>
      </c>
      <c r="C646" s="93" t="s">
        <v>336</v>
      </c>
      <c r="D646" s="93" t="s">
        <v>1572</v>
      </c>
      <c r="E646" s="226">
        <v>9973148989</v>
      </c>
      <c r="F646" s="93" t="str">
        <f>'Membership Level'!A12</f>
        <v>Swimming Moth</v>
      </c>
      <c r="G646" s="93" t="s">
        <v>1568</v>
      </c>
      <c r="H646" s="75">
        <v>3800</v>
      </c>
      <c r="I646" s="75">
        <v>3800</v>
      </c>
      <c r="J646" s="61"/>
      <c r="K646" s="9">
        <v>46151</v>
      </c>
      <c r="L646" s="59">
        <f>DATE(YEAR(K646),MONTH(K646)+VLOOKUP($F644,'Membership Level'!$A$3:$B$15,2,FALSE),DAY(K646))</f>
        <v>46182</v>
      </c>
      <c r="M646" s="7"/>
    </row>
    <row r="647" spans="1:13" x14ac:dyDescent="0.35">
      <c r="A647" s="58" t="s">
        <v>1500</v>
      </c>
      <c r="B647" s="59">
        <v>46151</v>
      </c>
      <c r="C647" s="93"/>
      <c r="D647" s="93" t="s">
        <v>1573</v>
      </c>
      <c r="E647" s="226">
        <v>8709550741</v>
      </c>
      <c r="F647" s="93" t="str">
        <f>'Membership Level'!A12</f>
        <v>Swimming Moth</v>
      </c>
      <c r="G647" s="93" t="s">
        <v>1568</v>
      </c>
      <c r="H647" s="75">
        <v>3500</v>
      </c>
      <c r="I647" s="75">
        <v>3500</v>
      </c>
      <c r="J647" s="61"/>
      <c r="K647" s="9">
        <v>46151</v>
      </c>
      <c r="L647" s="59">
        <f>DATE(YEAR(K647),MONTH(K647)+VLOOKUP($F645,'Membership Level'!$A$3:$B$15,2,FALSE),DAY(K647))</f>
        <v>46182</v>
      </c>
      <c r="M647" s="7"/>
    </row>
    <row r="648" spans="1:13" s="82" customFormat="1" x14ac:dyDescent="0.35">
      <c r="A648" s="58" t="s">
        <v>1501</v>
      </c>
      <c r="B648" s="59">
        <v>46151</v>
      </c>
      <c r="C648" s="93"/>
      <c r="D648" s="93" t="s">
        <v>1574</v>
      </c>
      <c r="E648" s="226">
        <v>8709550741</v>
      </c>
      <c r="F648" s="93" t="str">
        <f>'Membership Level'!A12</f>
        <v>Swimming Moth</v>
      </c>
      <c r="G648" s="93" t="s">
        <v>1568</v>
      </c>
      <c r="H648" s="75">
        <v>3500</v>
      </c>
      <c r="I648" s="75">
        <v>3500</v>
      </c>
      <c r="J648" s="61"/>
      <c r="K648" s="9">
        <v>46151</v>
      </c>
      <c r="L648" s="59">
        <f>DATE(YEAR(K648),MONTH(K648)+VLOOKUP($F646,'Membership Level'!$A$3:$B$15,2,FALSE),DAY(K648))</f>
        <v>46182</v>
      </c>
      <c r="M648" s="7"/>
    </row>
    <row r="649" spans="1:13" x14ac:dyDescent="0.35">
      <c r="A649" s="58" t="s">
        <v>1502</v>
      </c>
      <c r="B649" s="59">
        <v>46151</v>
      </c>
      <c r="C649" s="93"/>
      <c r="D649" s="93" t="s">
        <v>1006</v>
      </c>
      <c r="E649" s="226">
        <v>7903580803</v>
      </c>
      <c r="F649" s="93" t="str">
        <f>'Membership Level'!A12</f>
        <v>Swimming Moth</v>
      </c>
      <c r="G649" s="93" t="s">
        <v>1568</v>
      </c>
      <c r="H649" s="75">
        <v>3500</v>
      </c>
      <c r="I649" s="75">
        <v>3500</v>
      </c>
      <c r="J649" s="61"/>
      <c r="K649" s="9">
        <v>46151</v>
      </c>
      <c r="L649" s="59">
        <f>DATE(YEAR(K649),MONTH(K649)+VLOOKUP($F647,'Membership Level'!$A$3:$B$15,2,FALSE),DAY(K649))</f>
        <v>46182</v>
      </c>
      <c r="M649" s="7"/>
    </row>
    <row r="650" spans="1:13" x14ac:dyDescent="0.35">
      <c r="A650" s="58" t="s">
        <v>1503</v>
      </c>
      <c r="B650" s="59">
        <v>46151</v>
      </c>
      <c r="C650" s="93" t="s">
        <v>1157</v>
      </c>
      <c r="D650" s="93" t="s">
        <v>465</v>
      </c>
      <c r="E650" s="226">
        <v>7909088218</v>
      </c>
      <c r="F650" s="93" t="str">
        <f>'Membership Level'!A12</f>
        <v>Swimming Moth</v>
      </c>
      <c r="G650" s="93" t="s">
        <v>1290</v>
      </c>
      <c r="H650" s="75">
        <v>2800</v>
      </c>
      <c r="I650" s="75">
        <v>2800</v>
      </c>
      <c r="J650" s="61"/>
      <c r="K650" s="9">
        <v>46151</v>
      </c>
      <c r="L650" s="59">
        <f>DATE(YEAR(K650),MONTH(K650)+VLOOKUP($F648,'Membership Level'!$A$3:$B$15,2,FALSE),DAY(K650))</f>
        <v>46182</v>
      </c>
      <c r="M650" s="7"/>
    </row>
    <row r="651" spans="1:13" s="11" customFormat="1" x14ac:dyDescent="0.35">
      <c r="A651" s="58" t="s">
        <v>1504</v>
      </c>
      <c r="B651" s="59">
        <v>46151</v>
      </c>
      <c r="C651" s="93" t="s">
        <v>1576</v>
      </c>
      <c r="D651" s="93" t="s">
        <v>1575</v>
      </c>
      <c r="E651" s="226">
        <v>7070002366</v>
      </c>
      <c r="F651" s="93" t="str">
        <f>'Membership Level'!A12</f>
        <v>Swimming Moth</v>
      </c>
      <c r="G651" s="93" t="s">
        <v>1568</v>
      </c>
      <c r="H651" s="75">
        <v>3800</v>
      </c>
      <c r="I651" s="75">
        <v>3800</v>
      </c>
      <c r="J651" s="61"/>
      <c r="K651" s="9">
        <v>46151</v>
      </c>
      <c r="L651" s="59">
        <f>DATE(YEAR(K651),MONTH(K651)+VLOOKUP($F649,'Membership Level'!$A$3:$B$15,2,FALSE),DAY(K651))</f>
        <v>46182</v>
      </c>
      <c r="M651" s="7"/>
    </row>
    <row r="652" spans="1:13" s="83" customFormat="1" x14ac:dyDescent="0.35">
      <c r="A652" s="58" t="s">
        <v>1505</v>
      </c>
      <c r="B652" s="59">
        <v>46151</v>
      </c>
      <c r="C652" s="93" t="s">
        <v>333</v>
      </c>
      <c r="D652" s="93" t="s">
        <v>302</v>
      </c>
      <c r="E652" s="226">
        <v>7839890665</v>
      </c>
      <c r="F652" s="93" t="str">
        <f>'Membership Level'!A12</f>
        <v>Swimming Moth</v>
      </c>
      <c r="G652" s="93" t="s">
        <v>248</v>
      </c>
      <c r="H652" s="75">
        <v>4000</v>
      </c>
      <c r="I652" s="75">
        <v>4000</v>
      </c>
      <c r="J652" s="61"/>
      <c r="K652" s="9">
        <v>46151</v>
      </c>
      <c r="L652" s="59">
        <f>DATE(YEAR(K652),MONTH(K652)+VLOOKUP($F650,'Membership Level'!$A$3:$B$15,2,FALSE),DAY(K652))</f>
        <v>46182</v>
      </c>
      <c r="M652" s="7"/>
    </row>
    <row r="653" spans="1:13" s="84" customFormat="1" x14ac:dyDescent="0.35">
      <c r="A653" s="58" t="s">
        <v>1506</v>
      </c>
      <c r="B653" s="59">
        <v>46152</v>
      </c>
      <c r="C653" s="93"/>
      <c r="D653" s="93" t="s">
        <v>464</v>
      </c>
      <c r="E653" s="226">
        <v>7091495979</v>
      </c>
      <c r="F653" s="93" t="str">
        <f>'Membership Level'!A12</f>
        <v>Swimming Moth</v>
      </c>
      <c r="G653" s="93" t="s">
        <v>1290</v>
      </c>
      <c r="H653" s="75">
        <v>2800</v>
      </c>
      <c r="I653" s="75">
        <v>2800</v>
      </c>
      <c r="J653" s="61"/>
      <c r="K653" s="9">
        <v>46152</v>
      </c>
      <c r="L653" s="59">
        <f>DATE(YEAR(K653),MONTH(K653)+VLOOKUP($F651,'Membership Level'!$A$3:$B$15,2,FALSE),DAY(K653))</f>
        <v>46183</v>
      </c>
      <c r="M653" s="7"/>
    </row>
    <row r="654" spans="1:13" x14ac:dyDescent="0.35">
      <c r="A654" s="58" t="s">
        <v>1507</v>
      </c>
      <c r="B654" s="59">
        <v>46152</v>
      </c>
      <c r="C654" s="93" t="s">
        <v>1545</v>
      </c>
      <c r="D654" s="93" t="s">
        <v>564</v>
      </c>
      <c r="E654" s="226">
        <v>8802999041</v>
      </c>
      <c r="F654" s="93" t="str">
        <f>'Membership Level'!A12</f>
        <v>Swimming Moth</v>
      </c>
      <c r="G654" s="93" t="s">
        <v>1568</v>
      </c>
      <c r="H654" s="75">
        <v>3800</v>
      </c>
      <c r="I654" s="75">
        <v>3800</v>
      </c>
      <c r="J654" s="61"/>
      <c r="K654" s="9">
        <v>46152</v>
      </c>
      <c r="L654" s="59">
        <f>DATE(YEAR(K654),MONTH(K654)+VLOOKUP($F652,'Membership Level'!$A$3:$B$15,2,FALSE),DAY(K654))</f>
        <v>46183</v>
      </c>
      <c r="M654" s="7"/>
    </row>
    <row r="655" spans="1:13" x14ac:dyDescent="0.35">
      <c r="A655" s="58" t="s">
        <v>1508</v>
      </c>
      <c r="B655" s="59">
        <v>46152</v>
      </c>
      <c r="C655" s="93" t="s">
        <v>333</v>
      </c>
      <c r="D655" s="93" t="s">
        <v>614</v>
      </c>
      <c r="E655" s="226">
        <v>9818358944</v>
      </c>
      <c r="F655" s="93" t="str">
        <f>'Membership Level'!A12</f>
        <v>Swimming Moth</v>
      </c>
      <c r="G655" s="93" t="s">
        <v>370</v>
      </c>
      <c r="H655" s="75">
        <v>3500</v>
      </c>
      <c r="I655" s="75">
        <v>3500</v>
      </c>
      <c r="J655" s="61"/>
      <c r="K655" s="9">
        <v>46152</v>
      </c>
      <c r="L655" s="59">
        <f>DATE(YEAR(K655),MONTH(K655)+VLOOKUP($F653,'Membership Level'!$A$3:$B$15,2,FALSE),DAY(K655))</f>
        <v>46183</v>
      </c>
      <c r="M655" s="7"/>
    </row>
    <row r="656" spans="1:13" x14ac:dyDescent="0.35">
      <c r="A656" s="58" t="s">
        <v>1509</v>
      </c>
      <c r="B656" s="59">
        <v>46152</v>
      </c>
      <c r="C656" s="93" t="s">
        <v>1578</v>
      </c>
      <c r="D656" s="93" t="s">
        <v>1577</v>
      </c>
      <c r="E656" s="226">
        <v>9631006700</v>
      </c>
      <c r="F656" s="93" t="str">
        <f>'Membership Level'!A12</f>
        <v>Swimming Moth</v>
      </c>
      <c r="G656" s="93" t="s">
        <v>1580</v>
      </c>
      <c r="H656" s="75">
        <v>2200</v>
      </c>
      <c r="I656" s="75">
        <v>2200</v>
      </c>
      <c r="J656" s="61"/>
      <c r="K656" s="59">
        <v>46152</v>
      </c>
      <c r="L656" s="59">
        <f>DATE(YEAR(K656),MONTH(K656)+VLOOKUP($F654,'Membership Level'!$A$3:$B$15,2,FALSE),DAY(K656))</f>
        <v>46183</v>
      </c>
      <c r="M656" s="7"/>
    </row>
    <row r="657" spans="1:13" x14ac:dyDescent="0.35">
      <c r="A657" s="58" t="s">
        <v>1510</v>
      </c>
      <c r="B657" s="59">
        <v>46152</v>
      </c>
      <c r="C657" s="93" t="s">
        <v>1578</v>
      </c>
      <c r="D657" s="93" t="s">
        <v>1579</v>
      </c>
      <c r="E657" s="226">
        <v>9631006700</v>
      </c>
      <c r="F657" s="93" t="str">
        <f>'Membership Level'!A12</f>
        <v>Swimming Moth</v>
      </c>
      <c r="G657" s="93" t="s">
        <v>1580</v>
      </c>
      <c r="H657" s="75">
        <v>2200</v>
      </c>
      <c r="I657" s="75">
        <v>2200</v>
      </c>
      <c r="J657" s="61"/>
      <c r="K657" s="59">
        <v>46152</v>
      </c>
      <c r="L657" s="59">
        <f>DATE(YEAR(K657),MONTH(K657)+VLOOKUP($F655,'Membership Level'!$A$3:$B$15,2,FALSE),DAY(K657))</f>
        <v>46183</v>
      </c>
      <c r="M657" s="7"/>
    </row>
    <row r="658" spans="1:13" x14ac:dyDescent="0.35">
      <c r="A658" s="58" t="s">
        <v>1511</v>
      </c>
      <c r="B658" s="59">
        <v>46152</v>
      </c>
      <c r="C658" s="93" t="s">
        <v>1249</v>
      </c>
      <c r="D658" s="93" t="s">
        <v>1581</v>
      </c>
      <c r="E658" s="226">
        <v>7319615794</v>
      </c>
      <c r="F658" s="93" t="str">
        <f>'Membership Level'!A12</f>
        <v>Swimming Moth</v>
      </c>
      <c r="G658" s="93" t="s">
        <v>561</v>
      </c>
      <c r="H658" s="75">
        <v>3300</v>
      </c>
      <c r="I658" s="75">
        <v>3300</v>
      </c>
      <c r="J658" s="61"/>
      <c r="K658" s="59">
        <v>46152</v>
      </c>
      <c r="L658" s="59">
        <f>DATE(YEAR(K658),MONTH(K658)+VLOOKUP($F656,'Membership Level'!$A$3:$B$15,2,FALSE),DAY(K658))</f>
        <v>46183</v>
      </c>
      <c r="M658" s="7"/>
    </row>
    <row r="659" spans="1:13" x14ac:dyDescent="0.35">
      <c r="A659" s="58" t="s">
        <v>1512</v>
      </c>
      <c r="B659" s="59">
        <v>46152</v>
      </c>
      <c r="C659" s="93" t="s">
        <v>1321</v>
      </c>
      <c r="D659" s="93" t="s">
        <v>733</v>
      </c>
      <c r="E659" s="226">
        <v>8591919515</v>
      </c>
      <c r="F659" s="93" t="str">
        <f>'Membership Level'!A12</f>
        <v>Swimming Moth</v>
      </c>
      <c r="G659" s="93" t="s">
        <v>1568</v>
      </c>
      <c r="H659" s="75">
        <v>3800</v>
      </c>
      <c r="I659" s="75">
        <v>3800</v>
      </c>
      <c r="J659" s="61"/>
      <c r="K659" s="59">
        <v>46152</v>
      </c>
      <c r="L659" s="59">
        <f>DATE(YEAR(K659),MONTH(K659)+VLOOKUP($F657,'Membership Level'!$A$3:$B$15,2,FALSE),DAY(K659))</f>
        <v>46183</v>
      </c>
      <c r="M659" s="7"/>
    </row>
    <row r="660" spans="1:13" x14ac:dyDescent="0.35">
      <c r="A660" s="58" t="s">
        <v>1513</v>
      </c>
      <c r="B660" s="59">
        <v>46152</v>
      </c>
      <c r="C660" s="93" t="s">
        <v>1583</v>
      </c>
      <c r="D660" s="93" t="s">
        <v>1582</v>
      </c>
      <c r="E660" s="226">
        <v>9905146414</v>
      </c>
      <c r="F660" s="93" t="str">
        <f>'Membership Level'!A12</f>
        <v>Swimming Moth</v>
      </c>
      <c r="G660" s="93" t="s">
        <v>248</v>
      </c>
      <c r="H660" s="75">
        <v>4400</v>
      </c>
      <c r="I660" s="75">
        <v>4400</v>
      </c>
      <c r="J660" s="61"/>
      <c r="K660" s="59">
        <v>46152</v>
      </c>
      <c r="L660" s="59">
        <f>DATE(YEAR(K660),MONTH(K660)+VLOOKUP($F658,'Membership Level'!$A$3:$B$15,2,FALSE),DAY(K660))</f>
        <v>46183</v>
      </c>
      <c r="M660" s="7"/>
    </row>
    <row r="661" spans="1:13" x14ac:dyDescent="0.35">
      <c r="A661" s="58" t="s">
        <v>1514</v>
      </c>
      <c r="B661" s="244">
        <v>46152</v>
      </c>
      <c r="C661" s="93" t="s">
        <v>32</v>
      </c>
      <c r="D661" s="93" t="s">
        <v>1584</v>
      </c>
      <c r="E661" s="226">
        <v>9905146414</v>
      </c>
      <c r="F661" s="93" t="str">
        <f>'Membership Level'!A12</f>
        <v>Swimming Moth</v>
      </c>
      <c r="G661" s="93" t="s">
        <v>1568</v>
      </c>
      <c r="H661" s="75">
        <v>3800</v>
      </c>
      <c r="I661" s="75">
        <v>3800</v>
      </c>
      <c r="J661" s="61"/>
      <c r="K661" s="59">
        <v>46152</v>
      </c>
      <c r="L661" s="59">
        <f>DATE(YEAR(K661),MONTH(K661)+VLOOKUP($F659,'Membership Level'!$A$3:$B$15,2,FALSE),DAY(K661))</f>
        <v>46183</v>
      </c>
      <c r="M661" s="7"/>
    </row>
    <row r="662" spans="1:13" x14ac:dyDescent="0.35">
      <c r="A662" s="58" t="s">
        <v>1515</v>
      </c>
      <c r="B662" s="244">
        <v>46152</v>
      </c>
      <c r="C662" s="93" t="s">
        <v>333</v>
      </c>
      <c r="D662" s="93" t="s">
        <v>746</v>
      </c>
      <c r="E662" s="226">
        <v>9934338872</v>
      </c>
      <c r="F662" s="93"/>
      <c r="G662" s="93" t="s">
        <v>1417</v>
      </c>
      <c r="H662" s="75">
        <v>1000</v>
      </c>
      <c r="I662" s="75">
        <v>1000</v>
      </c>
      <c r="J662" s="61"/>
      <c r="K662" s="59">
        <v>46152</v>
      </c>
      <c r="L662" s="59">
        <f>DATE(YEAR(K662),MONTH(K662)+VLOOKUP($F660,'Membership Level'!$A$3:$B$15,2,FALSE),DAY(K662))</f>
        <v>46183</v>
      </c>
      <c r="M662" s="7"/>
    </row>
    <row r="663" spans="1:13" x14ac:dyDescent="0.35">
      <c r="A663" s="58" t="s">
        <v>1516</v>
      </c>
      <c r="B663" s="244">
        <v>46152</v>
      </c>
      <c r="C663" s="93"/>
      <c r="D663" s="93" t="s">
        <v>1585</v>
      </c>
      <c r="E663" s="226">
        <v>9934338872</v>
      </c>
      <c r="F663" s="93"/>
      <c r="G663" s="93" t="s">
        <v>1417</v>
      </c>
      <c r="H663" s="75">
        <v>1000</v>
      </c>
      <c r="I663" s="75">
        <v>1000</v>
      </c>
      <c r="J663" s="61"/>
      <c r="K663" s="59">
        <v>46152</v>
      </c>
      <c r="L663" s="59">
        <f>DATE(YEAR(K663),MONTH(K663)+VLOOKUP($F661,'Membership Level'!$A$3:$B$15,2,FALSE),DAY(K663))</f>
        <v>46183</v>
      </c>
      <c r="M663" s="7"/>
    </row>
    <row r="664" spans="1:13" x14ac:dyDescent="0.35">
      <c r="A664" s="58" t="s">
        <v>1517</v>
      </c>
      <c r="B664" s="244">
        <v>46152</v>
      </c>
      <c r="C664" s="93" t="s">
        <v>202</v>
      </c>
      <c r="D664" s="93" t="s">
        <v>347</v>
      </c>
      <c r="E664" s="226">
        <v>9934391340</v>
      </c>
      <c r="F664" s="93" t="str">
        <f>'Membership Level'!A12</f>
        <v>Swimming Moth</v>
      </c>
      <c r="G664" s="93" t="s">
        <v>248</v>
      </c>
      <c r="H664" s="75">
        <v>4400</v>
      </c>
      <c r="I664" s="75">
        <v>4400</v>
      </c>
      <c r="J664" s="61"/>
      <c r="K664" s="9">
        <v>46152</v>
      </c>
      <c r="L664" s="59">
        <v>46183</v>
      </c>
      <c r="M664" s="7"/>
    </row>
    <row r="665" spans="1:13" x14ac:dyDescent="0.35">
      <c r="A665" s="58" t="s">
        <v>1518</v>
      </c>
      <c r="B665" s="244">
        <v>46152</v>
      </c>
      <c r="C665" s="93" t="s">
        <v>333</v>
      </c>
      <c r="D665" s="93" t="s">
        <v>1586</v>
      </c>
      <c r="E665" s="226">
        <v>9835514599</v>
      </c>
      <c r="F665" s="93" t="str">
        <f>'Membership Level'!A12</f>
        <v>Swimming Moth</v>
      </c>
      <c r="G665" s="93" t="s">
        <v>1568</v>
      </c>
      <c r="H665" s="75">
        <v>3800</v>
      </c>
      <c r="I665" s="75">
        <v>3800</v>
      </c>
      <c r="J665" s="61"/>
      <c r="K665" s="9">
        <v>46152</v>
      </c>
      <c r="L665" s="59">
        <v>46183</v>
      </c>
      <c r="M665" s="7"/>
    </row>
    <row r="666" spans="1:13" x14ac:dyDescent="0.35">
      <c r="A666" s="58" t="s">
        <v>1519</v>
      </c>
      <c r="B666" s="244">
        <v>46152</v>
      </c>
      <c r="C666" s="93"/>
      <c r="D666" s="93" t="s">
        <v>1587</v>
      </c>
      <c r="E666" s="226">
        <v>8073774462</v>
      </c>
      <c r="F666" s="93" t="str">
        <f>'Membership Level'!A14</f>
        <v>Swimming HY</v>
      </c>
      <c r="G666" s="93" t="s">
        <v>237</v>
      </c>
      <c r="H666" s="75">
        <v>18000</v>
      </c>
      <c r="I666" s="75">
        <v>18000</v>
      </c>
      <c r="J666" s="61"/>
      <c r="K666" s="9">
        <v>46152</v>
      </c>
      <c r="L666" s="59">
        <f>DATE(YEAR(K666),MONTH(K666)+VLOOKUP($F664,'Membership Level'!$A$3:$B$15,2,FALSE),DAY(K666))</f>
        <v>46183</v>
      </c>
      <c r="M666" s="7"/>
    </row>
    <row r="667" spans="1:13" x14ac:dyDescent="0.35">
      <c r="A667" s="58" t="s">
        <v>1520</v>
      </c>
      <c r="B667" s="9">
        <v>46152</v>
      </c>
      <c r="C667" s="93" t="s">
        <v>202</v>
      </c>
      <c r="D667" s="93" t="s">
        <v>1595</v>
      </c>
      <c r="E667" s="226">
        <v>9102004200</v>
      </c>
      <c r="F667" s="93" t="str">
        <f>'Membership Level'!A12</f>
        <v>Swimming Moth</v>
      </c>
      <c r="G667" s="93" t="s">
        <v>370</v>
      </c>
      <c r="H667" s="75">
        <v>3500</v>
      </c>
      <c r="I667" s="75">
        <v>3500</v>
      </c>
      <c r="J667" s="61"/>
      <c r="K667" s="9">
        <v>46152</v>
      </c>
      <c r="L667" s="59">
        <f>DATE(YEAR(K667),MONTH(K667)+VLOOKUP($F665,'Membership Level'!$A$3:$B$15,2,FALSE),DAY(K667))</f>
        <v>46183</v>
      </c>
      <c r="M667" s="7"/>
    </row>
    <row r="668" spans="1:13" x14ac:dyDescent="0.35">
      <c r="A668" s="58" t="s">
        <v>1521</v>
      </c>
      <c r="B668" s="9">
        <v>46152</v>
      </c>
      <c r="C668" s="93" t="s">
        <v>1588</v>
      </c>
      <c r="D668" s="93" t="s">
        <v>982</v>
      </c>
      <c r="E668" s="226">
        <v>9102004200</v>
      </c>
      <c r="F668" s="93" t="str">
        <f>'Membership Level'!A12</f>
        <v>Swimming Moth</v>
      </c>
      <c r="G668" s="93" t="s">
        <v>248</v>
      </c>
      <c r="H668" s="75">
        <v>3500</v>
      </c>
      <c r="I668" s="75">
        <v>3500</v>
      </c>
      <c r="J668" s="61"/>
      <c r="K668" s="9">
        <v>46152</v>
      </c>
      <c r="L668" s="59">
        <f>DATE(YEAR(K668),MONTH(K668)+VLOOKUP($F666,'Membership Level'!$A$3:$B$15,2,FALSE),DAY(K668))</f>
        <v>46336</v>
      </c>
      <c r="M668" s="7"/>
    </row>
    <row r="669" spans="1:13" x14ac:dyDescent="0.35">
      <c r="A669" s="58" t="s">
        <v>1522</v>
      </c>
      <c r="B669" s="244">
        <v>46152</v>
      </c>
      <c r="C669" s="93" t="s">
        <v>249</v>
      </c>
      <c r="D669" s="93" t="s">
        <v>921</v>
      </c>
      <c r="E669" s="226">
        <v>9931904389</v>
      </c>
      <c r="F669" s="93" t="str">
        <f>'Membership Level'!A12</f>
        <v>Swimming Moth</v>
      </c>
      <c r="G669" s="93" t="s">
        <v>248</v>
      </c>
      <c r="H669" s="75">
        <v>4400</v>
      </c>
      <c r="I669" s="75">
        <v>4400</v>
      </c>
      <c r="J669" s="61"/>
      <c r="K669" s="9">
        <v>46152</v>
      </c>
      <c r="L669" s="59">
        <f>DATE(YEAR(K669),MONTH(K669)+VLOOKUP($F667,'Membership Level'!$A$3:$B$15,2,FALSE),DAY(K669))</f>
        <v>46183</v>
      </c>
      <c r="M669" s="7"/>
    </row>
    <row r="670" spans="1:13" x14ac:dyDescent="0.35">
      <c r="A670" s="58" t="s">
        <v>1523</v>
      </c>
      <c r="B670" s="244">
        <v>46152</v>
      </c>
      <c r="C670" s="93" t="s">
        <v>691</v>
      </c>
      <c r="D670" s="93" t="s">
        <v>1589</v>
      </c>
      <c r="E670" s="226">
        <v>8051250001</v>
      </c>
      <c r="F670" s="93" t="str">
        <f>'Membership Level'!A12</f>
        <v>Swimming Moth</v>
      </c>
      <c r="G670" s="93" t="s">
        <v>1568</v>
      </c>
      <c r="H670" s="75">
        <v>3500</v>
      </c>
      <c r="I670" s="75">
        <v>3500</v>
      </c>
      <c r="J670" s="61"/>
      <c r="K670" s="244">
        <v>46152</v>
      </c>
      <c r="L670" s="59">
        <f>DATE(YEAR(K670),MONTH(K670)+VLOOKUP($F668,'Membership Level'!$A$3:$B$15,2,FALSE),DAY(K670))</f>
        <v>46183</v>
      </c>
      <c r="M670" s="7"/>
    </row>
    <row r="671" spans="1:13" x14ac:dyDescent="0.35">
      <c r="A671" s="58" t="s">
        <v>1524</v>
      </c>
      <c r="B671" s="244">
        <v>46152</v>
      </c>
      <c r="C671" s="93" t="s">
        <v>249</v>
      </c>
      <c r="D671" s="93" t="s">
        <v>1590</v>
      </c>
      <c r="E671" s="226">
        <v>6203769592</v>
      </c>
      <c r="F671" s="93" t="str">
        <f>'Membership Level'!A12</f>
        <v>Swimming Moth</v>
      </c>
      <c r="G671" s="93" t="s">
        <v>1568</v>
      </c>
      <c r="H671" s="75">
        <v>3300</v>
      </c>
      <c r="I671" s="75">
        <v>3300</v>
      </c>
      <c r="J671" s="61"/>
      <c r="K671" s="244">
        <v>46152</v>
      </c>
      <c r="L671" s="59">
        <f>DATE(YEAR(K671),MONTH(K671)+VLOOKUP($F669,'Membership Level'!$A$3:$B$15,2,FALSE),DAY(K671))</f>
        <v>46183</v>
      </c>
      <c r="M671" s="7"/>
    </row>
    <row r="672" spans="1:13" x14ac:dyDescent="0.35">
      <c r="A672" s="58" t="s">
        <v>1525</v>
      </c>
      <c r="B672" s="244">
        <v>46152</v>
      </c>
      <c r="C672" s="93" t="s">
        <v>814</v>
      </c>
      <c r="D672" s="93" t="s">
        <v>312</v>
      </c>
      <c r="E672" s="226">
        <v>6203769592</v>
      </c>
      <c r="F672" s="93" t="str">
        <f>'Membership Level'!A12</f>
        <v>Swimming Moth</v>
      </c>
      <c r="G672" s="93" t="s">
        <v>1568</v>
      </c>
      <c r="H672" s="75">
        <v>3300</v>
      </c>
      <c r="I672" s="75">
        <v>3300</v>
      </c>
      <c r="J672" s="61"/>
      <c r="K672" s="244">
        <v>46152</v>
      </c>
      <c r="L672" s="59">
        <f>DATE(YEAR(K672),MONTH(K672)+VLOOKUP($F670,'Membership Level'!$A$3:$B$15,2,FALSE),DAY(K672))</f>
        <v>46183</v>
      </c>
      <c r="M672" s="7"/>
    </row>
    <row r="673" spans="1:13" x14ac:dyDescent="0.35">
      <c r="A673" s="58" t="s">
        <v>1526</v>
      </c>
      <c r="B673" s="244">
        <v>46152</v>
      </c>
      <c r="C673" s="93" t="s">
        <v>1591</v>
      </c>
      <c r="D673" s="93" t="s">
        <v>363</v>
      </c>
      <c r="E673" s="226">
        <v>7667238226</v>
      </c>
      <c r="F673" s="93" t="str">
        <f>'Membership Level'!A12</f>
        <v>Swimming Moth</v>
      </c>
      <c r="G673" s="93" t="s">
        <v>561</v>
      </c>
      <c r="H673" s="75">
        <v>3300</v>
      </c>
      <c r="I673" s="75">
        <v>3300</v>
      </c>
      <c r="J673" s="61"/>
      <c r="K673" s="244">
        <v>46152</v>
      </c>
      <c r="L673" s="59">
        <f>DATE(YEAR(K673),MONTH(K673)+VLOOKUP($F671,'Membership Level'!$A$3:$B$15,2,FALSE),DAY(K673))</f>
        <v>46183</v>
      </c>
      <c r="M673" s="7"/>
    </row>
    <row r="674" spans="1:13" x14ac:dyDescent="0.35">
      <c r="A674" s="58" t="s">
        <v>1527</v>
      </c>
      <c r="B674" s="244">
        <v>46152</v>
      </c>
      <c r="C674" s="93"/>
      <c r="D674" s="93" t="s">
        <v>1592</v>
      </c>
      <c r="E674" s="226">
        <v>7033937642</v>
      </c>
      <c r="F674" s="93" t="str">
        <f>'Membership Level'!A12</f>
        <v>Swimming Moth</v>
      </c>
      <c r="G674" s="93" t="s">
        <v>1568</v>
      </c>
      <c r="H674" s="75">
        <v>3400</v>
      </c>
      <c r="I674" s="75">
        <v>3400</v>
      </c>
      <c r="J674" s="61"/>
      <c r="K674" s="244">
        <v>46152</v>
      </c>
      <c r="L674" s="59">
        <f>DATE(YEAR(K674),MONTH(K674)+VLOOKUP($F672,'Membership Level'!$A$3:$B$15,2,FALSE),DAY(K674))</f>
        <v>46183</v>
      </c>
      <c r="M674" s="7"/>
    </row>
    <row r="675" spans="1:13" x14ac:dyDescent="0.35">
      <c r="A675" s="58" t="s">
        <v>1528</v>
      </c>
      <c r="B675" s="244">
        <v>46152</v>
      </c>
      <c r="C675" s="93" t="s">
        <v>1594</v>
      </c>
      <c r="D675" s="93" t="s">
        <v>1593</v>
      </c>
      <c r="E675" s="226">
        <v>7033937642</v>
      </c>
      <c r="F675" s="93" t="str">
        <f>'Membership Level'!A12</f>
        <v>Swimming Moth</v>
      </c>
      <c r="G675" s="93" t="s">
        <v>1568</v>
      </c>
      <c r="H675" s="75">
        <v>3400</v>
      </c>
      <c r="I675" s="75">
        <v>3400</v>
      </c>
      <c r="J675" s="61"/>
      <c r="K675" s="244">
        <v>46152</v>
      </c>
      <c r="L675" s="59">
        <f>DATE(YEAR(K675),MONTH(K675)+VLOOKUP($F673,'Membership Level'!$A$3:$B$15,2,FALSE),DAY(K675))</f>
        <v>46183</v>
      </c>
      <c r="M675" s="7"/>
    </row>
    <row r="676" spans="1:13" x14ac:dyDescent="0.35">
      <c r="A676" s="58" t="s">
        <v>1529</v>
      </c>
      <c r="B676" s="244">
        <v>46152</v>
      </c>
      <c r="C676" s="93" t="s">
        <v>202</v>
      </c>
      <c r="D676" s="93" t="s">
        <v>1546</v>
      </c>
      <c r="E676" s="226">
        <v>933453592</v>
      </c>
      <c r="F676" s="93" t="str">
        <f>'Membership Level'!A12</f>
        <v>Swimming Moth</v>
      </c>
      <c r="G676" s="93" t="s">
        <v>248</v>
      </c>
      <c r="H676" s="75">
        <v>3500</v>
      </c>
      <c r="I676" s="75">
        <v>3500</v>
      </c>
      <c r="J676" s="61"/>
      <c r="K676" s="9">
        <v>46152</v>
      </c>
      <c r="L676" s="59">
        <f>DATE(YEAR(K676),MONTH(K676)+VLOOKUP($F674,'Membership Level'!$A$3:$B$15,2,FALSE),DAY(K676))</f>
        <v>46183</v>
      </c>
      <c r="M676" s="7"/>
    </row>
    <row r="677" spans="1:13" x14ac:dyDescent="0.35">
      <c r="A677" s="58" t="s">
        <v>1530</v>
      </c>
      <c r="B677" s="244">
        <v>46152</v>
      </c>
      <c r="C677" s="93" t="s">
        <v>1597</v>
      </c>
      <c r="D677" s="93" t="s">
        <v>1596</v>
      </c>
      <c r="E677" s="226">
        <v>933453592</v>
      </c>
      <c r="F677" s="93" t="str">
        <f>'Membership Level'!A12</f>
        <v>Swimming Moth</v>
      </c>
      <c r="G677" s="93" t="s">
        <v>248</v>
      </c>
      <c r="H677" s="75">
        <v>3500</v>
      </c>
      <c r="I677" s="75">
        <v>3500</v>
      </c>
      <c r="J677" s="61"/>
      <c r="K677" s="9">
        <v>46152</v>
      </c>
      <c r="L677" s="59">
        <f>DATE(YEAR(K677),MONTH(K677)+VLOOKUP($F675,'Membership Level'!$A$3:$B$15,2,FALSE),DAY(K677))</f>
        <v>46183</v>
      </c>
      <c r="M677" s="7"/>
    </row>
    <row r="678" spans="1:13" x14ac:dyDescent="0.35">
      <c r="A678" s="58" t="s">
        <v>1531</v>
      </c>
      <c r="B678" s="244">
        <v>46152</v>
      </c>
      <c r="C678" s="93"/>
      <c r="D678" s="93" t="s">
        <v>1598</v>
      </c>
      <c r="E678" s="226">
        <v>9358897978</v>
      </c>
      <c r="F678" s="93" t="str">
        <f>'Membership Level'!A12</f>
        <v>Swimming Moth</v>
      </c>
      <c r="G678" s="93" t="s">
        <v>248</v>
      </c>
      <c r="H678" s="75">
        <v>4000</v>
      </c>
      <c r="I678" s="75">
        <v>4000</v>
      </c>
      <c r="J678" s="61"/>
      <c r="K678" s="9">
        <v>46152</v>
      </c>
      <c r="L678" s="59">
        <f>DATE(YEAR(K678),MONTH(K678)+VLOOKUP($F676,'Membership Level'!$A$3:$B$15,2,FALSE),DAY(K678))</f>
        <v>46183</v>
      </c>
      <c r="M678" s="7"/>
    </row>
    <row r="679" spans="1:13" x14ac:dyDescent="0.35">
      <c r="A679" s="58" t="s">
        <v>1532</v>
      </c>
      <c r="B679" s="244">
        <v>46153</v>
      </c>
      <c r="C679" s="93" t="s">
        <v>202</v>
      </c>
      <c r="D679" s="93" t="s">
        <v>1322</v>
      </c>
      <c r="E679" s="226">
        <v>7042773378</v>
      </c>
      <c r="F679" s="93" t="str">
        <f>'Membership Level'!A12</f>
        <v>Swimming Moth</v>
      </c>
      <c r="G679" s="93" t="s">
        <v>248</v>
      </c>
      <c r="H679" s="75">
        <v>4400</v>
      </c>
      <c r="I679" s="75">
        <v>4400</v>
      </c>
      <c r="J679" s="61"/>
      <c r="K679" s="9">
        <v>46153</v>
      </c>
      <c r="L679" s="59">
        <f>DATE(YEAR(K679),MONTH(K679)+VLOOKUP($F677,'Membership Level'!$A$3:$B$15,2,FALSE),DAY(K679))</f>
        <v>46184</v>
      </c>
      <c r="M679" s="7"/>
    </row>
    <row r="680" spans="1:13" s="107" customFormat="1" x14ac:dyDescent="0.35">
      <c r="A680" s="58" t="s">
        <v>1533</v>
      </c>
      <c r="B680" s="244">
        <v>46154</v>
      </c>
      <c r="C680" s="93" t="s">
        <v>333</v>
      </c>
      <c r="D680" s="93" t="s">
        <v>1640</v>
      </c>
      <c r="E680" s="226">
        <v>9304009405</v>
      </c>
      <c r="F680" s="93" t="str">
        <f>'Membership Level'!A12</f>
        <v>Swimming Moth</v>
      </c>
      <c r="G680" s="93" t="s">
        <v>370</v>
      </c>
      <c r="H680" s="75">
        <v>3800</v>
      </c>
      <c r="I680" s="75">
        <v>3800</v>
      </c>
      <c r="J680" s="61"/>
      <c r="K680" s="244">
        <v>46154</v>
      </c>
      <c r="L680" s="59">
        <f>DATE(YEAR(K680),MONTH(K680)+VLOOKUP($F678,'Membership Level'!$A$3:$B$15,2,FALSE),DAY(K680))</f>
        <v>46185</v>
      </c>
      <c r="M680" s="7"/>
    </row>
    <row r="681" spans="1:13" x14ac:dyDescent="0.35">
      <c r="A681" s="58" t="s">
        <v>1599</v>
      </c>
      <c r="B681" s="244">
        <v>46154</v>
      </c>
      <c r="C681" s="93"/>
      <c r="D681" s="93" t="s">
        <v>1641</v>
      </c>
      <c r="E681" s="226">
        <v>7991156056</v>
      </c>
      <c r="F681" s="93" t="str">
        <f>'Membership Level'!A12</f>
        <v>Swimming Moth</v>
      </c>
      <c r="G681" s="93" t="s">
        <v>297</v>
      </c>
      <c r="H681" s="75">
        <v>3300</v>
      </c>
      <c r="I681" s="75">
        <v>3300</v>
      </c>
      <c r="J681" s="61"/>
      <c r="K681" s="244">
        <v>46154</v>
      </c>
      <c r="L681" s="59">
        <f>DATE(YEAR(K681),MONTH(K681)+VLOOKUP($F679,'Membership Level'!$A$3:$B$15,2,FALSE),DAY(K681))</f>
        <v>46185</v>
      </c>
      <c r="M681" s="7"/>
    </row>
    <row r="682" spans="1:13" x14ac:dyDescent="0.35">
      <c r="A682" s="58" t="s">
        <v>1600</v>
      </c>
      <c r="B682" s="244">
        <v>46154</v>
      </c>
      <c r="C682" s="58"/>
      <c r="D682" s="241" t="s">
        <v>1642</v>
      </c>
      <c r="E682" s="226">
        <v>7991156056</v>
      </c>
      <c r="F682" s="58" t="str">
        <f>'Membership Level'!A12</f>
        <v>Swimming Moth</v>
      </c>
      <c r="G682" s="241" t="s">
        <v>1290</v>
      </c>
      <c r="H682" s="78">
        <v>2800</v>
      </c>
      <c r="I682" s="75">
        <v>2800</v>
      </c>
      <c r="J682" s="61"/>
      <c r="K682" s="244">
        <v>46154</v>
      </c>
      <c r="L682" s="59">
        <f>DATE(YEAR(K682),MONTH(K682)+VLOOKUP($F680,'Membership Level'!$A$3:$B$15,2,FALSE),DAY(K682))</f>
        <v>46185</v>
      </c>
      <c r="M682" s="7"/>
    </row>
    <row r="683" spans="1:13" x14ac:dyDescent="0.35">
      <c r="A683" s="58" t="s">
        <v>1601</v>
      </c>
      <c r="B683" s="244">
        <v>46154</v>
      </c>
      <c r="C683" s="241" t="s">
        <v>202</v>
      </c>
      <c r="D683" s="241" t="s">
        <v>1643</v>
      </c>
      <c r="E683" s="235">
        <v>9955991475</v>
      </c>
      <c r="F683" s="241" t="str">
        <f>'Membership Level'!A12</f>
        <v>Swimming Moth</v>
      </c>
      <c r="G683" s="58" t="s">
        <v>561</v>
      </c>
      <c r="H683" s="78">
        <v>3000</v>
      </c>
      <c r="I683" s="75">
        <v>3000</v>
      </c>
      <c r="J683" s="61"/>
      <c r="K683" s="244">
        <v>46154</v>
      </c>
      <c r="L683" s="59">
        <f>DATE(YEAR(K683),MONTH(K683)+VLOOKUP($F681,'Membership Level'!$A$3:$B$15,2,FALSE),DAY(K683))</f>
        <v>46185</v>
      </c>
      <c r="M683" s="7"/>
    </row>
    <row r="684" spans="1:13" x14ac:dyDescent="0.35">
      <c r="A684" s="58" t="s">
        <v>1602</v>
      </c>
      <c r="B684" s="244">
        <v>46154</v>
      </c>
      <c r="C684" s="241" t="s">
        <v>1645</v>
      </c>
      <c r="D684" s="241" t="s">
        <v>1644</v>
      </c>
      <c r="E684" s="235">
        <v>9386881730</v>
      </c>
      <c r="F684" s="241" t="str">
        <f>'Membership Level'!A12</f>
        <v>Swimming Moth</v>
      </c>
      <c r="G684" s="58" t="s">
        <v>1290</v>
      </c>
      <c r="H684" s="78">
        <v>2800</v>
      </c>
      <c r="I684" s="75">
        <v>2800</v>
      </c>
      <c r="J684" s="61"/>
      <c r="K684" s="244">
        <v>46154</v>
      </c>
      <c r="L684" s="59">
        <f>DATE(YEAR(K684),MONTH(K684)+VLOOKUP($F682,'Membership Level'!$A$3:$B$15,2,FALSE),DAY(K684))</f>
        <v>46185</v>
      </c>
      <c r="M684" s="7"/>
    </row>
    <row r="685" spans="1:13" s="6" customFormat="1" x14ac:dyDescent="0.35">
      <c r="A685" s="58" t="s">
        <v>1603</v>
      </c>
      <c r="B685" s="244">
        <v>46154</v>
      </c>
      <c r="C685" s="241" t="s">
        <v>202</v>
      </c>
      <c r="D685" s="241" t="s">
        <v>1646</v>
      </c>
      <c r="E685" s="235">
        <v>6207343310</v>
      </c>
      <c r="F685" s="241" t="str">
        <f>'Membership Level'!A12</f>
        <v>Swimming Moth</v>
      </c>
      <c r="G685" s="241" t="s">
        <v>248</v>
      </c>
      <c r="H685" s="78">
        <v>4000</v>
      </c>
      <c r="I685" s="75">
        <v>4000</v>
      </c>
      <c r="J685" s="64"/>
      <c r="K685" s="244">
        <v>46154</v>
      </c>
      <c r="L685" s="65">
        <f>DATE(YEAR(K685),MONTH(K685)+VLOOKUP($F683,'Membership Level'!$A$3:$B$15,2,FALSE),DAY(K685))</f>
        <v>46185</v>
      </c>
      <c r="M685" s="7"/>
    </row>
    <row r="686" spans="1:13" x14ac:dyDescent="0.35">
      <c r="A686" s="58" t="s">
        <v>1604</v>
      </c>
      <c r="B686" s="244">
        <v>46154</v>
      </c>
      <c r="C686" s="241" t="s">
        <v>249</v>
      </c>
      <c r="D686" s="241" t="s">
        <v>1590</v>
      </c>
      <c r="E686" s="235">
        <v>8789164100</v>
      </c>
      <c r="F686" s="241" t="str">
        <f>'Membership Level'!A12</f>
        <v>Swimming Moth</v>
      </c>
      <c r="G686" s="241" t="s">
        <v>248</v>
      </c>
      <c r="H686" s="78">
        <v>4000</v>
      </c>
      <c r="I686" s="75">
        <v>4000</v>
      </c>
      <c r="J686" s="61"/>
      <c r="K686" s="244">
        <v>46154</v>
      </c>
      <c r="L686" s="59">
        <f>DATE(YEAR(K686),MONTH(K686)+VLOOKUP($F684,'Membership Level'!$A$3:$B$15,2,FALSE),DAY(K686))</f>
        <v>46185</v>
      </c>
      <c r="M686" s="7"/>
    </row>
    <row r="687" spans="1:13" s="82" customFormat="1" x14ac:dyDescent="0.35">
      <c r="A687" s="58" t="s">
        <v>1605</v>
      </c>
      <c r="B687" s="244">
        <v>46154</v>
      </c>
      <c r="C687" s="241" t="s">
        <v>272</v>
      </c>
      <c r="D687" s="241" t="s">
        <v>1647</v>
      </c>
      <c r="E687" s="235">
        <v>8210755770</v>
      </c>
      <c r="F687" s="241" t="str">
        <f>'Membership Level'!A12</f>
        <v>Swimming Moth</v>
      </c>
      <c r="G687" s="241" t="s">
        <v>248</v>
      </c>
      <c r="H687" s="78">
        <v>4000</v>
      </c>
      <c r="I687" s="75">
        <v>4000</v>
      </c>
      <c r="J687" s="61"/>
      <c r="K687" s="244">
        <v>46154</v>
      </c>
      <c r="L687" s="59">
        <f>DATE(YEAR(K687),MONTH(K687)+VLOOKUP($F685,'Membership Level'!$A$3:$B$15,2,FALSE),DAY(K687))</f>
        <v>46185</v>
      </c>
      <c r="M687" s="7"/>
    </row>
    <row r="688" spans="1:13" s="82" customFormat="1" x14ac:dyDescent="0.35">
      <c r="A688" s="58" t="s">
        <v>1606</v>
      </c>
      <c r="B688" s="244">
        <v>46154</v>
      </c>
      <c r="C688" s="93"/>
      <c r="D688" s="93" t="s">
        <v>1649</v>
      </c>
      <c r="E688" s="235">
        <v>8210755770</v>
      </c>
      <c r="F688" s="93" t="str">
        <f>'Membership Level'!A12</f>
        <v>Swimming Moth</v>
      </c>
      <c r="G688" s="93" t="s">
        <v>1568</v>
      </c>
      <c r="H688" s="75">
        <v>3500</v>
      </c>
      <c r="I688" s="75">
        <v>3500</v>
      </c>
      <c r="J688" s="61"/>
      <c r="K688" s="244">
        <v>46154</v>
      </c>
      <c r="L688" s="59">
        <f>DATE(YEAR(K688),MONTH(K688)+VLOOKUP($F686,'Membership Level'!$A$3:$B$15,2,FALSE),DAY(K688))</f>
        <v>46185</v>
      </c>
      <c r="M688" s="7"/>
    </row>
    <row r="689" spans="1:13" x14ac:dyDescent="0.35">
      <c r="A689" s="58" t="s">
        <v>1607</v>
      </c>
      <c r="B689" s="244">
        <v>46154</v>
      </c>
      <c r="C689" s="93"/>
      <c r="D689" s="93" t="s">
        <v>1650</v>
      </c>
      <c r="E689" s="235">
        <v>8210755770</v>
      </c>
      <c r="F689" s="93" t="str">
        <f>'Membership Level'!A12</f>
        <v>Swimming Moth</v>
      </c>
      <c r="G689" s="93" t="s">
        <v>1648</v>
      </c>
      <c r="H689" s="75">
        <v>3500</v>
      </c>
      <c r="I689" s="75">
        <v>3500</v>
      </c>
      <c r="J689" s="61"/>
      <c r="K689" s="244">
        <v>46154</v>
      </c>
      <c r="L689" s="59">
        <f>DATE(YEAR(K689),MONTH(K689)+VLOOKUP($F687,'Membership Level'!$A$3:$B$15,2,FALSE),DAY(K689))</f>
        <v>46185</v>
      </c>
      <c r="M689" s="7"/>
    </row>
    <row r="690" spans="1:13" x14ac:dyDescent="0.35">
      <c r="A690" s="58" t="s">
        <v>1608</v>
      </c>
      <c r="B690" s="244">
        <v>46154</v>
      </c>
      <c r="C690" s="93" t="s">
        <v>202</v>
      </c>
      <c r="D690" s="93" t="s">
        <v>1651</v>
      </c>
      <c r="E690" s="226">
        <v>8789883566</v>
      </c>
      <c r="F690" s="93" t="str">
        <f>'Membership Level'!A12</f>
        <v>Swimming Moth</v>
      </c>
      <c r="G690" s="93" t="s">
        <v>1652</v>
      </c>
      <c r="H690" s="75">
        <v>3300</v>
      </c>
      <c r="I690" s="75">
        <v>3300</v>
      </c>
      <c r="J690" s="61"/>
      <c r="K690" s="244">
        <v>46154</v>
      </c>
      <c r="L690" s="59">
        <f>DATE(YEAR(K690),MONTH(K690)+VLOOKUP($F688,'Membership Level'!$A$3:$B$15,2,FALSE),DAY(K690))</f>
        <v>46185</v>
      </c>
      <c r="M690" s="7"/>
    </row>
    <row r="691" spans="1:13" x14ac:dyDescent="0.35">
      <c r="A691" s="58" t="s">
        <v>1609</v>
      </c>
      <c r="B691" s="244">
        <v>46154</v>
      </c>
      <c r="C691" s="93" t="s">
        <v>1549</v>
      </c>
      <c r="D691" s="93" t="s">
        <v>1653</v>
      </c>
      <c r="E691" s="226">
        <v>8969460100</v>
      </c>
      <c r="F691" s="93" t="str">
        <f>'Membership Level'!A12</f>
        <v>Swimming Moth</v>
      </c>
      <c r="G691" s="93" t="s">
        <v>248</v>
      </c>
      <c r="H691" s="75">
        <v>4400</v>
      </c>
      <c r="I691" s="75">
        <v>4400</v>
      </c>
      <c r="J691" s="61"/>
      <c r="K691" s="244">
        <v>46154</v>
      </c>
      <c r="L691" s="59">
        <f>DATE(YEAR(K691),MONTH(K691)+VLOOKUP($F689,'Membership Level'!$A$3:$B$15,2,FALSE),DAY(K691))</f>
        <v>46185</v>
      </c>
      <c r="M691" s="7"/>
    </row>
    <row r="692" spans="1:13" x14ac:dyDescent="0.35">
      <c r="A692" s="58" t="s">
        <v>1610</v>
      </c>
      <c r="B692" s="244">
        <v>46154</v>
      </c>
      <c r="C692" s="93" t="s">
        <v>1549</v>
      </c>
      <c r="D692" s="93" t="s">
        <v>1654</v>
      </c>
      <c r="E692" s="226">
        <v>8969460100</v>
      </c>
      <c r="F692" s="93" t="str">
        <f>'Membership Level'!A12</f>
        <v>Swimming Moth</v>
      </c>
      <c r="G692" s="93" t="s">
        <v>1656</v>
      </c>
      <c r="H692" s="75">
        <v>3300</v>
      </c>
      <c r="I692" s="75">
        <v>3300</v>
      </c>
      <c r="J692" s="61"/>
      <c r="K692" s="244">
        <v>46154</v>
      </c>
      <c r="L692" s="59">
        <f>DATE(YEAR(K692),MONTH(K692)+VLOOKUP($F690,'Membership Level'!$A$3:$B$15,2,FALSE),DAY(K692))</f>
        <v>46185</v>
      </c>
      <c r="M692" s="7"/>
    </row>
    <row r="693" spans="1:13" s="82" customFormat="1" x14ac:dyDescent="0.35">
      <c r="A693" s="58" t="s">
        <v>1611</v>
      </c>
      <c r="B693" s="244">
        <v>46154</v>
      </c>
      <c r="C693" s="93" t="s">
        <v>1549</v>
      </c>
      <c r="D693" s="93" t="s">
        <v>1655</v>
      </c>
      <c r="E693" s="226">
        <v>8969460100</v>
      </c>
      <c r="F693" s="93" t="str">
        <f>'Membership Level'!A12</f>
        <v>Swimming Moth</v>
      </c>
      <c r="G693" s="93" t="s">
        <v>1290</v>
      </c>
      <c r="H693" s="75">
        <v>2800</v>
      </c>
      <c r="I693" s="75">
        <v>2800</v>
      </c>
      <c r="J693" s="61"/>
      <c r="K693" s="244">
        <v>46154</v>
      </c>
      <c r="L693" s="59">
        <f>DATE(YEAR(K693),MONTH(K693)+VLOOKUP($F691,'Membership Level'!$A$3:$B$15,2,FALSE),DAY(K693))</f>
        <v>46185</v>
      </c>
      <c r="M693" s="7"/>
    </row>
    <row r="694" spans="1:13" x14ac:dyDescent="0.35">
      <c r="A694" s="58" t="s">
        <v>1612</v>
      </c>
      <c r="B694" s="244">
        <v>46154</v>
      </c>
      <c r="C694" s="93"/>
      <c r="D694" s="93" t="s">
        <v>1657</v>
      </c>
      <c r="E694" s="226">
        <v>9661461665</v>
      </c>
      <c r="F694" s="93" t="str">
        <f>'Membership Level'!A12</f>
        <v>Swimming Moth</v>
      </c>
      <c r="G694" s="93" t="s">
        <v>248</v>
      </c>
      <c r="H694" s="75">
        <v>4000</v>
      </c>
      <c r="I694" s="75">
        <v>4000</v>
      </c>
      <c r="J694" s="61"/>
      <c r="K694" s="244">
        <v>46154</v>
      </c>
      <c r="L694" s="59">
        <f>DATE(YEAR(K694),MONTH(K694)+VLOOKUP($F692,'Membership Level'!$A$3:$B$15,2,FALSE),DAY(K694))</f>
        <v>46185</v>
      </c>
      <c r="M694" s="7"/>
    </row>
    <row r="695" spans="1:13" s="82" customFormat="1" x14ac:dyDescent="0.35">
      <c r="A695" s="58" t="s">
        <v>1613</v>
      </c>
      <c r="B695" s="244">
        <v>46154</v>
      </c>
      <c r="C695" s="93" t="s">
        <v>869</v>
      </c>
      <c r="D695" s="93" t="s">
        <v>1659</v>
      </c>
      <c r="E695" s="226">
        <v>9320493829</v>
      </c>
      <c r="F695" s="93" t="str">
        <f>'Membership Level'!A12</f>
        <v>Swimming Moth</v>
      </c>
      <c r="G695" s="93" t="s">
        <v>1660</v>
      </c>
      <c r="H695" s="75">
        <v>3500</v>
      </c>
      <c r="I695" s="75">
        <v>3500</v>
      </c>
      <c r="J695" s="61"/>
      <c r="K695" s="244">
        <v>46154</v>
      </c>
      <c r="L695" s="59">
        <f>DATE(YEAR(K695),MONTH(K695)+VLOOKUP($F693,'Membership Level'!$A$3:$B$15,2,FALSE),DAY(K695))</f>
        <v>46185</v>
      </c>
      <c r="M695" s="7"/>
    </row>
    <row r="696" spans="1:13" x14ac:dyDescent="0.35">
      <c r="A696" s="58" t="s">
        <v>1614</v>
      </c>
      <c r="B696" s="244">
        <v>46154</v>
      </c>
      <c r="C696" s="93" t="s">
        <v>1662</v>
      </c>
      <c r="D696" s="93" t="s">
        <v>1661</v>
      </c>
      <c r="E696" s="226">
        <v>8319743017</v>
      </c>
      <c r="F696" s="93" t="str">
        <f>'Membership Level'!A12</f>
        <v>Swimming Moth</v>
      </c>
      <c r="G696" s="93" t="s">
        <v>561</v>
      </c>
      <c r="H696" s="75">
        <v>3300</v>
      </c>
      <c r="I696" s="75">
        <v>3300</v>
      </c>
      <c r="J696" s="61"/>
      <c r="K696" s="244">
        <v>46154</v>
      </c>
      <c r="L696" s="59">
        <f>DATE(YEAR(K696),MONTH(K696)+VLOOKUP($F694,'Membership Level'!$A$3:$B$15,2,FALSE),DAY(K696))</f>
        <v>46185</v>
      </c>
      <c r="M696" s="7"/>
    </row>
    <row r="697" spans="1:13" x14ac:dyDescent="0.35">
      <c r="A697" s="58" t="s">
        <v>1615</v>
      </c>
      <c r="B697" s="244">
        <v>46154</v>
      </c>
      <c r="C697" s="93" t="s">
        <v>1664</v>
      </c>
      <c r="D697" s="93" t="s">
        <v>1663</v>
      </c>
      <c r="E697" s="226">
        <v>7258062871</v>
      </c>
      <c r="F697" s="93" t="str">
        <f>'Membership Level'!A12</f>
        <v>Swimming Moth</v>
      </c>
      <c r="G697" s="93" t="s">
        <v>1568</v>
      </c>
      <c r="H697" s="75">
        <v>3500</v>
      </c>
      <c r="I697" s="75">
        <v>3500</v>
      </c>
      <c r="J697" s="61"/>
      <c r="K697" s="244">
        <v>46154</v>
      </c>
      <c r="L697" s="59">
        <f>DATE(YEAR(K697),MONTH(K697)+VLOOKUP($F695,'Membership Level'!$A$3:$B$15,2,FALSE),DAY(K697))</f>
        <v>46185</v>
      </c>
      <c r="M697" s="7"/>
    </row>
    <row r="698" spans="1:13" x14ac:dyDescent="0.35">
      <c r="A698" s="58" t="s">
        <v>1616</v>
      </c>
      <c r="B698" s="244">
        <v>46154</v>
      </c>
      <c r="C698" s="93" t="s">
        <v>727</v>
      </c>
      <c r="D698" s="93" t="s">
        <v>1665</v>
      </c>
      <c r="E698" s="226">
        <v>9304252500</v>
      </c>
      <c r="F698" s="93" t="str">
        <f>'Membership Level'!A12</f>
        <v>Swimming Moth</v>
      </c>
      <c r="G698" s="93" t="s">
        <v>248</v>
      </c>
      <c r="H698" s="75">
        <v>4000</v>
      </c>
      <c r="I698" s="75">
        <v>4000</v>
      </c>
      <c r="J698" s="61"/>
      <c r="K698" s="244">
        <v>46154</v>
      </c>
      <c r="L698" s="59">
        <f>DATE(YEAR(K698),MONTH(K698)+VLOOKUP($F696,'Membership Level'!$A$3:$B$15,2,FALSE),DAY(K698))</f>
        <v>46185</v>
      </c>
      <c r="M698" s="7"/>
    </row>
    <row r="699" spans="1:13" x14ac:dyDescent="0.35">
      <c r="A699" s="58" t="s">
        <v>1617</v>
      </c>
      <c r="B699" s="244">
        <v>46154</v>
      </c>
      <c r="C699" s="93" t="s">
        <v>206</v>
      </c>
      <c r="D699" s="93" t="s">
        <v>695</v>
      </c>
      <c r="E699" s="226">
        <v>9667031186</v>
      </c>
      <c r="F699" s="93" t="str">
        <f>'Membership Level'!A12</f>
        <v>Swimming Moth</v>
      </c>
      <c r="G699" s="93" t="s">
        <v>248</v>
      </c>
      <c r="H699" s="75">
        <v>4400</v>
      </c>
      <c r="I699" s="75">
        <v>4400</v>
      </c>
      <c r="J699" s="61"/>
      <c r="K699" s="244">
        <v>46154</v>
      </c>
      <c r="L699" s="59">
        <f>DATE(YEAR(K699),MONTH(K699)+VLOOKUP($F697,'Membership Level'!$A$3:$B$15,2,FALSE),DAY(K699))</f>
        <v>46185</v>
      </c>
      <c r="M699" s="7"/>
    </row>
    <row r="700" spans="1:13" x14ac:dyDescent="0.35">
      <c r="A700" s="58" t="s">
        <v>1618</v>
      </c>
      <c r="B700" s="244">
        <v>46154</v>
      </c>
      <c r="C700" s="93" t="s">
        <v>471</v>
      </c>
      <c r="D700" s="93" t="s">
        <v>1666</v>
      </c>
      <c r="E700" s="226">
        <v>9934524705</v>
      </c>
      <c r="F700" s="93" t="str">
        <f>'Membership Level'!A12</f>
        <v>Swimming Moth</v>
      </c>
      <c r="G700" s="93" t="s">
        <v>1568</v>
      </c>
      <c r="H700" s="75">
        <v>3800</v>
      </c>
      <c r="I700" s="75">
        <v>3800</v>
      </c>
      <c r="J700" s="61"/>
      <c r="K700" s="244">
        <v>46154</v>
      </c>
      <c r="L700" s="59">
        <f>DATE(YEAR(K700),MONTH(K700)+VLOOKUP($F698,'Membership Level'!$A$3:$B$15,2,FALSE),DAY(K700))</f>
        <v>46185</v>
      </c>
      <c r="M700" s="7"/>
    </row>
    <row r="701" spans="1:13" x14ac:dyDescent="0.35">
      <c r="A701" s="58" t="s">
        <v>1619</v>
      </c>
      <c r="B701" s="244">
        <v>46154</v>
      </c>
      <c r="C701" s="93" t="s">
        <v>249</v>
      </c>
      <c r="D701" s="93" t="s">
        <v>1646</v>
      </c>
      <c r="E701" s="226">
        <v>8757838291</v>
      </c>
      <c r="F701" s="93" t="str">
        <f>'Membership Level'!A12</f>
        <v>Swimming Moth</v>
      </c>
      <c r="G701" s="93" t="s">
        <v>561</v>
      </c>
      <c r="H701" s="75">
        <v>3300</v>
      </c>
      <c r="I701" s="75">
        <v>3300</v>
      </c>
      <c r="J701" s="61"/>
      <c r="K701" s="244">
        <v>46154</v>
      </c>
      <c r="L701" s="59">
        <f>DATE(YEAR(K701),MONTH(K701)+VLOOKUP($F699,'Membership Level'!$A$3:$B$15,2,FALSE),DAY(K701))</f>
        <v>46185</v>
      </c>
      <c r="M701" s="7"/>
    </row>
    <row r="702" spans="1:13" x14ac:dyDescent="0.35">
      <c r="A702" s="58" t="s">
        <v>1620</v>
      </c>
      <c r="B702" s="244">
        <v>46154</v>
      </c>
      <c r="C702" s="93"/>
      <c r="D702" s="93" t="s">
        <v>1667</v>
      </c>
      <c r="E702" s="226">
        <v>9334407981</v>
      </c>
      <c r="F702" s="93" t="str">
        <f>'Membership Level'!A12</f>
        <v>Swimming Moth</v>
      </c>
      <c r="G702" s="93" t="s">
        <v>1568</v>
      </c>
      <c r="H702" s="75">
        <v>3800</v>
      </c>
      <c r="I702" s="75">
        <v>3800</v>
      </c>
      <c r="J702" s="61"/>
      <c r="K702" s="244">
        <v>46154</v>
      </c>
      <c r="L702" s="59">
        <f>DATE(YEAR(K702),MONTH(K702)+VLOOKUP($F700,'Membership Level'!$A$3:$B$15,2,FALSE),DAY(K702))</f>
        <v>46185</v>
      </c>
      <c r="M702" s="7"/>
    </row>
    <row r="703" spans="1:13" s="82" customFormat="1" x14ac:dyDescent="0.35">
      <c r="A703" s="58" t="s">
        <v>1621</v>
      </c>
      <c r="B703" s="244">
        <v>46154</v>
      </c>
      <c r="C703" s="93"/>
      <c r="D703" s="93" t="s">
        <v>1668</v>
      </c>
      <c r="E703" s="226">
        <v>9334407981</v>
      </c>
      <c r="F703" s="93" t="str">
        <f>'Membership Level'!A12</f>
        <v>Swimming Moth</v>
      </c>
      <c r="G703" s="93" t="s">
        <v>1568</v>
      </c>
      <c r="H703" s="75">
        <v>3800</v>
      </c>
      <c r="I703" s="75">
        <v>3800</v>
      </c>
      <c r="J703" s="61"/>
      <c r="K703" s="244">
        <v>46154</v>
      </c>
      <c r="L703" s="59">
        <f>DATE(YEAR(K703),MONTH(K703)+VLOOKUP($F701,'Membership Level'!$A$3:$B$15,2,FALSE),DAY(K703))</f>
        <v>46185</v>
      </c>
      <c r="M703" s="7"/>
    </row>
    <row r="704" spans="1:13" x14ac:dyDescent="0.35">
      <c r="A704" s="58" t="s">
        <v>1622</v>
      </c>
      <c r="B704" s="244">
        <v>46154</v>
      </c>
      <c r="C704" s="93"/>
      <c r="D704" s="93" t="s">
        <v>1017</v>
      </c>
      <c r="E704" s="226">
        <v>8789811686</v>
      </c>
      <c r="F704" s="93" t="str">
        <f>'Membership Level'!A12</f>
        <v>Swimming Moth</v>
      </c>
      <c r="G704" s="93" t="s">
        <v>1290</v>
      </c>
      <c r="H704" s="75">
        <v>2800</v>
      </c>
      <c r="I704" s="75">
        <v>2800</v>
      </c>
      <c r="J704" s="61"/>
      <c r="K704" s="244">
        <v>46154</v>
      </c>
      <c r="L704" s="59">
        <f>DATE(YEAR(K704),MONTH(K704)+VLOOKUP($F702,'Membership Level'!$A$3:$B$15,2,FALSE),DAY(K704))</f>
        <v>46185</v>
      </c>
      <c r="M704" s="7"/>
    </row>
    <row r="705" spans="1:13" x14ac:dyDescent="0.35">
      <c r="A705" s="58" t="s">
        <v>1623</v>
      </c>
      <c r="B705" s="244">
        <v>46154</v>
      </c>
      <c r="C705" s="93"/>
      <c r="D705" s="93" t="s">
        <v>1669</v>
      </c>
      <c r="E705" s="226">
        <v>8789811686</v>
      </c>
      <c r="F705" s="93" t="str">
        <f>'Membership Level'!A12</f>
        <v>Swimming Moth</v>
      </c>
      <c r="G705" s="93" t="s">
        <v>1290</v>
      </c>
      <c r="H705" s="75">
        <v>2800</v>
      </c>
      <c r="I705" s="75">
        <v>2800</v>
      </c>
      <c r="J705" s="61"/>
      <c r="K705" s="244">
        <v>46154</v>
      </c>
      <c r="L705" s="59">
        <f>DATE(YEAR(K705),MONTH(K705)+VLOOKUP($F703,'Membership Level'!$A$3:$B$15,2,FALSE),DAY(K705))</f>
        <v>46185</v>
      </c>
      <c r="M705" s="7"/>
    </row>
    <row r="706" spans="1:13" x14ac:dyDescent="0.35">
      <c r="A706" s="58" t="s">
        <v>1624</v>
      </c>
      <c r="B706" s="244">
        <v>46154</v>
      </c>
      <c r="C706" s="93" t="s">
        <v>272</v>
      </c>
      <c r="D706" s="93" t="s">
        <v>1670</v>
      </c>
      <c r="E706" s="226">
        <v>7563090709</v>
      </c>
      <c r="F706" s="93" t="str">
        <f>'Membership Level'!A12</f>
        <v>Swimming Moth</v>
      </c>
      <c r="G706" s="93" t="s">
        <v>248</v>
      </c>
      <c r="H706" s="75">
        <v>4000</v>
      </c>
      <c r="I706" s="75">
        <v>4000</v>
      </c>
      <c r="J706" s="61"/>
      <c r="K706" s="244">
        <v>46154</v>
      </c>
      <c r="L706" s="59">
        <f>DATE(YEAR(K706),MONTH(K706)+VLOOKUP($F704,'Membership Level'!$A$3:$B$15,2,FALSE),DAY(K706))</f>
        <v>46185</v>
      </c>
      <c r="M706" s="7"/>
    </row>
    <row r="707" spans="1:13" x14ac:dyDescent="0.35">
      <c r="A707" s="58" t="s">
        <v>1625</v>
      </c>
      <c r="B707" s="244">
        <v>46154</v>
      </c>
      <c r="C707" s="93"/>
      <c r="D707" s="93" t="s">
        <v>1671</v>
      </c>
      <c r="E707" s="226">
        <v>8697729369</v>
      </c>
      <c r="F707" s="93" t="str">
        <f>'Membership Level'!A12</f>
        <v>Swimming Moth</v>
      </c>
      <c r="G707" s="93" t="s">
        <v>1568</v>
      </c>
      <c r="H707" s="75">
        <v>3500</v>
      </c>
      <c r="I707" s="75">
        <v>3500</v>
      </c>
      <c r="J707" s="61"/>
      <c r="K707" s="244">
        <v>46154</v>
      </c>
      <c r="L707" s="59">
        <f>DATE(YEAR(K707),MONTH(K707)+VLOOKUP($F705,'Membership Level'!$A$3:$B$15,2,FALSE),DAY(K707))</f>
        <v>46185</v>
      </c>
      <c r="M707" s="7"/>
    </row>
    <row r="708" spans="1:13" x14ac:dyDescent="0.35">
      <c r="A708" s="58" t="s">
        <v>1626</v>
      </c>
      <c r="B708" s="244">
        <v>46154</v>
      </c>
      <c r="C708" s="241" t="s">
        <v>222</v>
      </c>
      <c r="D708" s="241" t="s">
        <v>1673</v>
      </c>
      <c r="E708" s="235">
        <v>8789811686</v>
      </c>
      <c r="F708" s="241" t="str">
        <f>'Membership Level'!A12</f>
        <v>Swimming Moth</v>
      </c>
      <c r="G708" s="241" t="s">
        <v>561</v>
      </c>
      <c r="H708" s="78">
        <v>3800</v>
      </c>
      <c r="I708" s="75">
        <v>3800</v>
      </c>
      <c r="J708" s="61"/>
      <c r="K708" s="244">
        <v>46154</v>
      </c>
      <c r="L708" s="59">
        <f>DATE(YEAR(K708),MONTH(K708)+VLOOKUP($F706,'Membership Level'!$A$3:$B$15,2,FALSE),DAY(K708))</f>
        <v>46185</v>
      </c>
      <c r="M708" s="7"/>
    </row>
    <row r="709" spans="1:13" x14ac:dyDescent="0.35">
      <c r="A709" s="58" t="s">
        <v>1627</v>
      </c>
      <c r="B709" s="59">
        <v>46155</v>
      </c>
      <c r="C709" s="241" t="s">
        <v>333</v>
      </c>
      <c r="D709" s="241" t="s">
        <v>820</v>
      </c>
      <c r="E709" s="235">
        <v>7992265610</v>
      </c>
      <c r="F709" s="241" t="str">
        <f>'Membership Level'!A12</f>
        <v>Swimming Moth</v>
      </c>
      <c r="G709" s="241" t="s">
        <v>1290</v>
      </c>
      <c r="H709" s="78">
        <v>2300</v>
      </c>
      <c r="I709" s="75">
        <v>2300</v>
      </c>
      <c r="J709" s="61"/>
      <c r="K709" s="9">
        <v>46155</v>
      </c>
      <c r="L709" s="59">
        <f>DATE(YEAR(K709),MONTH(K709)+VLOOKUP($F707,'Membership Level'!$A$3:$B$15,2,FALSE),DAY(K709))</f>
        <v>46186</v>
      </c>
      <c r="M709" s="7"/>
    </row>
    <row r="710" spans="1:13" x14ac:dyDescent="0.35">
      <c r="A710" s="58" t="s">
        <v>1628</v>
      </c>
      <c r="B710" s="59">
        <v>46155</v>
      </c>
      <c r="C710" s="241" t="s">
        <v>727</v>
      </c>
      <c r="D710" s="241" t="s">
        <v>567</v>
      </c>
      <c r="E710" s="235">
        <v>7004842498</v>
      </c>
      <c r="F710" s="241" t="str">
        <f>'Membership Level'!A12</f>
        <v>Swimming Moth</v>
      </c>
      <c r="G710" s="241" t="s">
        <v>561</v>
      </c>
      <c r="H710" s="78">
        <v>3000</v>
      </c>
      <c r="I710" s="75">
        <v>3000</v>
      </c>
      <c r="J710" s="61"/>
      <c r="K710" s="9">
        <v>46155</v>
      </c>
      <c r="L710" s="59">
        <f>DATE(YEAR(K710),MONTH(K710)+VLOOKUP($F708,'Membership Level'!$A$3:$B$15,2,FALSE),DAY(K710))</f>
        <v>46186</v>
      </c>
      <c r="M710" s="7"/>
    </row>
    <row r="711" spans="1:13" s="6" customFormat="1" x14ac:dyDescent="0.35">
      <c r="A711" s="58" t="s">
        <v>1629</v>
      </c>
      <c r="B711" s="59">
        <v>46155</v>
      </c>
      <c r="C711" s="241" t="s">
        <v>1675</v>
      </c>
      <c r="D711" s="241" t="s">
        <v>1674</v>
      </c>
      <c r="E711" s="235">
        <v>7544006254</v>
      </c>
      <c r="F711" s="241" t="str">
        <f>'Membership Level'!A12</f>
        <v>Swimming Moth</v>
      </c>
      <c r="G711" s="241" t="s">
        <v>370</v>
      </c>
      <c r="H711" s="78">
        <v>3800</v>
      </c>
      <c r="I711" s="75">
        <v>3800</v>
      </c>
      <c r="J711" s="61"/>
      <c r="K711" s="9">
        <v>46155</v>
      </c>
      <c r="L711" s="59">
        <f>DATE(YEAR(K711),MONTH(K711)+VLOOKUP($F709,'Membership Level'!$A$3:$B$15,2,FALSE),DAY(K711))</f>
        <v>46186</v>
      </c>
      <c r="M711" s="58"/>
    </row>
    <row r="712" spans="1:13" s="6" customFormat="1" x14ac:dyDescent="0.35">
      <c r="A712" s="58" t="s">
        <v>1630</v>
      </c>
      <c r="B712" s="59">
        <v>46155</v>
      </c>
      <c r="C712" s="241" t="s">
        <v>493</v>
      </c>
      <c r="D712" s="241" t="s">
        <v>1676</v>
      </c>
      <c r="E712" s="235">
        <v>9608261572</v>
      </c>
      <c r="F712" s="241" t="str">
        <f>'Membership Level'!A12</f>
        <v>Swimming Moth</v>
      </c>
      <c r="G712" s="241" t="s">
        <v>248</v>
      </c>
      <c r="H712" s="78">
        <v>4000</v>
      </c>
      <c r="I712" s="75">
        <v>4000</v>
      </c>
      <c r="J712" s="61"/>
      <c r="K712" s="9">
        <v>46155</v>
      </c>
      <c r="L712" s="59">
        <f>DATE(YEAR(K712),MONTH(K712)+VLOOKUP($F710,'Membership Level'!$A$3:$B$15,2,FALSE),DAY(K712))</f>
        <v>46186</v>
      </c>
      <c r="M712" s="58"/>
    </row>
    <row r="713" spans="1:13" x14ac:dyDescent="0.35">
      <c r="A713" s="58" t="s">
        <v>1631</v>
      </c>
      <c r="B713" s="59">
        <v>46155</v>
      </c>
      <c r="C713" s="241" t="s">
        <v>727</v>
      </c>
      <c r="D713" s="241" t="s">
        <v>1677</v>
      </c>
      <c r="E713" s="235">
        <v>7091633070</v>
      </c>
      <c r="F713" s="241" t="str">
        <f>'Membership Level'!A12</f>
        <v>Swimming Moth</v>
      </c>
      <c r="G713" s="241" t="s">
        <v>1568</v>
      </c>
      <c r="H713" s="78">
        <v>3800</v>
      </c>
      <c r="I713" s="75">
        <v>3800</v>
      </c>
      <c r="J713" s="61"/>
      <c r="K713" s="9">
        <v>46155</v>
      </c>
      <c r="L713" s="59">
        <f>DATE(YEAR(K713),MONTH(K713)+VLOOKUP($F711,'Membership Level'!$A$3:$B$15,2,FALSE),DAY(K713))</f>
        <v>46186</v>
      </c>
      <c r="M713" s="7"/>
    </row>
    <row r="714" spans="1:13" x14ac:dyDescent="0.35">
      <c r="A714" s="58" t="s">
        <v>1632</v>
      </c>
      <c r="B714" s="59">
        <v>46155</v>
      </c>
      <c r="C714" s="241" t="s">
        <v>222</v>
      </c>
      <c r="D714" s="241" t="s">
        <v>1678</v>
      </c>
      <c r="E714" s="235">
        <v>9123291012</v>
      </c>
      <c r="F714" s="241" t="str">
        <f>'Membership Level'!A12</f>
        <v>Swimming Moth</v>
      </c>
      <c r="G714" s="241" t="s">
        <v>1290</v>
      </c>
      <c r="H714" s="78">
        <v>2800</v>
      </c>
      <c r="I714" s="75">
        <v>2800</v>
      </c>
      <c r="J714" s="61"/>
      <c r="K714" s="59">
        <v>46155</v>
      </c>
      <c r="L714" s="59">
        <f>DATE(YEAR(K714),MONTH(K714)+VLOOKUP($F712,'Membership Level'!$A$3:$B$15,2,FALSE),DAY(K714))</f>
        <v>46186</v>
      </c>
      <c r="M714" s="7"/>
    </row>
    <row r="715" spans="1:13" x14ac:dyDescent="0.35">
      <c r="A715" s="58" t="s">
        <v>1633</v>
      </c>
      <c r="B715" s="59">
        <v>46155</v>
      </c>
      <c r="C715" s="241" t="s">
        <v>1680</v>
      </c>
      <c r="D715" s="241" t="s">
        <v>1679</v>
      </c>
      <c r="E715" s="235">
        <v>9771118963</v>
      </c>
      <c r="F715" s="241" t="str">
        <f>'Membership Level'!A12</f>
        <v>Swimming Moth</v>
      </c>
      <c r="G715" s="241" t="s">
        <v>370</v>
      </c>
      <c r="H715" s="78">
        <v>3800</v>
      </c>
      <c r="I715" s="75">
        <v>3800</v>
      </c>
      <c r="J715" s="61"/>
      <c r="K715" s="59">
        <v>46155</v>
      </c>
      <c r="L715" s="59">
        <f>DATE(YEAR(K715),MONTH(K715)+VLOOKUP($F713,'Membership Level'!$A$3:$B$15,2,FALSE),DAY(K715))</f>
        <v>46186</v>
      </c>
      <c r="M715" s="7"/>
    </row>
    <row r="716" spans="1:13" x14ac:dyDescent="0.35">
      <c r="A716" s="58" t="s">
        <v>1634</v>
      </c>
      <c r="B716" s="59">
        <v>46155</v>
      </c>
      <c r="C716" s="241" t="s">
        <v>453</v>
      </c>
      <c r="D716" s="241" t="s">
        <v>1681</v>
      </c>
      <c r="E716" s="235">
        <v>7091975237</v>
      </c>
      <c r="F716" s="241" t="str">
        <f>'Membership Level'!A12</f>
        <v>Swimming Moth</v>
      </c>
      <c r="G716" s="241" t="s">
        <v>561</v>
      </c>
      <c r="H716" s="78">
        <v>3300</v>
      </c>
      <c r="I716" s="75">
        <v>3300</v>
      </c>
      <c r="J716" s="61"/>
      <c r="K716" s="59">
        <v>46155</v>
      </c>
      <c r="L716" s="59">
        <f>DATE(YEAR(K716),MONTH(K716)+VLOOKUP($F714,'Membership Level'!$A$3:$B$15,2,FALSE),DAY(K716))</f>
        <v>46186</v>
      </c>
      <c r="M716" s="7"/>
    </row>
    <row r="717" spans="1:13" x14ac:dyDescent="0.35">
      <c r="A717" s="58" t="s">
        <v>1635</v>
      </c>
      <c r="B717" s="59">
        <v>46155</v>
      </c>
      <c r="C717" s="241" t="s">
        <v>1683</v>
      </c>
      <c r="D717" s="241" t="s">
        <v>1682</v>
      </c>
      <c r="E717" s="235">
        <v>8863077454</v>
      </c>
      <c r="F717" s="241" t="str">
        <f>'Membership Level'!A13</f>
        <v>Swimming Qty</v>
      </c>
      <c r="G717" s="241" t="s">
        <v>1765</v>
      </c>
      <c r="H717" s="78">
        <v>7500</v>
      </c>
      <c r="I717" s="75">
        <v>7500</v>
      </c>
      <c r="J717" s="61"/>
      <c r="K717" s="59">
        <v>46155</v>
      </c>
      <c r="L717" s="59">
        <f>DATE(YEAR(K717),MONTH(K717)+VLOOKUP($F715,'Membership Level'!$A$3:$B$15,2,FALSE),DAY(K717))</f>
        <v>46186</v>
      </c>
      <c r="M717" s="7"/>
    </row>
    <row r="718" spans="1:13" x14ac:dyDescent="0.35">
      <c r="A718" s="58" t="s">
        <v>1636</v>
      </c>
      <c r="B718" s="59">
        <v>46155</v>
      </c>
      <c r="C718" s="241" t="s">
        <v>333</v>
      </c>
      <c r="D718" s="241" t="s">
        <v>1684</v>
      </c>
      <c r="E718" s="235">
        <v>9431004563</v>
      </c>
      <c r="F718" s="241" t="str">
        <f>'Membership Level'!A12</f>
        <v>Swimming Moth</v>
      </c>
      <c r="G718" s="241" t="s">
        <v>248</v>
      </c>
      <c r="H718" s="78">
        <v>3900</v>
      </c>
      <c r="I718" s="75">
        <v>3900</v>
      </c>
      <c r="J718" s="61"/>
      <c r="K718" s="59">
        <v>46155</v>
      </c>
      <c r="L718" s="59">
        <f>DATE(YEAR(K718),MONTH(K718)+VLOOKUP($F716,'Membership Level'!$A$3:$B$15,2,FALSE),DAY(K718))</f>
        <v>46186</v>
      </c>
      <c r="M718" s="7"/>
    </row>
    <row r="719" spans="1:13" x14ac:dyDescent="0.35">
      <c r="A719" s="58" t="s">
        <v>1637</v>
      </c>
      <c r="B719" s="59">
        <v>46155</v>
      </c>
      <c r="C719" s="241" t="s">
        <v>1686</v>
      </c>
      <c r="D719" s="241" t="s">
        <v>1685</v>
      </c>
      <c r="E719" s="235">
        <v>8298741277</v>
      </c>
      <c r="F719" s="241" t="str">
        <f>'Membership Level'!A12</f>
        <v>Swimming Moth</v>
      </c>
      <c r="G719" s="241" t="s">
        <v>1568</v>
      </c>
      <c r="H719" s="78">
        <v>3800</v>
      </c>
      <c r="I719" s="75">
        <v>3800</v>
      </c>
      <c r="J719" s="64"/>
      <c r="K719" s="59">
        <v>46155</v>
      </c>
      <c r="L719" s="65">
        <f>DATE(YEAR(K719),MONTH(K719)+VLOOKUP($F717,'Membership Level'!$A$3:$B$15,2,FALSE),DAY(K719))</f>
        <v>46247</v>
      </c>
      <c r="M719" s="7"/>
    </row>
    <row r="720" spans="1:13" x14ac:dyDescent="0.35">
      <c r="A720" s="58" t="s">
        <v>1638</v>
      </c>
      <c r="B720" s="59">
        <v>46155</v>
      </c>
      <c r="C720" s="241" t="s">
        <v>333</v>
      </c>
      <c r="D720" s="241" t="s">
        <v>1687</v>
      </c>
      <c r="E720" s="235">
        <v>8431040207</v>
      </c>
      <c r="F720" s="241" t="str">
        <f>'Membership Level'!A13</f>
        <v>Swimming Qty</v>
      </c>
      <c r="G720" s="241" t="s">
        <v>1688</v>
      </c>
      <c r="H720" s="78">
        <v>10500</v>
      </c>
      <c r="I720" s="75">
        <v>10500</v>
      </c>
      <c r="J720" s="64"/>
      <c r="K720" s="65">
        <v>46155</v>
      </c>
      <c r="L720" s="65">
        <f>DATE(YEAR(K720),MONTH(K720)+VLOOKUP($F718,'Membership Level'!$A$3:$B$15,2,FALSE),DAY(K720))</f>
        <v>46186</v>
      </c>
      <c r="M720" s="7"/>
    </row>
    <row r="721" spans="1:13" x14ac:dyDescent="0.35">
      <c r="A721" s="58" t="s">
        <v>1639</v>
      </c>
      <c r="B721" s="59">
        <v>46155</v>
      </c>
      <c r="C721" s="241" t="s">
        <v>577</v>
      </c>
      <c r="D721" s="241" t="s">
        <v>1689</v>
      </c>
      <c r="E721" s="235">
        <v>7588601320</v>
      </c>
      <c r="F721" s="241" t="str">
        <f>'Membership Level'!A12</f>
        <v>Swimming Moth</v>
      </c>
      <c r="G721" s="241" t="s">
        <v>370</v>
      </c>
      <c r="H721" s="78">
        <v>3800</v>
      </c>
      <c r="I721" s="75">
        <v>3800</v>
      </c>
      <c r="J721" s="61"/>
      <c r="K721" s="65">
        <v>46155</v>
      </c>
      <c r="L721" s="59">
        <f>DATE(YEAR(K721),MONTH(K721)+VLOOKUP($F719,'Membership Level'!$A$3:$B$15,2,FALSE),DAY(K721))</f>
        <v>46186</v>
      </c>
      <c r="M721" s="7"/>
    </row>
    <row r="722" spans="1:13" x14ac:dyDescent="0.35">
      <c r="A722" s="58" t="s">
        <v>1693</v>
      </c>
      <c r="B722" s="59">
        <v>46155</v>
      </c>
      <c r="C722" s="241" t="s">
        <v>1691</v>
      </c>
      <c r="D722" s="241" t="s">
        <v>1690</v>
      </c>
      <c r="E722" s="235">
        <v>9431066528</v>
      </c>
      <c r="F722" s="241" t="str">
        <f>'Membership Level'!A12</f>
        <v>Swimming Moth</v>
      </c>
      <c r="G722" s="241" t="s">
        <v>1660</v>
      </c>
      <c r="H722" s="78">
        <v>3500</v>
      </c>
      <c r="I722" s="75">
        <v>3500</v>
      </c>
      <c r="J722" s="61"/>
      <c r="K722" s="65">
        <v>46155</v>
      </c>
      <c r="L722" s="59">
        <f>DATE(YEAR(K722),MONTH(K722)+VLOOKUP($F720,'Membership Level'!$A$3:$B$15,2,FALSE),DAY(K722))</f>
        <v>46247</v>
      </c>
      <c r="M722" s="7"/>
    </row>
    <row r="723" spans="1:13" s="6" customFormat="1" x14ac:dyDescent="0.35">
      <c r="A723" s="58" t="s">
        <v>1694</v>
      </c>
      <c r="B723" s="59">
        <v>46155</v>
      </c>
      <c r="C723" s="241" t="s">
        <v>1691</v>
      </c>
      <c r="D723" s="241" t="s">
        <v>1692</v>
      </c>
      <c r="E723" s="235">
        <v>9431066528</v>
      </c>
      <c r="F723" s="241" t="str">
        <f>'Membership Level'!A12</f>
        <v>Swimming Moth</v>
      </c>
      <c r="G723" s="241" t="s">
        <v>1568</v>
      </c>
      <c r="H723" s="78">
        <v>3500</v>
      </c>
      <c r="I723" s="75">
        <v>3500</v>
      </c>
      <c r="J723" s="64"/>
      <c r="K723" s="65">
        <v>46155</v>
      </c>
      <c r="L723" s="65">
        <f>DATE(YEAR(K723),MONTH(K723)+VLOOKUP($F721,'Membership Level'!$A$3:$B$15,2,FALSE),DAY(K723))</f>
        <v>46186</v>
      </c>
      <c r="M723" s="7"/>
    </row>
    <row r="724" spans="1:13" x14ac:dyDescent="0.35">
      <c r="A724" s="58" t="s">
        <v>1695</v>
      </c>
      <c r="B724" s="59">
        <v>46155</v>
      </c>
      <c r="C724" s="93" t="s">
        <v>259</v>
      </c>
      <c r="D724" s="93" t="s">
        <v>348</v>
      </c>
      <c r="E724" s="226">
        <v>9934026158</v>
      </c>
      <c r="F724" s="93" t="str">
        <f>'Membership Level'!A12</f>
        <v>Swimming Moth</v>
      </c>
      <c r="G724" s="93" t="s">
        <v>1568</v>
      </c>
      <c r="H724" s="75">
        <v>3500</v>
      </c>
      <c r="I724" s="75">
        <v>3500</v>
      </c>
      <c r="J724" s="61"/>
      <c r="K724" s="65">
        <v>46155</v>
      </c>
      <c r="L724" s="59">
        <f>DATE(YEAR(K724),MONTH(K724)+VLOOKUP($F722,'Membership Level'!$A$3:$B$15,2,FALSE),DAY(K724))</f>
        <v>46186</v>
      </c>
      <c r="M724" s="7"/>
    </row>
    <row r="725" spans="1:13" x14ac:dyDescent="0.35">
      <c r="A725" s="58" t="s">
        <v>1696</v>
      </c>
      <c r="B725" s="59">
        <v>46156</v>
      </c>
      <c r="C725" s="93" t="s">
        <v>618</v>
      </c>
      <c r="D725" s="93" t="s">
        <v>1753</v>
      </c>
      <c r="E725" s="226">
        <v>9955540666</v>
      </c>
      <c r="F725" s="93" t="str">
        <f>'Membership Level'!A14</f>
        <v>Swimming HY</v>
      </c>
      <c r="G725" s="93" t="s">
        <v>237</v>
      </c>
      <c r="H725" s="75">
        <v>18000</v>
      </c>
      <c r="I725" s="75">
        <v>18000</v>
      </c>
      <c r="J725" s="61"/>
      <c r="K725" s="59">
        <v>46156</v>
      </c>
      <c r="L725" s="59">
        <f>DATE(YEAR(K725),MONTH(K725)+VLOOKUP($F723,'Membership Level'!$A$3:$B$15,2,FALSE),DAY(K725))</f>
        <v>46187</v>
      </c>
      <c r="M725" s="7"/>
    </row>
    <row r="726" spans="1:13" x14ac:dyDescent="0.35">
      <c r="A726" s="58" t="s">
        <v>1697</v>
      </c>
      <c r="B726" s="59">
        <v>46156</v>
      </c>
      <c r="C726" s="93" t="s">
        <v>1754</v>
      </c>
      <c r="D726" s="93" t="s">
        <v>1773</v>
      </c>
      <c r="E726" s="226">
        <v>8784167989</v>
      </c>
      <c r="F726" s="93" t="str">
        <f>'Membership Level'!A12</f>
        <v>Swimming Moth</v>
      </c>
      <c r="G726" s="93" t="s">
        <v>561</v>
      </c>
      <c r="H726" s="75">
        <v>3300</v>
      </c>
      <c r="I726" s="75">
        <v>3300</v>
      </c>
      <c r="J726" s="61"/>
      <c r="K726" s="59">
        <v>46156</v>
      </c>
      <c r="L726" s="59">
        <f>DATE(YEAR(K726),MONTH(K726)+VLOOKUP($F724,'Membership Level'!$A$3:$B$15,2,FALSE),DAY(K726))</f>
        <v>46187</v>
      </c>
      <c r="M726" s="7"/>
    </row>
    <row r="727" spans="1:13" x14ac:dyDescent="0.35">
      <c r="A727" s="58" t="s">
        <v>1698</v>
      </c>
      <c r="B727" s="59">
        <v>46156</v>
      </c>
      <c r="C727" s="93" t="s">
        <v>202</v>
      </c>
      <c r="D727" s="93" t="s">
        <v>1755</v>
      </c>
      <c r="E727" s="226">
        <v>8434066850</v>
      </c>
      <c r="F727" s="93" t="str">
        <f>'Membership Level'!A12</f>
        <v>Swimming Moth</v>
      </c>
      <c r="G727" s="93" t="s">
        <v>248</v>
      </c>
      <c r="H727" s="75">
        <v>4400</v>
      </c>
      <c r="I727" s="75">
        <v>4400</v>
      </c>
      <c r="J727" s="61"/>
      <c r="K727" s="59">
        <v>46156</v>
      </c>
      <c r="L727" s="59">
        <f>DATE(YEAR(K727),MONTH(K727)+VLOOKUP($F725,'Membership Level'!$A$3:$B$15,2,FALSE),DAY(K727))</f>
        <v>46340</v>
      </c>
      <c r="M727" s="7"/>
    </row>
    <row r="728" spans="1:13" x14ac:dyDescent="0.35">
      <c r="A728" s="58" t="s">
        <v>1699</v>
      </c>
      <c r="B728" s="59">
        <v>46156</v>
      </c>
      <c r="C728" s="93" t="s">
        <v>333</v>
      </c>
      <c r="D728" s="93" t="s">
        <v>1157</v>
      </c>
      <c r="E728" s="226">
        <v>7550231708</v>
      </c>
      <c r="F728" s="93" t="str">
        <f>'Membership Level'!A12</f>
        <v>Swimming Moth</v>
      </c>
      <c r="G728" s="93" t="s">
        <v>1290</v>
      </c>
      <c r="H728" s="75">
        <v>2800</v>
      </c>
      <c r="I728" s="75">
        <v>2800</v>
      </c>
      <c r="J728" s="61"/>
      <c r="K728" s="300">
        <v>46159</v>
      </c>
      <c r="L728" s="300">
        <f>DATE(YEAR(K728),MONTH(K728)+VLOOKUP($F727,'Membership Level'!$A$3:$B$15,2,FALSE),DAY(K728))</f>
        <v>46190</v>
      </c>
      <c r="M728" s="7"/>
    </row>
    <row r="729" spans="1:13" x14ac:dyDescent="0.35">
      <c r="A729" s="58" t="s">
        <v>1700</v>
      </c>
      <c r="B729" s="59">
        <v>46156</v>
      </c>
      <c r="C729" s="93" t="s">
        <v>222</v>
      </c>
      <c r="D729" s="93" t="s">
        <v>1756</v>
      </c>
      <c r="E729" s="226">
        <v>9006657166</v>
      </c>
      <c r="F729" s="93" t="str">
        <f>'Membership Level'!A12</f>
        <v>Swimming Moth</v>
      </c>
      <c r="G729" s="93" t="s">
        <v>1568</v>
      </c>
      <c r="H729" s="75">
        <v>3800</v>
      </c>
      <c r="I729" s="75">
        <v>3800</v>
      </c>
      <c r="J729" s="61"/>
      <c r="K729" s="9">
        <v>46156</v>
      </c>
      <c r="L729" s="59">
        <v>46187</v>
      </c>
      <c r="M729" s="7"/>
    </row>
    <row r="730" spans="1:13" x14ac:dyDescent="0.35">
      <c r="A730" s="58" t="s">
        <v>1701</v>
      </c>
      <c r="B730" s="59">
        <v>46156</v>
      </c>
      <c r="C730" s="93"/>
      <c r="D730" s="93" t="s">
        <v>1757</v>
      </c>
      <c r="E730" s="226">
        <v>7550231708</v>
      </c>
      <c r="F730" s="93" t="str">
        <f>'Membership Level'!A12</f>
        <v>Swimming Moth</v>
      </c>
      <c r="G730" s="93" t="s">
        <v>561</v>
      </c>
      <c r="H730" s="75">
        <v>3300</v>
      </c>
      <c r="I730" s="75">
        <v>3300</v>
      </c>
      <c r="J730" s="61"/>
      <c r="K730" s="9">
        <v>46156</v>
      </c>
      <c r="L730" s="59">
        <f>DATE(YEAR(K730),MONTH(K730)+VLOOKUP($F728,'Membership Level'!$A$3:$B$15,2,FALSE),DAY(K730))</f>
        <v>46187</v>
      </c>
      <c r="M730" s="7"/>
    </row>
    <row r="731" spans="1:13" s="85" customFormat="1" x14ac:dyDescent="0.35">
      <c r="A731" s="58" t="s">
        <v>1702</v>
      </c>
      <c r="B731" s="59">
        <v>46156</v>
      </c>
      <c r="C731" s="93" t="s">
        <v>1759</v>
      </c>
      <c r="D731" s="93" t="s">
        <v>1758</v>
      </c>
      <c r="E731" s="226">
        <v>7004347658</v>
      </c>
      <c r="F731" s="93" t="str">
        <f>'Membership Level'!A12</f>
        <v>Swimming Moth</v>
      </c>
      <c r="G731" s="93" t="s">
        <v>1568</v>
      </c>
      <c r="H731" s="75">
        <v>3800</v>
      </c>
      <c r="I731" s="75">
        <v>3800</v>
      </c>
      <c r="J731" s="61"/>
      <c r="K731" s="9">
        <v>46156</v>
      </c>
      <c r="L731" s="59">
        <f>DATE(YEAR(K731),MONTH(K731)+VLOOKUP($F729,'Membership Level'!$A$3:$B$15,2,FALSE),DAY(K731))</f>
        <v>46187</v>
      </c>
      <c r="M731" s="7"/>
    </row>
    <row r="732" spans="1:13" s="85" customFormat="1" x14ac:dyDescent="0.35">
      <c r="A732" s="58" t="s">
        <v>1703</v>
      </c>
      <c r="B732" s="59">
        <v>46156</v>
      </c>
      <c r="C732" s="93" t="s">
        <v>741</v>
      </c>
      <c r="D732" s="93" t="s">
        <v>441</v>
      </c>
      <c r="E732" s="226">
        <v>7004347658</v>
      </c>
      <c r="F732" s="93" t="str">
        <f>'Membership Level'!A12</f>
        <v>Swimming Moth</v>
      </c>
      <c r="G732" s="93" t="s">
        <v>1568</v>
      </c>
      <c r="H732" s="75">
        <v>3800</v>
      </c>
      <c r="I732" s="75">
        <v>3800</v>
      </c>
      <c r="J732" s="61"/>
      <c r="K732" s="9">
        <v>46156</v>
      </c>
      <c r="L732" s="59">
        <f>DATE(YEAR(K732),MONTH(K732)+VLOOKUP($F730,'Membership Level'!$A$3:$B$15,2,FALSE),DAY(K732))</f>
        <v>46187</v>
      </c>
      <c r="M732" s="7"/>
    </row>
    <row r="733" spans="1:13" x14ac:dyDescent="0.35">
      <c r="A733" s="58" t="s">
        <v>1704</v>
      </c>
      <c r="B733" s="59">
        <v>46156</v>
      </c>
      <c r="C733" s="93" t="s">
        <v>333</v>
      </c>
      <c r="D733" s="93" t="s">
        <v>1761</v>
      </c>
      <c r="E733" s="226">
        <v>8210130614</v>
      </c>
      <c r="F733" s="93" t="str">
        <f>'Membership Level'!A12</f>
        <v>Swimming Moth</v>
      </c>
      <c r="G733" s="93" t="s">
        <v>1568</v>
      </c>
      <c r="H733" s="75">
        <v>3800</v>
      </c>
      <c r="I733" s="75">
        <v>3800</v>
      </c>
      <c r="J733" s="61"/>
      <c r="K733" s="9">
        <v>46156</v>
      </c>
      <c r="L733" s="59">
        <f>DATE(YEAR(K733),MONTH(K733)+VLOOKUP($F731,'Membership Level'!$A$3:$B$15,2,FALSE),DAY(K733))</f>
        <v>46187</v>
      </c>
      <c r="M733" s="7"/>
    </row>
    <row r="734" spans="1:13" x14ac:dyDescent="0.35">
      <c r="A734" s="58" t="s">
        <v>1705</v>
      </c>
      <c r="B734" s="59">
        <v>46156</v>
      </c>
      <c r="C734" s="93" t="s">
        <v>333</v>
      </c>
      <c r="D734" s="93" t="s">
        <v>2085</v>
      </c>
      <c r="E734" s="226">
        <v>8210130614</v>
      </c>
      <c r="F734" s="93" t="str">
        <f>'Membership Level'!A12</f>
        <v>Swimming Moth</v>
      </c>
      <c r="G734" s="93" t="s">
        <v>248</v>
      </c>
      <c r="H734" s="75">
        <v>4400</v>
      </c>
      <c r="I734" s="75">
        <v>4400</v>
      </c>
      <c r="J734" s="61"/>
      <c r="K734" s="9">
        <v>46156</v>
      </c>
      <c r="L734" s="59">
        <f>DATE(YEAR(K734),MONTH(K734)+VLOOKUP($F732,'Membership Level'!$A$3:$B$15,2,FALSE),DAY(K734))</f>
        <v>46187</v>
      </c>
      <c r="M734" s="7"/>
    </row>
    <row r="735" spans="1:13" x14ac:dyDescent="0.35">
      <c r="A735" s="58" t="s">
        <v>1706</v>
      </c>
      <c r="B735" s="59">
        <v>46156</v>
      </c>
      <c r="C735" s="93"/>
      <c r="D735" s="93" t="s">
        <v>1762</v>
      </c>
      <c r="E735" s="226">
        <v>9608701902</v>
      </c>
      <c r="F735" s="93" t="str">
        <f>'Membership Level'!A12</f>
        <v>Swimming Moth</v>
      </c>
      <c r="G735" s="93" t="s">
        <v>248</v>
      </c>
      <c r="H735" s="75">
        <v>4400</v>
      </c>
      <c r="I735" s="75">
        <v>4400</v>
      </c>
      <c r="J735" s="61"/>
      <c r="K735" s="300">
        <v>46161</v>
      </c>
      <c r="L735" s="300">
        <f>DATE(YEAR(K735),MONTH(K735)+VLOOKUP($F733,'Membership Level'!$A$3:$B$15,2,FALSE),DAY(K735))</f>
        <v>46192</v>
      </c>
      <c r="M735" s="7"/>
    </row>
    <row r="736" spans="1:13" x14ac:dyDescent="0.35">
      <c r="A736" s="58" t="s">
        <v>1707</v>
      </c>
      <c r="B736" s="59">
        <v>46156</v>
      </c>
      <c r="C736" s="93"/>
      <c r="D736" s="93" t="s">
        <v>1763</v>
      </c>
      <c r="E736" s="226">
        <v>9608701902</v>
      </c>
      <c r="F736" s="93" t="str">
        <f>'Membership Level'!A12</f>
        <v>Swimming Moth</v>
      </c>
      <c r="G736" s="93" t="s">
        <v>1764</v>
      </c>
      <c r="H736" s="75">
        <v>4400</v>
      </c>
      <c r="I736" s="75">
        <v>4400</v>
      </c>
      <c r="J736" s="61"/>
      <c r="K736" s="300">
        <v>46161</v>
      </c>
      <c r="L736" s="300">
        <v>46192</v>
      </c>
      <c r="M736" s="7"/>
    </row>
    <row r="737" spans="1:13" x14ac:dyDescent="0.35">
      <c r="A737" s="58" t="s">
        <v>1708</v>
      </c>
      <c r="B737" s="59">
        <v>46156</v>
      </c>
      <c r="C737" s="93" t="s">
        <v>1767</v>
      </c>
      <c r="D737" s="93" t="s">
        <v>1766</v>
      </c>
      <c r="E737" s="226">
        <v>9717433809</v>
      </c>
      <c r="F737" s="93" t="str">
        <f>'Membership Level'!A12</f>
        <v>Swimming Moth</v>
      </c>
      <c r="G737" s="93" t="s">
        <v>1290</v>
      </c>
      <c r="H737" s="75">
        <v>2800</v>
      </c>
      <c r="I737" s="75">
        <v>2800</v>
      </c>
      <c r="J737" s="61"/>
      <c r="K737" s="9">
        <v>46156</v>
      </c>
      <c r="L737" s="59">
        <f>DATE(YEAR(K737),MONTH(K737)+VLOOKUP($F735,'Membership Level'!$A$3:$B$15,2,FALSE),DAY(K737))</f>
        <v>46187</v>
      </c>
      <c r="M737" s="7"/>
    </row>
    <row r="738" spans="1:13" x14ac:dyDescent="0.35">
      <c r="A738" s="58" t="s">
        <v>1709</v>
      </c>
      <c r="B738" s="59">
        <v>46156</v>
      </c>
      <c r="C738" s="93" t="s">
        <v>1769</v>
      </c>
      <c r="D738" s="93" t="s">
        <v>1768</v>
      </c>
      <c r="E738" s="226">
        <v>9717433809</v>
      </c>
      <c r="F738" s="93" t="str">
        <f>'Membership Level'!A12</f>
        <v>Swimming Moth</v>
      </c>
      <c r="G738" s="93" t="s">
        <v>1290</v>
      </c>
      <c r="H738" s="75">
        <v>2800</v>
      </c>
      <c r="I738" s="75">
        <v>2800</v>
      </c>
      <c r="J738" s="61"/>
      <c r="K738" s="9">
        <v>46156</v>
      </c>
      <c r="L738" s="59">
        <f>DATE(YEAR(K738),MONTH(K738)+VLOOKUP($F736,'Membership Level'!$A$3:$B$15,2,FALSE),DAY(K738))</f>
        <v>46187</v>
      </c>
      <c r="M738" s="7"/>
    </row>
    <row r="739" spans="1:13" x14ac:dyDescent="0.35">
      <c r="A739" s="58" t="s">
        <v>1710</v>
      </c>
      <c r="B739" s="59">
        <v>46156</v>
      </c>
      <c r="C739" s="93" t="s">
        <v>202</v>
      </c>
      <c r="D739" s="93" t="s">
        <v>1770</v>
      </c>
      <c r="E739" s="226">
        <v>9931119618</v>
      </c>
      <c r="F739" s="93" t="str">
        <f>'Membership Level'!A12</f>
        <v>Swimming Moth</v>
      </c>
      <c r="G739" s="93" t="s">
        <v>1568</v>
      </c>
      <c r="H739" s="75">
        <v>3800</v>
      </c>
      <c r="I739" s="75">
        <v>3800</v>
      </c>
      <c r="J739" s="61"/>
      <c r="K739" s="9">
        <v>46156</v>
      </c>
      <c r="L739" s="59">
        <f>DATE(YEAR(K739),MONTH(K739)+VLOOKUP($F737,'Membership Level'!$A$3:$B$15,2,FALSE),DAY(K739))</f>
        <v>46187</v>
      </c>
      <c r="M739" s="7"/>
    </row>
    <row r="740" spans="1:13" x14ac:dyDescent="0.35">
      <c r="A740" s="58" t="s">
        <v>1711</v>
      </c>
      <c r="B740" s="59">
        <v>46156</v>
      </c>
      <c r="C740" s="93"/>
      <c r="D740" s="93" t="s">
        <v>1771</v>
      </c>
      <c r="E740" s="226">
        <v>9667101653</v>
      </c>
      <c r="F740" s="93" t="str">
        <f>'Membership Level'!A12</f>
        <v>Swimming Moth</v>
      </c>
      <c r="G740" s="93" t="s">
        <v>248</v>
      </c>
      <c r="H740" s="75">
        <v>4400</v>
      </c>
      <c r="I740" s="75">
        <v>4400</v>
      </c>
      <c r="J740" s="61"/>
      <c r="K740" s="9">
        <v>46156</v>
      </c>
      <c r="L740" s="59">
        <f>DATE(YEAR(K740),MONTH(K740)+VLOOKUP($F738,'Membership Level'!$A$3:$B$15,2,FALSE),DAY(K740))</f>
        <v>46187</v>
      </c>
      <c r="M740" s="7"/>
    </row>
    <row r="741" spans="1:13" x14ac:dyDescent="0.35">
      <c r="A741" s="58" t="s">
        <v>1712</v>
      </c>
      <c r="B741" s="59">
        <v>46156</v>
      </c>
      <c r="C741" s="93" t="s">
        <v>333</v>
      </c>
      <c r="D741" s="93" t="s">
        <v>1774</v>
      </c>
      <c r="E741" s="226">
        <v>9128099667</v>
      </c>
      <c r="F741" s="93" t="str">
        <f>'Membership Level'!A12</f>
        <v>Swimming Moth</v>
      </c>
      <c r="G741" s="93" t="s">
        <v>248</v>
      </c>
      <c r="H741" s="75">
        <v>3500</v>
      </c>
      <c r="I741" s="75">
        <v>3500</v>
      </c>
      <c r="J741" s="61"/>
      <c r="K741" s="300">
        <v>46157</v>
      </c>
      <c r="L741" s="300">
        <f>DATE(YEAR(K741),MONTH(K741)+VLOOKUP($F739,'Membership Level'!$A$3:$B$15,2,FALSE),DAY(K741))</f>
        <v>46188</v>
      </c>
      <c r="M741" s="7"/>
    </row>
    <row r="742" spans="1:13" x14ac:dyDescent="0.35">
      <c r="A742" s="58" t="s">
        <v>1713</v>
      </c>
      <c r="B742" s="59">
        <v>46156</v>
      </c>
      <c r="C742" s="93" t="s">
        <v>202</v>
      </c>
      <c r="D742" s="93" t="s">
        <v>1331</v>
      </c>
      <c r="E742" s="226">
        <v>9128099667</v>
      </c>
      <c r="F742" s="93" t="str">
        <f>'Membership Level'!A12</f>
        <v>Swimming Moth</v>
      </c>
      <c r="G742" s="93" t="s">
        <v>248</v>
      </c>
      <c r="H742" s="75">
        <v>3500</v>
      </c>
      <c r="I742" s="75">
        <v>3500</v>
      </c>
      <c r="J742" s="61"/>
      <c r="K742" s="300">
        <v>46157</v>
      </c>
      <c r="L742" s="300">
        <f>DATE(YEAR(K742),MONTH(K742)+VLOOKUP($F740,'Membership Level'!$A$3:$B$15,2,FALSE),DAY(K742))</f>
        <v>46188</v>
      </c>
      <c r="M742" s="7"/>
    </row>
    <row r="743" spans="1:13" x14ac:dyDescent="0.35">
      <c r="A743" s="58" t="s">
        <v>1714</v>
      </c>
      <c r="B743" s="59">
        <v>46157</v>
      </c>
      <c r="C743" s="93"/>
      <c r="D743" s="93" t="s">
        <v>1775</v>
      </c>
      <c r="E743" s="226">
        <v>880698683</v>
      </c>
      <c r="F743" s="93" t="str">
        <f>'Membership Level'!A12</f>
        <v>Swimming Moth</v>
      </c>
      <c r="G743" s="93" t="s">
        <v>248</v>
      </c>
      <c r="H743" s="75">
        <v>4400</v>
      </c>
      <c r="I743" s="75">
        <v>4400</v>
      </c>
      <c r="J743" s="61"/>
      <c r="K743" s="59">
        <v>46157</v>
      </c>
      <c r="L743" s="59">
        <f>DATE(YEAR(K743),MONTH(K743)+VLOOKUP($F741,'Membership Level'!$A$3:$B$15,2,FALSE),DAY(K743))</f>
        <v>46188</v>
      </c>
      <c r="M743" s="7"/>
    </row>
    <row r="744" spans="1:13" x14ac:dyDescent="0.35">
      <c r="A744" s="58" t="s">
        <v>1715</v>
      </c>
      <c r="B744" s="59">
        <v>46157</v>
      </c>
      <c r="C744" s="93"/>
      <c r="D744" s="93" t="s">
        <v>1776</v>
      </c>
      <c r="E744" s="226">
        <v>7763863399</v>
      </c>
      <c r="F744" s="93" t="str">
        <f>'Membership Level'!A12</f>
        <v>Swimming Moth</v>
      </c>
      <c r="G744" s="93" t="s">
        <v>370</v>
      </c>
      <c r="H744" s="75">
        <v>3800</v>
      </c>
      <c r="I744" s="75">
        <v>3800</v>
      </c>
      <c r="J744" s="61"/>
      <c r="K744" s="59">
        <v>46157</v>
      </c>
      <c r="L744" s="59">
        <f>DATE(YEAR(K744),MONTH(K744)+VLOOKUP($F742,'Membership Level'!$A$3:$B$15,2,FALSE),DAY(K744))</f>
        <v>46188</v>
      </c>
      <c r="M744" s="7"/>
    </row>
    <row r="745" spans="1:13" x14ac:dyDescent="0.35">
      <c r="A745" s="58" t="s">
        <v>1716</v>
      </c>
      <c r="B745" s="59">
        <v>46157</v>
      </c>
      <c r="C745" s="93" t="s">
        <v>1777</v>
      </c>
      <c r="D745" s="93" t="s">
        <v>782</v>
      </c>
      <c r="E745" s="226">
        <v>8235998242</v>
      </c>
      <c r="F745" s="93" t="str">
        <f>'Membership Level'!A12</f>
        <v>Swimming Moth</v>
      </c>
      <c r="G745" s="93" t="s">
        <v>248</v>
      </c>
      <c r="H745" s="75">
        <v>3000</v>
      </c>
      <c r="I745" s="75">
        <v>3000</v>
      </c>
      <c r="J745" s="61"/>
      <c r="K745" s="59">
        <v>46157</v>
      </c>
      <c r="L745" s="59">
        <f>DATE(YEAR(K745),MONTH(K745)+VLOOKUP($F743,'Membership Level'!$A$3:$B$15,2,FALSE),DAY(K745))</f>
        <v>46188</v>
      </c>
      <c r="M745" s="7"/>
    </row>
    <row r="746" spans="1:13" x14ac:dyDescent="0.35">
      <c r="A746" s="58" t="s">
        <v>1717</v>
      </c>
      <c r="B746" s="59">
        <v>46157</v>
      </c>
      <c r="C746" s="93" t="s">
        <v>1321</v>
      </c>
      <c r="D746" s="93" t="s">
        <v>1778</v>
      </c>
      <c r="E746" s="226">
        <v>8249375768</v>
      </c>
      <c r="F746" s="93" t="str">
        <f>'Membership Level'!A12</f>
        <v>Swimming Moth</v>
      </c>
      <c r="G746" s="93" t="s">
        <v>1568</v>
      </c>
      <c r="H746" s="75">
        <v>3800</v>
      </c>
      <c r="I746" s="75">
        <v>3800</v>
      </c>
      <c r="J746" s="61"/>
      <c r="K746" s="59">
        <v>46157</v>
      </c>
      <c r="L746" s="59">
        <f>DATE(YEAR(K746),MONTH(K746)+VLOOKUP($F744,'Membership Level'!$A$3:$B$15,2,FALSE),DAY(K746))</f>
        <v>46188</v>
      </c>
      <c r="M746" s="7"/>
    </row>
    <row r="747" spans="1:13" x14ac:dyDescent="0.35">
      <c r="A747" s="58" t="s">
        <v>1718</v>
      </c>
      <c r="B747" s="59">
        <v>46157</v>
      </c>
      <c r="C747" s="93"/>
      <c r="D747" s="93" t="s">
        <v>1779</v>
      </c>
      <c r="E747" s="226">
        <v>8709888598</v>
      </c>
      <c r="F747" s="93" t="str">
        <f>'Membership Level'!A12</f>
        <v>Swimming Moth</v>
      </c>
      <c r="G747" s="93" t="s">
        <v>248</v>
      </c>
      <c r="H747" s="75">
        <v>3800</v>
      </c>
      <c r="I747" s="75">
        <v>2000</v>
      </c>
      <c r="J747" s="61">
        <v>1800</v>
      </c>
      <c r="K747" s="59">
        <v>46157</v>
      </c>
      <c r="L747" s="59">
        <f>DATE(YEAR(K747),MONTH(K747)+VLOOKUP($F745,'Membership Level'!$A$3:$B$15,2,FALSE),DAY(K747))</f>
        <v>46188</v>
      </c>
      <c r="M747" s="7"/>
    </row>
    <row r="748" spans="1:13" x14ac:dyDescent="0.35">
      <c r="A748" s="58" t="s">
        <v>1719</v>
      </c>
      <c r="B748" s="59">
        <v>46157</v>
      </c>
      <c r="C748" s="93" t="s">
        <v>814</v>
      </c>
      <c r="D748" s="93" t="s">
        <v>1780</v>
      </c>
      <c r="E748" s="226">
        <v>7004293375</v>
      </c>
      <c r="F748" s="93" t="str">
        <f>'Membership Level'!A12</f>
        <v>Swimming Moth</v>
      </c>
      <c r="G748" s="93" t="s">
        <v>370</v>
      </c>
      <c r="H748" s="75">
        <v>3500</v>
      </c>
      <c r="I748" s="75">
        <v>3500</v>
      </c>
      <c r="J748" s="61"/>
      <c r="K748" s="59">
        <v>46157</v>
      </c>
      <c r="L748" s="59">
        <f>DATE(YEAR(K748),MONTH(K748)+VLOOKUP($F746,'Membership Level'!$A$3:$B$15,2,FALSE),DAY(K748))</f>
        <v>46188</v>
      </c>
      <c r="M748" s="7"/>
    </row>
    <row r="749" spans="1:13" x14ac:dyDescent="0.35">
      <c r="A749" s="58" t="s">
        <v>1720</v>
      </c>
      <c r="B749" s="59">
        <v>46157</v>
      </c>
      <c r="C749" s="93" t="s">
        <v>272</v>
      </c>
      <c r="D749" s="93" t="s">
        <v>373</v>
      </c>
      <c r="E749" s="226"/>
      <c r="F749" s="93" t="str">
        <f>'Membership Level'!A12</f>
        <v>Swimming Moth</v>
      </c>
      <c r="G749" s="93" t="s">
        <v>1568</v>
      </c>
      <c r="H749" s="75">
        <v>3500</v>
      </c>
      <c r="I749" s="75">
        <v>3500</v>
      </c>
      <c r="J749" s="61"/>
      <c r="K749" s="59">
        <v>46157</v>
      </c>
      <c r="L749" s="59">
        <f>DATE(YEAR(K749),MONTH(K749)+VLOOKUP($F747,'Membership Level'!$A$3:$B$15,2,FALSE),DAY(K749))</f>
        <v>46188</v>
      </c>
      <c r="M749" s="7"/>
    </row>
    <row r="750" spans="1:13" x14ac:dyDescent="0.35">
      <c r="A750" s="58" t="s">
        <v>1721</v>
      </c>
      <c r="B750" s="59">
        <v>46158</v>
      </c>
      <c r="C750" s="93"/>
      <c r="D750" s="93" t="s">
        <v>1781</v>
      </c>
      <c r="E750" s="226">
        <v>7543815620</v>
      </c>
      <c r="F750" s="93" t="str">
        <f>'Membership Level'!A12</f>
        <v>Swimming Moth</v>
      </c>
      <c r="G750" s="93" t="s">
        <v>248</v>
      </c>
      <c r="H750" s="75">
        <v>3800</v>
      </c>
      <c r="I750" s="75">
        <v>3800</v>
      </c>
      <c r="J750" s="61"/>
      <c r="K750" s="9">
        <v>46158</v>
      </c>
      <c r="L750" s="59">
        <f>DATE(YEAR(K750),MONTH(K750)+VLOOKUP($F748,'Membership Level'!$A$3:$B$15,2,FALSE),DAY(K750))</f>
        <v>46189</v>
      </c>
      <c r="M750" s="7"/>
    </row>
    <row r="751" spans="1:13" x14ac:dyDescent="0.35">
      <c r="A751" s="58" t="s">
        <v>1722</v>
      </c>
      <c r="B751" s="59">
        <v>46158</v>
      </c>
      <c r="C751" s="93" t="s">
        <v>1249</v>
      </c>
      <c r="D751" s="93" t="s">
        <v>1782</v>
      </c>
      <c r="E751" s="226"/>
      <c r="F751" s="93" t="str">
        <f>'Membership Level'!A12</f>
        <v>Swimming Moth</v>
      </c>
      <c r="G751" s="93" t="s">
        <v>248</v>
      </c>
      <c r="H751" s="75">
        <v>4400</v>
      </c>
      <c r="I751" s="75">
        <v>4400</v>
      </c>
      <c r="J751" s="61"/>
      <c r="K751" s="59">
        <v>46158</v>
      </c>
      <c r="L751" s="59">
        <f>DATE(YEAR(K751),MONTH(K751)+VLOOKUP($F749,'Membership Level'!$A$3:$B$15,2,FALSE),DAY(K751))</f>
        <v>46189</v>
      </c>
      <c r="M751" s="7"/>
    </row>
    <row r="752" spans="1:13" x14ac:dyDescent="0.35">
      <c r="A752" s="58" t="s">
        <v>1723</v>
      </c>
      <c r="B752" s="59">
        <v>46158</v>
      </c>
      <c r="C752" s="93"/>
      <c r="D752" s="93" t="s">
        <v>682</v>
      </c>
      <c r="E752" s="226">
        <v>8434986315</v>
      </c>
      <c r="F752" s="93" t="str">
        <f>'Membership Level'!A12</f>
        <v>Swimming Moth</v>
      </c>
      <c r="G752" s="93" t="s">
        <v>216</v>
      </c>
      <c r="H752" s="75">
        <v>11500</v>
      </c>
      <c r="I752" s="75">
        <v>8000</v>
      </c>
      <c r="J752" s="61">
        <v>3500</v>
      </c>
      <c r="K752" s="59">
        <v>46158</v>
      </c>
      <c r="L752" s="59">
        <f>DATE(YEAR(K752),MONTH(K752)+VLOOKUP($F750,'Membership Level'!$A$3:$B$15,2,FALSE),DAY(K752))</f>
        <v>46189</v>
      </c>
      <c r="M752" s="7"/>
    </row>
    <row r="753" spans="1:13" x14ac:dyDescent="0.35">
      <c r="A753" s="58" t="s">
        <v>1724</v>
      </c>
      <c r="B753" s="59">
        <v>46158</v>
      </c>
      <c r="C753" s="93"/>
      <c r="D753" s="93" t="s">
        <v>1783</v>
      </c>
      <c r="E753" s="226">
        <v>8092742335</v>
      </c>
      <c r="F753" s="93" t="str">
        <f>'Membership Level'!A12</f>
        <v>Swimming Moth</v>
      </c>
      <c r="G753" s="93" t="s">
        <v>1170</v>
      </c>
      <c r="H753" s="75">
        <v>2500</v>
      </c>
      <c r="I753" s="75">
        <v>2500</v>
      </c>
      <c r="J753" s="61"/>
      <c r="K753" s="59">
        <v>46158</v>
      </c>
      <c r="L753" s="59">
        <f>DATE(YEAR(K753),MONTH(K753)+VLOOKUP($F751,'Membership Level'!$A$3:$B$15,2,FALSE),DAY(K753))</f>
        <v>46189</v>
      </c>
      <c r="M753" s="7"/>
    </row>
    <row r="754" spans="1:13" x14ac:dyDescent="0.35">
      <c r="A754" s="58" t="s">
        <v>1725</v>
      </c>
      <c r="B754" s="59">
        <v>46158</v>
      </c>
      <c r="C754" s="93"/>
      <c r="D754" s="93" t="s">
        <v>1784</v>
      </c>
      <c r="E754" s="226">
        <v>8092742335</v>
      </c>
      <c r="F754" s="93" t="str">
        <f>'Membership Level'!A12</f>
        <v>Swimming Moth</v>
      </c>
      <c r="G754" s="93" t="s">
        <v>1170</v>
      </c>
      <c r="H754" s="75">
        <v>2500</v>
      </c>
      <c r="I754" s="75">
        <v>2500</v>
      </c>
      <c r="J754" s="61"/>
      <c r="K754" s="59">
        <v>46158</v>
      </c>
      <c r="L754" s="59">
        <f>DATE(YEAR(K754),MONTH(K754)+VLOOKUP($F752,'Membership Level'!$A$3:$B$15,2,FALSE),DAY(K754))</f>
        <v>46189</v>
      </c>
      <c r="M754" s="7"/>
    </row>
    <row r="755" spans="1:13" x14ac:dyDescent="0.35">
      <c r="A755" s="58" t="s">
        <v>1726</v>
      </c>
      <c r="B755" s="59">
        <v>46158</v>
      </c>
      <c r="C755" s="93" t="s">
        <v>333</v>
      </c>
      <c r="D755" s="93" t="s">
        <v>813</v>
      </c>
      <c r="E755" s="226">
        <v>8092742335</v>
      </c>
      <c r="F755" s="93" t="str">
        <f>'Membership Level'!A12</f>
        <v>Swimming Moth</v>
      </c>
      <c r="G755" s="93" t="s">
        <v>1170</v>
      </c>
      <c r="H755" s="75">
        <v>2500</v>
      </c>
      <c r="I755" s="75">
        <v>2500</v>
      </c>
      <c r="J755" s="61"/>
      <c r="K755" s="59">
        <v>46158</v>
      </c>
      <c r="L755" s="59">
        <f>DATE(YEAR(K755),MONTH(K755)+VLOOKUP($F753,'Membership Level'!$A$3:$B$15,2,FALSE),DAY(K755))</f>
        <v>46189</v>
      </c>
      <c r="M755" s="7"/>
    </row>
    <row r="756" spans="1:13" x14ac:dyDescent="0.35">
      <c r="A756" s="58" t="s">
        <v>1727</v>
      </c>
      <c r="B756" s="59">
        <v>46158</v>
      </c>
      <c r="C756" s="93"/>
      <c r="D756" s="93" t="s">
        <v>1785</v>
      </c>
      <c r="E756" s="226">
        <v>8521357786</v>
      </c>
      <c r="F756" s="93" t="str">
        <f>'Membership Level'!A12</f>
        <v>Swimming Moth</v>
      </c>
      <c r="G756" s="93" t="s">
        <v>1568</v>
      </c>
      <c r="H756" s="75">
        <v>3500</v>
      </c>
      <c r="I756" s="75">
        <v>3500</v>
      </c>
      <c r="J756" s="61"/>
      <c r="K756" s="59">
        <v>46158</v>
      </c>
      <c r="L756" s="59">
        <f>DATE(YEAR(K756),MONTH(K756)+VLOOKUP($F754,'Membership Level'!$A$3:$B$15,2,FALSE),DAY(K756))</f>
        <v>46189</v>
      </c>
      <c r="M756" s="7"/>
    </row>
    <row r="757" spans="1:13" x14ac:dyDescent="0.35">
      <c r="A757" s="58" t="s">
        <v>1728</v>
      </c>
      <c r="B757" s="59">
        <v>46158</v>
      </c>
      <c r="C757" s="93" t="s">
        <v>1787</v>
      </c>
      <c r="D757" s="93" t="s">
        <v>1786</v>
      </c>
      <c r="E757" s="226">
        <v>8521357786</v>
      </c>
      <c r="F757" s="93" t="str">
        <f>'Membership Level'!A12</f>
        <v>Swimming Moth</v>
      </c>
      <c r="G757" s="93" t="s">
        <v>1568</v>
      </c>
      <c r="H757" s="75">
        <v>3500</v>
      </c>
      <c r="I757" s="75">
        <v>3500</v>
      </c>
      <c r="J757" s="61"/>
      <c r="K757" s="59">
        <v>46158</v>
      </c>
      <c r="L757" s="59">
        <f>DATE(YEAR(K757),MONTH(K757)+VLOOKUP($F755,'Membership Level'!$A$3:$B$15,2,FALSE),DAY(K757))</f>
        <v>46189</v>
      </c>
      <c r="M757" s="7"/>
    </row>
    <row r="758" spans="1:13" x14ac:dyDescent="0.35">
      <c r="A758" s="58" t="s">
        <v>1729</v>
      </c>
      <c r="B758" s="59">
        <v>46158</v>
      </c>
      <c r="C758" s="93" t="s">
        <v>1461</v>
      </c>
      <c r="D758" s="93" t="s">
        <v>1788</v>
      </c>
      <c r="E758" s="226">
        <v>9631181769</v>
      </c>
      <c r="F758" s="93" t="str">
        <f>'Membership Level'!A12</f>
        <v>Swimming Moth</v>
      </c>
      <c r="G758" s="93" t="s">
        <v>1290</v>
      </c>
      <c r="H758" s="75">
        <v>2800</v>
      </c>
      <c r="I758" s="75">
        <v>2800</v>
      </c>
      <c r="J758" s="61"/>
      <c r="K758" s="59">
        <v>46158</v>
      </c>
      <c r="L758" s="59">
        <f>DATE(YEAR(K758),MONTH(K758)+VLOOKUP($F756,'Membership Level'!$A$3:$B$15,2,FALSE),DAY(K758))</f>
        <v>46189</v>
      </c>
      <c r="M758" s="7"/>
    </row>
    <row r="759" spans="1:13" x14ac:dyDescent="0.35">
      <c r="A759" s="58" t="s">
        <v>1730</v>
      </c>
      <c r="B759" s="59">
        <v>46158</v>
      </c>
      <c r="C759" s="93" t="s">
        <v>1789</v>
      </c>
      <c r="D759" s="93" t="s">
        <v>1562</v>
      </c>
      <c r="E759" s="226">
        <v>9631181769</v>
      </c>
      <c r="F759" s="93" t="str">
        <f>'Membership Level'!A12</f>
        <v>Swimming Moth</v>
      </c>
      <c r="G759" s="93" t="s">
        <v>1290</v>
      </c>
      <c r="H759" s="75">
        <v>2800</v>
      </c>
      <c r="I759" s="75">
        <v>2800</v>
      </c>
      <c r="J759" s="61"/>
      <c r="K759" s="59">
        <v>46158</v>
      </c>
      <c r="L759" s="59">
        <f>DATE(YEAR(K759),MONTH(K759)+VLOOKUP($F757,'Membership Level'!$A$3:$B$15,2,FALSE),DAY(K759))</f>
        <v>46189</v>
      </c>
      <c r="M759" s="7"/>
    </row>
    <row r="760" spans="1:13" x14ac:dyDescent="0.35">
      <c r="A760" s="58" t="s">
        <v>1731</v>
      </c>
      <c r="B760" s="59">
        <v>46158</v>
      </c>
      <c r="C760" s="93" t="s">
        <v>814</v>
      </c>
      <c r="D760" s="93" t="s">
        <v>1790</v>
      </c>
      <c r="E760" s="226">
        <v>9470893132</v>
      </c>
      <c r="F760" s="93" t="str">
        <f>'Membership Level'!A12</f>
        <v>Swimming Moth</v>
      </c>
      <c r="G760" s="93" t="s">
        <v>379</v>
      </c>
      <c r="H760" s="75">
        <v>2800</v>
      </c>
      <c r="I760" s="75">
        <v>2800</v>
      </c>
      <c r="J760" s="61"/>
      <c r="K760" s="59">
        <v>46158</v>
      </c>
      <c r="L760" s="59">
        <f>DATE(YEAR(K760),MONTH(K760)+VLOOKUP($F758,'Membership Level'!$A$3:$B$15,2,FALSE),DAY(K760))</f>
        <v>46189</v>
      </c>
      <c r="M760" s="7"/>
    </row>
    <row r="761" spans="1:13" x14ac:dyDescent="0.35">
      <c r="A761" s="58" t="s">
        <v>1732</v>
      </c>
      <c r="B761" s="59">
        <v>46158</v>
      </c>
      <c r="C761" s="93" t="s">
        <v>1792</v>
      </c>
      <c r="D761" s="93" t="s">
        <v>1791</v>
      </c>
      <c r="E761" s="226">
        <v>9835163744</v>
      </c>
      <c r="F761" s="241" t="str">
        <f>'Membership Level'!A12</f>
        <v>Swimming Moth</v>
      </c>
      <c r="G761" s="93" t="s">
        <v>248</v>
      </c>
      <c r="H761" s="75">
        <v>2500</v>
      </c>
      <c r="I761" s="75">
        <v>2500</v>
      </c>
      <c r="J761" s="61"/>
      <c r="K761" s="59">
        <v>46158</v>
      </c>
      <c r="L761" s="59">
        <f>DATE(YEAR(K761),MONTH(K761)+VLOOKUP($F759,'Membership Level'!$A$3:$B$15,2,FALSE),DAY(K761))</f>
        <v>46189</v>
      </c>
      <c r="M761" s="7"/>
    </row>
    <row r="762" spans="1:13" x14ac:dyDescent="0.35">
      <c r="A762" s="58" t="s">
        <v>1733</v>
      </c>
      <c r="B762" s="59">
        <v>46158</v>
      </c>
      <c r="C762" s="93"/>
      <c r="D762" s="93" t="s">
        <v>1793</v>
      </c>
      <c r="E762" s="226">
        <v>9835163744</v>
      </c>
      <c r="F762" s="93" t="str">
        <f>'Membership Level'!A12</f>
        <v>Swimming Moth</v>
      </c>
      <c r="G762" s="93" t="s">
        <v>977</v>
      </c>
      <c r="H762" s="75">
        <v>2200</v>
      </c>
      <c r="I762" s="75">
        <v>2200</v>
      </c>
      <c r="J762" s="61"/>
      <c r="K762" s="59">
        <v>46158</v>
      </c>
      <c r="L762" s="59">
        <f>DATE(YEAR(K762),MONTH(K762)+VLOOKUP($F760,'Membership Level'!$A$3:$B$15,2,FALSE),DAY(K762))</f>
        <v>46189</v>
      </c>
      <c r="M762" s="7"/>
    </row>
    <row r="763" spans="1:13" s="6" customFormat="1" x14ac:dyDescent="0.35">
      <c r="A763" s="58" t="s">
        <v>1734</v>
      </c>
      <c r="B763" s="59">
        <v>46158</v>
      </c>
      <c r="C763" s="241" t="s">
        <v>1795</v>
      </c>
      <c r="D763" s="241" t="s">
        <v>1794</v>
      </c>
      <c r="E763" s="226">
        <v>6209417380</v>
      </c>
      <c r="F763" s="93" t="str">
        <f>'Membership Level'!A12</f>
        <v>Swimming Moth</v>
      </c>
      <c r="G763" s="241" t="s">
        <v>248</v>
      </c>
      <c r="H763" s="78">
        <v>4400</v>
      </c>
      <c r="I763" s="78">
        <v>4400</v>
      </c>
      <c r="J763" s="61"/>
      <c r="K763" s="59">
        <v>46158</v>
      </c>
      <c r="L763" s="59">
        <f>DATE(YEAR(K763),MONTH(K763)+VLOOKUP($F761,'Membership Level'!$A$3:$B$15,2,FALSE),DAY(K763))</f>
        <v>46189</v>
      </c>
      <c r="M763" s="58"/>
    </row>
    <row r="764" spans="1:13" x14ac:dyDescent="0.35">
      <c r="A764" s="58" t="s">
        <v>1735</v>
      </c>
      <c r="B764" s="59">
        <v>46158</v>
      </c>
      <c r="C764" s="93" t="s">
        <v>550</v>
      </c>
      <c r="D764" s="93" t="s">
        <v>1796</v>
      </c>
      <c r="E764" s="226">
        <v>6207012796</v>
      </c>
      <c r="F764" s="93" t="str">
        <f>'Membership Level'!A12</f>
        <v>Swimming Moth</v>
      </c>
      <c r="G764" s="93" t="s">
        <v>297</v>
      </c>
      <c r="H764" s="75">
        <v>3300</v>
      </c>
      <c r="I764" s="75">
        <v>3300</v>
      </c>
      <c r="J764" s="61"/>
      <c r="K764" s="59">
        <v>46158</v>
      </c>
      <c r="L764" s="59">
        <f>DATE(YEAR(K764),MONTH(K764)+VLOOKUP($F762,'Membership Level'!$A$3:$B$15,2,FALSE),DAY(K764))</f>
        <v>46189</v>
      </c>
      <c r="M764" s="7"/>
    </row>
    <row r="765" spans="1:13" s="11" customFormat="1" x14ac:dyDescent="0.35">
      <c r="A765" s="58" t="s">
        <v>1736</v>
      </c>
      <c r="B765" s="59">
        <v>46158</v>
      </c>
      <c r="C765" s="93" t="s">
        <v>475</v>
      </c>
      <c r="D765" s="93" t="s">
        <v>1797</v>
      </c>
      <c r="E765" s="226">
        <v>7004626303</v>
      </c>
      <c r="F765" s="93" t="str">
        <f>'Membership Level'!A12</f>
        <v>Swimming Moth</v>
      </c>
      <c r="G765" s="93" t="s">
        <v>1568</v>
      </c>
      <c r="H765" s="75">
        <v>3800</v>
      </c>
      <c r="I765" s="75">
        <v>3800</v>
      </c>
      <c r="J765" s="61"/>
      <c r="K765" s="59">
        <v>46158</v>
      </c>
      <c r="L765" s="59">
        <f>DATE(YEAR(K765),MONTH(K765)+VLOOKUP($F763,'Membership Level'!$A$3:$B$15,2,FALSE),DAY(K765))</f>
        <v>46189</v>
      </c>
      <c r="M765" s="7"/>
    </row>
    <row r="766" spans="1:13" s="85" customFormat="1" x14ac:dyDescent="0.35">
      <c r="A766" s="58" t="s">
        <v>1737</v>
      </c>
      <c r="B766" s="59">
        <v>46158</v>
      </c>
      <c r="C766" s="93"/>
      <c r="D766" s="93" t="s">
        <v>1880</v>
      </c>
      <c r="E766" s="226">
        <v>8298340589</v>
      </c>
      <c r="F766" s="93" t="str">
        <f>'Membership Level'!A12</f>
        <v>Swimming Moth</v>
      </c>
      <c r="G766" s="93" t="s">
        <v>1290</v>
      </c>
      <c r="H766" s="75">
        <v>2800</v>
      </c>
      <c r="I766" s="75">
        <v>2800</v>
      </c>
      <c r="J766" s="61"/>
      <c r="K766" s="59">
        <v>46158</v>
      </c>
      <c r="L766" s="59">
        <f>DATE(YEAR(K766),MONTH(K766)+VLOOKUP($F764,'Membership Level'!$A$3:$B$15,2,FALSE),DAY(K766))</f>
        <v>46189</v>
      </c>
      <c r="M766" s="7"/>
    </row>
    <row r="767" spans="1:13" x14ac:dyDescent="0.35">
      <c r="A767" s="58" t="s">
        <v>1738</v>
      </c>
      <c r="B767" s="59">
        <v>46158</v>
      </c>
      <c r="C767" s="93" t="s">
        <v>249</v>
      </c>
      <c r="D767" s="93" t="s">
        <v>1881</v>
      </c>
      <c r="E767" s="226">
        <v>8298340589</v>
      </c>
      <c r="F767" s="93" t="str">
        <f>'Membership Level'!A12</f>
        <v>Swimming Moth</v>
      </c>
      <c r="G767" s="93" t="s">
        <v>1290</v>
      </c>
      <c r="H767" s="75">
        <v>2800</v>
      </c>
      <c r="I767" s="75">
        <v>2800</v>
      </c>
      <c r="J767" s="61"/>
      <c r="K767" s="59">
        <v>46158</v>
      </c>
      <c r="L767" s="59">
        <f>DATE(YEAR(K767),MONTH(K767)+VLOOKUP($F765,'Membership Level'!$A$3:$B$15,2,FALSE),DAY(K767))</f>
        <v>46189</v>
      </c>
      <c r="M767" s="7"/>
    </row>
    <row r="768" spans="1:13" x14ac:dyDescent="0.35">
      <c r="A768" s="58" t="s">
        <v>1739</v>
      </c>
      <c r="B768" s="59">
        <v>46158</v>
      </c>
      <c r="C768" s="93" t="s">
        <v>333</v>
      </c>
      <c r="D768" s="93" t="s">
        <v>1882</v>
      </c>
      <c r="E768" s="226">
        <v>8334000097</v>
      </c>
      <c r="F768" s="93" t="str">
        <f>'Membership Level'!A12</f>
        <v>Swimming Moth</v>
      </c>
      <c r="G768" s="93" t="s">
        <v>1883</v>
      </c>
      <c r="H768" s="75">
        <v>2800</v>
      </c>
      <c r="I768" s="75">
        <v>2800</v>
      </c>
      <c r="J768" s="61"/>
      <c r="K768" s="59">
        <v>46158</v>
      </c>
      <c r="L768" s="59">
        <f>DATE(YEAR(K768),MONTH(K768)+VLOOKUP($F766,'Membership Level'!$A$3:$B$15,2,FALSE),DAY(K768))</f>
        <v>46189</v>
      </c>
      <c r="M768" s="7"/>
    </row>
    <row r="769" spans="1:13" x14ac:dyDescent="0.35">
      <c r="A769" s="58" t="s">
        <v>1740</v>
      </c>
      <c r="B769" s="59">
        <v>46158</v>
      </c>
      <c r="C769" s="93" t="s">
        <v>1157</v>
      </c>
      <c r="D769" s="93" t="s">
        <v>1884</v>
      </c>
      <c r="E769" s="226">
        <v>8877069123</v>
      </c>
      <c r="F769" s="93" t="str">
        <f>'Membership Level'!A12</f>
        <v>Swimming Moth</v>
      </c>
      <c r="G769" s="93" t="s">
        <v>1568</v>
      </c>
      <c r="H769" s="75">
        <v>3800</v>
      </c>
      <c r="I769" s="75">
        <v>3800</v>
      </c>
      <c r="J769" s="61"/>
      <c r="K769" s="59">
        <v>46158</v>
      </c>
      <c r="L769" s="59">
        <f>DATE(YEAR(K769),MONTH(K769)+VLOOKUP($F767,'Membership Level'!$A$3:$B$15,2,FALSE),DAY(K769))</f>
        <v>46189</v>
      </c>
      <c r="M769" s="7"/>
    </row>
    <row r="770" spans="1:13" x14ac:dyDescent="0.35">
      <c r="A770" s="58" t="s">
        <v>1741</v>
      </c>
      <c r="B770" s="59">
        <v>46158</v>
      </c>
      <c r="C770" s="93" t="s">
        <v>202</v>
      </c>
      <c r="D770" s="93" t="s">
        <v>1663</v>
      </c>
      <c r="E770" s="226">
        <v>7367095660</v>
      </c>
      <c r="F770" s="93" t="str">
        <f>'Membership Level'!A12</f>
        <v>Swimming Moth</v>
      </c>
      <c r="G770" s="93" t="s">
        <v>1568</v>
      </c>
      <c r="H770" s="75">
        <v>3800</v>
      </c>
      <c r="I770" s="75">
        <v>3800</v>
      </c>
      <c r="J770" s="61"/>
      <c r="K770" s="59">
        <v>46158</v>
      </c>
      <c r="L770" s="59">
        <f>DATE(YEAR(K770),MONTH(K770)+VLOOKUP($F768,'Membership Level'!$A$3:$B$15,2,FALSE),DAY(K770))</f>
        <v>46189</v>
      </c>
      <c r="M770" s="7"/>
    </row>
    <row r="771" spans="1:13" x14ac:dyDescent="0.35">
      <c r="A771" s="58" t="s">
        <v>1742</v>
      </c>
      <c r="B771" s="59">
        <v>46158</v>
      </c>
      <c r="C771" s="93"/>
      <c r="D771" s="93" t="s">
        <v>1885</v>
      </c>
      <c r="E771" s="226">
        <v>7061610119</v>
      </c>
      <c r="F771" s="93" t="str">
        <f>'Membership Level'!A12</f>
        <v>Swimming Moth</v>
      </c>
      <c r="G771" s="93" t="s">
        <v>248</v>
      </c>
      <c r="H771" s="75">
        <v>4400</v>
      </c>
      <c r="I771" s="75">
        <v>4400</v>
      </c>
      <c r="J771" s="61"/>
      <c r="K771" s="59">
        <v>46158</v>
      </c>
      <c r="L771" s="59">
        <f>DATE(YEAR(K771),MONTH(K771)+VLOOKUP($F769,'Membership Level'!$A$3:$B$15,2,FALSE),DAY(K771))</f>
        <v>46189</v>
      </c>
      <c r="M771" s="7"/>
    </row>
    <row r="772" spans="1:13" x14ac:dyDescent="0.35">
      <c r="A772" s="58" t="s">
        <v>1743</v>
      </c>
      <c r="B772" s="59">
        <v>46158</v>
      </c>
      <c r="C772" s="93" t="s">
        <v>1886</v>
      </c>
      <c r="D772" s="93" t="s">
        <v>1277</v>
      </c>
      <c r="E772" s="226">
        <v>8368260487</v>
      </c>
      <c r="F772" s="93" t="str">
        <f>'Membership Level'!A12</f>
        <v>Swimming Moth</v>
      </c>
      <c r="G772" s="93" t="s">
        <v>1417</v>
      </c>
      <c r="H772" s="75">
        <v>1000</v>
      </c>
      <c r="I772" s="75">
        <v>1000</v>
      </c>
      <c r="J772" s="61"/>
      <c r="K772" s="59">
        <v>46158</v>
      </c>
      <c r="L772" s="59">
        <f>DATE(YEAR(K772),MONTH(K772)+VLOOKUP($F770,'Membership Level'!$A$3:$B$15,2,FALSE),DAY(K772))</f>
        <v>46189</v>
      </c>
      <c r="M772" s="7"/>
    </row>
    <row r="773" spans="1:13" x14ac:dyDescent="0.35">
      <c r="A773" s="58" t="s">
        <v>1744</v>
      </c>
      <c r="B773" s="59">
        <v>46158</v>
      </c>
      <c r="C773" s="93" t="s">
        <v>1887</v>
      </c>
      <c r="D773" s="93" t="s">
        <v>1888</v>
      </c>
      <c r="E773" s="226">
        <v>8368260487</v>
      </c>
      <c r="F773" s="93" t="str">
        <f>'Membership Level'!A12</f>
        <v>Swimming Moth</v>
      </c>
      <c r="G773" s="93" t="s">
        <v>1417</v>
      </c>
      <c r="H773" s="75">
        <v>1000</v>
      </c>
      <c r="I773" s="75">
        <v>1000</v>
      </c>
      <c r="J773" s="61"/>
      <c r="K773" s="59">
        <v>46158</v>
      </c>
      <c r="L773" s="59">
        <f>DATE(YEAR(K773),MONTH(K773)+VLOOKUP($F771,'Membership Level'!$A$3:$B$15,2,FALSE),DAY(K773))</f>
        <v>46189</v>
      </c>
      <c r="M773" s="7"/>
    </row>
    <row r="774" spans="1:13" x14ac:dyDescent="0.35">
      <c r="A774" s="58" t="s">
        <v>1745</v>
      </c>
      <c r="B774" s="59">
        <v>46158</v>
      </c>
      <c r="C774" s="93" t="s">
        <v>1890</v>
      </c>
      <c r="D774" s="93" t="s">
        <v>1889</v>
      </c>
      <c r="E774" s="226">
        <v>8252776147</v>
      </c>
      <c r="F774" s="93" t="str">
        <f>'Membership Level'!A12</f>
        <v>Swimming Moth</v>
      </c>
      <c r="G774" s="93" t="s">
        <v>248</v>
      </c>
      <c r="H774" s="75">
        <v>4400</v>
      </c>
      <c r="I774" s="75">
        <v>4400</v>
      </c>
      <c r="J774" s="61"/>
      <c r="K774" s="59">
        <v>46158</v>
      </c>
      <c r="L774" s="59">
        <f>DATE(YEAR(K774),MONTH(K774)+VLOOKUP($F772,'Membership Level'!$A$3:$B$15,2,FALSE),DAY(K774))</f>
        <v>46189</v>
      </c>
      <c r="M774" s="7"/>
    </row>
    <row r="775" spans="1:13" x14ac:dyDescent="0.35">
      <c r="A775" s="58" t="s">
        <v>1746</v>
      </c>
      <c r="B775" s="59">
        <v>46158</v>
      </c>
      <c r="C775" s="93" t="s">
        <v>333</v>
      </c>
      <c r="D775" s="93" t="s">
        <v>1891</v>
      </c>
      <c r="E775" s="226">
        <v>7985745948</v>
      </c>
      <c r="F775" s="93" t="str">
        <f>'Membership Level'!A12</f>
        <v>Swimming Moth</v>
      </c>
      <c r="G775" s="93" t="s">
        <v>248</v>
      </c>
      <c r="H775" s="75">
        <v>4000</v>
      </c>
      <c r="I775" s="75">
        <v>4000</v>
      </c>
      <c r="J775" s="61"/>
      <c r="K775" s="59">
        <v>46158</v>
      </c>
      <c r="L775" s="59">
        <f>DATE(YEAR(K775),MONTH(K775)+VLOOKUP($F773,'Membership Level'!$A$3:$B$15,2,FALSE),DAY(K775))</f>
        <v>46189</v>
      </c>
      <c r="M775" s="7"/>
    </row>
    <row r="776" spans="1:13" s="82" customFormat="1" x14ac:dyDescent="0.35">
      <c r="A776" s="58" t="s">
        <v>1747</v>
      </c>
      <c r="B776" s="59">
        <v>46158</v>
      </c>
      <c r="C776" s="93" t="s">
        <v>333</v>
      </c>
      <c r="D776" s="93" t="s">
        <v>1892</v>
      </c>
      <c r="E776" s="226">
        <v>7985745948</v>
      </c>
      <c r="F776" s="93" t="str">
        <f>'Membership Level'!A12</f>
        <v>Swimming Moth</v>
      </c>
      <c r="G776" s="93" t="s">
        <v>248</v>
      </c>
      <c r="H776" s="75">
        <v>4000</v>
      </c>
      <c r="I776" s="75">
        <v>4000</v>
      </c>
      <c r="J776" s="61"/>
      <c r="K776" s="59">
        <v>46158</v>
      </c>
      <c r="L776" s="59">
        <f>DATE(YEAR(K776),MONTH(K776)+VLOOKUP($F774,'Membership Level'!$A$3:$B$15,2,FALSE),DAY(K776))</f>
        <v>46189</v>
      </c>
      <c r="M776" s="7"/>
    </row>
    <row r="777" spans="1:13" x14ac:dyDescent="0.35">
      <c r="A777" s="58" t="s">
        <v>1748</v>
      </c>
      <c r="B777" s="59">
        <v>46158</v>
      </c>
      <c r="C777" s="93" t="s">
        <v>333</v>
      </c>
      <c r="D777" s="93" t="s">
        <v>860</v>
      </c>
      <c r="E777" s="226">
        <v>7985745948</v>
      </c>
      <c r="F777" s="93" t="str">
        <f>'Membership Level'!A12</f>
        <v>Swimming Moth</v>
      </c>
      <c r="G777" s="93" t="s">
        <v>1568</v>
      </c>
      <c r="H777" s="75">
        <v>3500</v>
      </c>
      <c r="I777" s="75">
        <v>3500</v>
      </c>
      <c r="J777" s="61"/>
      <c r="K777" s="59">
        <v>46158</v>
      </c>
      <c r="L777" s="59">
        <f>DATE(YEAR(K777),MONTH(K777)+VLOOKUP($F775,'Membership Level'!$A$3:$B$15,2,FALSE),DAY(K777))</f>
        <v>46189</v>
      </c>
      <c r="M777" s="7"/>
    </row>
    <row r="778" spans="1:13" x14ac:dyDescent="0.35">
      <c r="A778" s="58" t="s">
        <v>1749</v>
      </c>
      <c r="B778" s="59">
        <v>46158</v>
      </c>
      <c r="C778" s="93" t="s">
        <v>1893</v>
      </c>
      <c r="D778" s="93" t="s">
        <v>1894</v>
      </c>
      <c r="E778" s="226">
        <v>7985745948</v>
      </c>
      <c r="F778" s="93" t="str">
        <f>'Membership Level'!A12</f>
        <v>Swimming Moth</v>
      </c>
      <c r="G778" s="93" t="s">
        <v>1568</v>
      </c>
      <c r="H778" s="75">
        <v>3500</v>
      </c>
      <c r="I778" s="75">
        <v>3500</v>
      </c>
      <c r="J778" s="61"/>
      <c r="K778" s="59">
        <v>46158</v>
      </c>
      <c r="L778" s="59">
        <f>DATE(YEAR(K778),MONTH(K778)+VLOOKUP($F776,'Membership Level'!$A$3:$B$15,2,FALSE),DAY(K778))</f>
        <v>46189</v>
      </c>
      <c r="M778" s="7"/>
    </row>
    <row r="779" spans="1:13" x14ac:dyDescent="0.35">
      <c r="A779" s="58" t="s">
        <v>1750</v>
      </c>
      <c r="B779" s="59">
        <v>46158</v>
      </c>
      <c r="C779" s="93" t="s">
        <v>1896</v>
      </c>
      <c r="D779" s="93" t="s">
        <v>1895</v>
      </c>
      <c r="E779" s="226">
        <v>7260908344</v>
      </c>
      <c r="F779" s="93" t="str">
        <f>'Membership Level'!A12</f>
        <v>Swimming Moth</v>
      </c>
      <c r="G779" s="93" t="s">
        <v>561</v>
      </c>
      <c r="H779" s="75">
        <v>3300</v>
      </c>
      <c r="I779" s="75">
        <v>3300</v>
      </c>
      <c r="J779" s="61"/>
      <c r="K779" s="59">
        <v>46158</v>
      </c>
      <c r="L779" s="59">
        <f>DATE(YEAR(K779),MONTH(K779)+VLOOKUP($F777,'Membership Level'!$A$3:$B$15,2,FALSE),DAY(K779))</f>
        <v>46189</v>
      </c>
      <c r="M779" s="7"/>
    </row>
    <row r="780" spans="1:13" s="11" customFormat="1" x14ac:dyDescent="0.35">
      <c r="A780" s="58" t="s">
        <v>1751</v>
      </c>
      <c r="B780" s="59">
        <v>46158</v>
      </c>
      <c r="C780" s="93" t="s">
        <v>333</v>
      </c>
      <c r="D780" s="93" t="s">
        <v>442</v>
      </c>
      <c r="E780" s="226">
        <v>7061548324</v>
      </c>
      <c r="F780" s="93" t="str">
        <f>'Membership Level'!A12</f>
        <v>Swimming Moth</v>
      </c>
      <c r="G780" s="93" t="s">
        <v>1568</v>
      </c>
      <c r="H780" s="75">
        <v>3500</v>
      </c>
      <c r="I780" s="75">
        <v>3500</v>
      </c>
      <c r="J780" s="61"/>
      <c r="K780" s="59">
        <v>46158</v>
      </c>
      <c r="L780" s="59">
        <f>DATE(YEAR(K780),MONTH(K780)+VLOOKUP($F778,'Membership Level'!$A$3:$B$15,2,FALSE),DAY(K780))</f>
        <v>46189</v>
      </c>
      <c r="M780" s="7"/>
    </row>
    <row r="781" spans="1:13" x14ac:dyDescent="0.35">
      <c r="A781" s="58" t="s">
        <v>1752</v>
      </c>
      <c r="B781" s="59">
        <v>46158</v>
      </c>
      <c r="C781" s="93" t="s">
        <v>333</v>
      </c>
      <c r="D781" s="93" t="s">
        <v>1885</v>
      </c>
      <c r="E781" s="226">
        <v>7992374386</v>
      </c>
      <c r="F781" s="93" t="str">
        <f>'Membership Level'!A12</f>
        <v>Swimming Moth</v>
      </c>
      <c r="G781" s="93" t="s">
        <v>379</v>
      </c>
      <c r="H781" s="75">
        <v>2800</v>
      </c>
      <c r="I781" s="75">
        <v>2800</v>
      </c>
      <c r="J781" s="61"/>
      <c r="K781" s="59">
        <v>46158</v>
      </c>
      <c r="L781" s="59">
        <f>DATE(YEAR(K781),MONTH(K781)+VLOOKUP($F779,'Membership Level'!$A$3:$B$15,2,FALSE),DAY(K781))</f>
        <v>46189</v>
      </c>
      <c r="M781" s="7"/>
    </row>
    <row r="782" spans="1:13" x14ac:dyDescent="0.35">
      <c r="A782" s="58" t="s">
        <v>1798</v>
      </c>
      <c r="B782" s="59">
        <v>46158</v>
      </c>
      <c r="C782" s="93" t="s">
        <v>333</v>
      </c>
      <c r="D782" s="93" t="s">
        <v>865</v>
      </c>
      <c r="E782" s="226">
        <v>8709825312</v>
      </c>
      <c r="F782" s="93" t="str">
        <f>'Membership Level'!A12</f>
        <v>Swimming Moth</v>
      </c>
      <c r="G782" s="93" t="s">
        <v>1897</v>
      </c>
      <c r="H782" s="75">
        <v>2500</v>
      </c>
      <c r="I782" s="75">
        <v>2500</v>
      </c>
      <c r="J782" s="61"/>
      <c r="K782" s="59">
        <v>46158</v>
      </c>
      <c r="L782" s="59">
        <f>DATE(YEAR(K782),MONTH(K782)+VLOOKUP($F780,'Membership Level'!$A$3:$B$15,2,FALSE),DAY(K782))</f>
        <v>46189</v>
      </c>
      <c r="M782" s="7"/>
    </row>
    <row r="783" spans="1:13" x14ac:dyDescent="0.35">
      <c r="A783" s="58" t="s">
        <v>1799</v>
      </c>
      <c r="B783" s="59">
        <v>46158</v>
      </c>
      <c r="C783" s="93" t="s">
        <v>1898</v>
      </c>
      <c r="D783" s="93" t="s">
        <v>465</v>
      </c>
      <c r="E783" s="226">
        <v>8709268470</v>
      </c>
      <c r="F783" s="93" t="str">
        <f>'Membership Level'!A12</f>
        <v>Swimming Moth</v>
      </c>
      <c r="G783" s="93" t="s">
        <v>248</v>
      </c>
      <c r="H783" s="75">
        <v>4000</v>
      </c>
      <c r="I783" s="75">
        <v>4000</v>
      </c>
      <c r="J783" s="61"/>
      <c r="K783" s="59">
        <v>46158</v>
      </c>
      <c r="L783" s="59">
        <f>DATE(YEAR(K783),MONTH(K783)+VLOOKUP($F781,'Membership Level'!$A$3:$B$15,2,FALSE),DAY(K783))</f>
        <v>46189</v>
      </c>
      <c r="M783" s="7"/>
    </row>
    <row r="784" spans="1:13" x14ac:dyDescent="0.35">
      <c r="A784" s="58" t="s">
        <v>1800</v>
      </c>
      <c r="B784" s="59">
        <v>46158</v>
      </c>
      <c r="C784" s="93" t="s">
        <v>869</v>
      </c>
      <c r="D784" s="93" t="s">
        <v>1899</v>
      </c>
      <c r="E784" s="226">
        <v>8218903666</v>
      </c>
      <c r="F784" s="93" t="str">
        <f>'Membership Level'!A12</f>
        <v>Swimming Moth</v>
      </c>
      <c r="G784" s="93" t="s">
        <v>1170</v>
      </c>
      <c r="H784" s="75">
        <v>2500</v>
      </c>
      <c r="I784" s="75">
        <v>2500</v>
      </c>
      <c r="J784" s="61"/>
      <c r="K784" s="59">
        <v>46158</v>
      </c>
      <c r="L784" s="59">
        <f>DATE(YEAR(K784),MONTH(K784)+VLOOKUP($F782,'Membership Level'!$A$3:$B$15,2,FALSE),DAY(K784))</f>
        <v>46189</v>
      </c>
      <c r="M784" s="7"/>
    </row>
    <row r="785" spans="1:13" x14ac:dyDescent="0.35">
      <c r="A785" s="58" t="s">
        <v>1801</v>
      </c>
      <c r="B785" s="59">
        <v>46158</v>
      </c>
      <c r="C785" s="93"/>
      <c r="D785" s="93" t="s">
        <v>1900</v>
      </c>
      <c r="E785" s="226">
        <v>9113397028</v>
      </c>
      <c r="F785" s="93" t="str">
        <f>'Membership Level'!A12</f>
        <v>Swimming Moth</v>
      </c>
      <c r="G785" s="93" t="s">
        <v>977</v>
      </c>
      <c r="H785" s="75">
        <v>2200</v>
      </c>
      <c r="I785" s="75">
        <v>2200</v>
      </c>
      <c r="J785" s="61"/>
      <c r="K785" s="59">
        <v>46158</v>
      </c>
      <c r="L785" s="59">
        <f>DATE(YEAR(K785),MONTH(K785)+VLOOKUP($F783,'Membership Level'!$A$3:$B$15,2,FALSE),DAY(K785))</f>
        <v>46189</v>
      </c>
      <c r="M785" s="7"/>
    </row>
    <row r="786" spans="1:13" x14ac:dyDescent="0.35">
      <c r="A786" s="58" t="s">
        <v>1802</v>
      </c>
      <c r="B786" s="59">
        <v>46158</v>
      </c>
      <c r="C786" s="93" t="s">
        <v>202</v>
      </c>
      <c r="D786" s="93" t="s">
        <v>599</v>
      </c>
      <c r="E786" s="226">
        <v>7488495968</v>
      </c>
      <c r="F786" s="93" t="str">
        <f>'Membership Level'!A12</f>
        <v>Swimming Moth</v>
      </c>
      <c r="G786" s="93" t="s">
        <v>1568</v>
      </c>
      <c r="H786" s="75">
        <v>3800</v>
      </c>
      <c r="I786" s="75">
        <v>3800</v>
      </c>
      <c r="J786" s="61"/>
      <c r="K786" s="59">
        <v>46158</v>
      </c>
      <c r="L786" s="59">
        <f>DATE(YEAR(K786),MONTH(K786)+VLOOKUP($F784,'Membership Level'!$A$3:$B$15,2,FALSE),DAY(K786))</f>
        <v>46189</v>
      </c>
      <c r="M786" s="7"/>
    </row>
    <row r="787" spans="1:13" s="82" customFormat="1" x14ac:dyDescent="0.35">
      <c r="A787" s="58" t="s">
        <v>1803</v>
      </c>
      <c r="B787" s="59">
        <v>46158</v>
      </c>
      <c r="C787" s="93" t="s">
        <v>333</v>
      </c>
      <c r="D787" s="93" t="s">
        <v>1901</v>
      </c>
      <c r="E787" s="226">
        <v>6202775378</v>
      </c>
      <c r="F787" s="93" t="str">
        <f>'Membership Level'!A12</f>
        <v>Swimming Moth</v>
      </c>
      <c r="G787" s="93" t="s">
        <v>1568</v>
      </c>
      <c r="H787" s="75">
        <v>3500</v>
      </c>
      <c r="I787" s="75">
        <v>3500</v>
      </c>
      <c r="J787" s="61"/>
      <c r="K787" s="300">
        <v>46161</v>
      </c>
      <c r="L787" s="300">
        <f>DATE(YEAR(K787),MONTH(K787)+VLOOKUP($F785,'Membership Level'!$A$3:$B$15,2,FALSE),DAY(K787))</f>
        <v>46192</v>
      </c>
      <c r="M787" s="7"/>
    </row>
    <row r="788" spans="1:13" s="82" customFormat="1" x14ac:dyDescent="0.35">
      <c r="A788" s="58" t="s">
        <v>1804</v>
      </c>
      <c r="B788" s="59">
        <v>46158</v>
      </c>
      <c r="C788" s="93" t="s">
        <v>259</v>
      </c>
      <c r="D788" s="93" t="s">
        <v>782</v>
      </c>
      <c r="E788" s="226">
        <v>9431614821</v>
      </c>
      <c r="F788" s="93" t="str">
        <f>'Membership Level'!A12</f>
        <v>Swimming Moth</v>
      </c>
      <c r="G788" s="93" t="s">
        <v>1568</v>
      </c>
      <c r="H788" s="75">
        <v>3800</v>
      </c>
      <c r="I788" s="75">
        <v>3800</v>
      </c>
      <c r="J788" s="61"/>
      <c r="K788" s="59">
        <v>46158</v>
      </c>
      <c r="L788" s="59">
        <f>DATE(YEAR(K788),MONTH(K788)+VLOOKUP($F786,'Membership Level'!$A$3:$B$15,2,FALSE),DAY(K788))</f>
        <v>46189</v>
      </c>
      <c r="M788" s="7"/>
    </row>
    <row r="789" spans="1:13" x14ac:dyDescent="0.35">
      <c r="A789" s="58" t="s">
        <v>1805</v>
      </c>
      <c r="B789" s="59">
        <v>46158</v>
      </c>
      <c r="C789" s="93" t="s">
        <v>1903</v>
      </c>
      <c r="D789" s="93" t="s">
        <v>1902</v>
      </c>
      <c r="E789" s="226">
        <v>8651743940</v>
      </c>
      <c r="F789" s="93" t="str">
        <f>'Membership Level'!A12</f>
        <v>Swimming Moth</v>
      </c>
      <c r="G789" s="93" t="s">
        <v>248</v>
      </c>
      <c r="H789" s="75">
        <v>4400</v>
      </c>
      <c r="I789" s="75">
        <v>4400</v>
      </c>
      <c r="J789" s="61"/>
      <c r="K789" s="59">
        <v>46158</v>
      </c>
      <c r="L789" s="59">
        <f>DATE(YEAR(K789),MONTH(K789)+VLOOKUP($F787,'Membership Level'!$A$3:$B$15,2,FALSE),DAY(K789))</f>
        <v>46189</v>
      </c>
      <c r="M789" s="7"/>
    </row>
    <row r="790" spans="1:13" x14ac:dyDescent="0.35">
      <c r="A790" s="58" t="s">
        <v>1806</v>
      </c>
      <c r="B790" s="59">
        <v>46158</v>
      </c>
      <c r="C790" s="93"/>
      <c r="D790" s="93" t="s">
        <v>666</v>
      </c>
      <c r="E790" s="226">
        <v>9110138190</v>
      </c>
      <c r="F790" s="93" t="str">
        <f>'Membership Level'!A12</f>
        <v>Swimming Moth</v>
      </c>
      <c r="G790" s="93" t="s">
        <v>1568</v>
      </c>
      <c r="H790" s="75">
        <v>3800</v>
      </c>
      <c r="I790" s="75">
        <v>3800</v>
      </c>
      <c r="J790" s="61"/>
      <c r="K790" s="59">
        <v>46158</v>
      </c>
      <c r="L790" s="59">
        <f>DATE(YEAR(K790),MONTH(K790)+VLOOKUP($F788,'Membership Level'!$A$3:$B$15,2,FALSE),DAY(K790))</f>
        <v>46189</v>
      </c>
      <c r="M790" s="7"/>
    </row>
    <row r="791" spans="1:13" x14ac:dyDescent="0.35">
      <c r="A791" s="58" t="s">
        <v>1807</v>
      </c>
      <c r="B791" s="59">
        <v>46158</v>
      </c>
      <c r="C791" s="93"/>
      <c r="D791" s="93" t="s">
        <v>826</v>
      </c>
      <c r="E791" s="226">
        <v>9110138190</v>
      </c>
      <c r="F791" s="93" t="str">
        <f>'Membership Level'!A12</f>
        <v>Swimming Moth</v>
      </c>
      <c r="G791" s="93" t="s">
        <v>1568</v>
      </c>
      <c r="H791" s="75">
        <v>3800</v>
      </c>
      <c r="I791" s="75">
        <v>3800</v>
      </c>
      <c r="J791" s="61"/>
      <c r="K791" s="59">
        <v>46158</v>
      </c>
      <c r="L791" s="59">
        <f>DATE(YEAR(K791),MONTH(K791)+VLOOKUP($F789,'Membership Level'!$A$3:$B$15,2,FALSE),DAY(K791))</f>
        <v>46189</v>
      </c>
      <c r="M791" s="7"/>
    </row>
    <row r="792" spans="1:13" x14ac:dyDescent="0.35">
      <c r="A792" s="58" t="s">
        <v>1808</v>
      </c>
      <c r="B792" s="59">
        <v>46159</v>
      </c>
      <c r="C792" s="93" t="s">
        <v>312</v>
      </c>
      <c r="D792" s="93" t="s">
        <v>1904</v>
      </c>
      <c r="E792" s="226">
        <v>9801840989</v>
      </c>
      <c r="F792" s="93" t="str">
        <f>'Membership Level'!A12</f>
        <v>Swimming Moth</v>
      </c>
      <c r="G792" s="93" t="s">
        <v>1568</v>
      </c>
      <c r="H792" s="75">
        <v>3500</v>
      </c>
      <c r="I792" s="75">
        <v>3500</v>
      </c>
      <c r="J792" s="61"/>
      <c r="K792" s="59">
        <v>46159</v>
      </c>
      <c r="L792" s="59">
        <f>DATE(YEAR(K792),MONTH(K792)+VLOOKUP($F790,'Membership Level'!$A$3:$B$15,2,FALSE),DAY(K792))</f>
        <v>46190</v>
      </c>
      <c r="M792" s="7"/>
    </row>
    <row r="793" spans="1:13" x14ac:dyDescent="0.35">
      <c r="A793" s="58" t="s">
        <v>1809</v>
      </c>
      <c r="B793" s="59">
        <v>46159</v>
      </c>
      <c r="C793" s="93" t="s">
        <v>312</v>
      </c>
      <c r="D793" s="93" t="s">
        <v>1905</v>
      </c>
      <c r="E793" s="226">
        <v>9801840989</v>
      </c>
      <c r="F793" s="93" t="str">
        <f>'Membership Level'!A12</f>
        <v>Swimming Moth</v>
      </c>
      <c r="G793" s="93" t="s">
        <v>1568</v>
      </c>
      <c r="H793" s="75">
        <v>3500</v>
      </c>
      <c r="I793" s="75">
        <v>3500</v>
      </c>
      <c r="J793" s="61"/>
      <c r="K793" s="59">
        <v>46159</v>
      </c>
      <c r="L793" s="59">
        <f>DATE(YEAR(K793),MONTH(K793)+VLOOKUP($F791,'Membership Level'!$A$3:$B$15,2,FALSE),DAY(K793))</f>
        <v>46190</v>
      </c>
      <c r="M793" s="7"/>
    </row>
    <row r="794" spans="1:13" x14ac:dyDescent="0.35">
      <c r="A794" s="58" t="s">
        <v>1810</v>
      </c>
      <c r="B794" s="59">
        <v>46159</v>
      </c>
      <c r="C794" s="93" t="s">
        <v>202</v>
      </c>
      <c r="D794" s="93" t="s">
        <v>1906</v>
      </c>
      <c r="E794" s="226">
        <v>9801840989</v>
      </c>
      <c r="F794" s="93" t="str">
        <f>'Membership Level'!A12</f>
        <v>Swimming Moth</v>
      </c>
      <c r="G794" s="93" t="s">
        <v>248</v>
      </c>
      <c r="H794" s="75">
        <v>4000</v>
      </c>
      <c r="I794" s="75">
        <v>4000</v>
      </c>
      <c r="J794" s="61"/>
      <c r="K794" s="59">
        <v>46159</v>
      </c>
      <c r="L794" s="59">
        <f>DATE(YEAR(K794),MONTH(K794)+VLOOKUP($F792,'Membership Level'!$A$3:$B$15,2,FALSE),DAY(K794))</f>
        <v>46190</v>
      </c>
      <c r="M794" s="7"/>
    </row>
    <row r="795" spans="1:13" x14ac:dyDescent="0.35">
      <c r="A795" s="58" t="s">
        <v>1811</v>
      </c>
      <c r="B795" s="59">
        <v>46159</v>
      </c>
      <c r="C795" s="93" t="s">
        <v>333</v>
      </c>
      <c r="D795" s="93" t="s">
        <v>1907</v>
      </c>
      <c r="E795" s="226">
        <v>7018723727</v>
      </c>
      <c r="F795" s="93" t="str">
        <f>'Membership Level'!A12</f>
        <v>Swimming Moth</v>
      </c>
      <c r="G795" s="93" t="s">
        <v>1568</v>
      </c>
      <c r="H795" s="75">
        <v>3800</v>
      </c>
      <c r="I795" s="75">
        <v>3800</v>
      </c>
      <c r="J795" s="61"/>
      <c r="K795" s="59">
        <v>46159</v>
      </c>
      <c r="L795" s="59">
        <f>DATE(YEAR(K795),MONTH(K795)+VLOOKUP($F793,'Membership Level'!$A$3:$B$15,2,FALSE),DAY(K795))</f>
        <v>46190</v>
      </c>
      <c r="M795" s="7"/>
    </row>
    <row r="796" spans="1:13" x14ac:dyDescent="0.35">
      <c r="A796" s="58" t="s">
        <v>1812</v>
      </c>
      <c r="B796" s="59">
        <v>46159</v>
      </c>
      <c r="C796" s="93" t="s">
        <v>202</v>
      </c>
      <c r="D796" s="93" t="s">
        <v>1912</v>
      </c>
      <c r="E796" s="226">
        <v>9386868883</v>
      </c>
      <c r="F796" s="93" t="str">
        <f>'Membership Level'!A12</f>
        <v>Swimming Moth</v>
      </c>
      <c r="G796" s="93" t="s">
        <v>1568</v>
      </c>
      <c r="H796" s="75">
        <v>3500</v>
      </c>
      <c r="I796" s="75">
        <v>3500</v>
      </c>
      <c r="J796" s="61"/>
      <c r="K796" s="59">
        <v>46159</v>
      </c>
      <c r="L796" s="59">
        <f>DATE(YEAR(K796),MONTH(K796)+VLOOKUP($F794,'Membership Level'!$A$3:$B$15,2,FALSE),DAY(K796))</f>
        <v>46190</v>
      </c>
      <c r="M796" s="7"/>
    </row>
    <row r="797" spans="1:13" x14ac:dyDescent="0.35">
      <c r="A797" s="58" t="s">
        <v>1813</v>
      </c>
      <c r="B797" s="59">
        <v>46159</v>
      </c>
      <c r="C797" s="93" t="s">
        <v>1913</v>
      </c>
      <c r="D797" s="93" t="s">
        <v>764</v>
      </c>
      <c r="E797" s="226">
        <v>9386868883</v>
      </c>
      <c r="F797" s="93" t="str">
        <f>'Membership Level'!A12</f>
        <v>Swimming Moth</v>
      </c>
      <c r="G797" s="93" t="s">
        <v>1914</v>
      </c>
      <c r="H797" s="75">
        <v>3500</v>
      </c>
      <c r="I797" s="75">
        <v>3500</v>
      </c>
      <c r="J797" s="61"/>
      <c r="K797" s="59">
        <v>46159</v>
      </c>
      <c r="L797" s="59">
        <f>DATE(YEAR(K797),MONTH(K797)+VLOOKUP($F795,'Membership Level'!$A$3:$B$15,2,FALSE),DAY(K797))</f>
        <v>46190</v>
      </c>
      <c r="M797" s="7"/>
    </row>
    <row r="798" spans="1:13" s="11" customFormat="1" x14ac:dyDescent="0.35">
      <c r="A798" s="58" t="s">
        <v>1814</v>
      </c>
      <c r="B798" s="59">
        <v>46159</v>
      </c>
      <c r="C798" s="93" t="s">
        <v>1913</v>
      </c>
      <c r="D798" s="93" t="s">
        <v>1915</v>
      </c>
      <c r="E798" s="226">
        <v>9386868883</v>
      </c>
      <c r="F798" s="93" t="str">
        <f>'Membership Level'!A12</f>
        <v>Swimming Moth</v>
      </c>
      <c r="G798" s="93" t="s">
        <v>1568</v>
      </c>
      <c r="H798" s="75">
        <v>3500</v>
      </c>
      <c r="I798" s="75">
        <v>3500</v>
      </c>
      <c r="J798" s="61"/>
      <c r="K798" s="59">
        <v>46159</v>
      </c>
      <c r="L798" s="59">
        <f>DATE(YEAR(K798),MONTH(K798)+VLOOKUP($F796,'Membership Level'!$A$3:$B$15,2,FALSE),DAY(K798))</f>
        <v>46190</v>
      </c>
      <c r="M798" s="7"/>
    </row>
    <row r="799" spans="1:13" x14ac:dyDescent="0.35">
      <c r="A799" s="58" t="s">
        <v>1815</v>
      </c>
      <c r="B799" s="59">
        <v>46159</v>
      </c>
      <c r="C799" s="93" t="s">
        <v>222</v>
      </c>
      <c r="D799" s="93" t="s">
        <v>1916</v>
      </c>
      <c r="E799" s="226">
        <v>9122166999</v>
      </c>
      <c r="F799" s="93" t="str">
        <f>'Membership Level'!A12</f>
        <v>Swimming Moth</v>
      </c>
      <c r="G799" s="93" t="s">
        <v>1568</v>
      </c>
      <c r="H799" s="75">
        <v>3500</v>
      </c>
      <c r="I799" s="75">
        <v>3500</v>
      </c>
      <c r="J799" s="61"/>
      <c r="K799" s="59">
        <v>46159</v>
      </c>
      <c r="L799" s="59">
        <f>DATE(YEAR(K799),MONTH(K799)+VLOOKUP($F797,'Membership Level'!$A$3:$B$15,2,FALSE),DAY(K799))</f>
        <v>46190</v>
      </c>
      <c r="M799" s="7"/>
    </row>
    <row r="800" spans="1:13" x14ac:dyDescent="0.35">
      <c r="A800" s="58" t="s">
        <v>1816</v>
      </c>
      <c r="B800" s="59">
        <v>46159</v>
      </c>
      <c r="C800" s="93" t="s">
        <v>222</v>
      </c>
      <c r="D800" s="93" t="s">
        <v>479</v>
      </c>
      <c r="E800" s="226">
        <v>9122166999</v>
      </c>
      <c r="F800" s="93" t="str">
        <f>'Membership Level'!A12</f>
        <v>Swimming Moth</v>
      </c>
      <c r="G800" s="93" t="s">
        <v>1660</v>
      </c>
      <c r="H800" s="75">
        <v>3500</v>
      </c>
      <c r="I800" s="75">
        <v>3500</v>
      </c>
      <c r="J800" s="61"/>
      <c r="K800" s="59">
        <v>46159</v>
      </c>
      <c r="L800" s="59">
        <f>DATE(YEAR(K800),MONTH(K800)+VLOOKUP($F798,'Membership Level'!$A$3:$B$15,2,FALSE),DAY(K800))</f>
        <v>46190</v>
      </c>
      <c r="M800" s="7"/>
    </row>
    <row r="801" spans="1:13" x14ac:dyDescent="0.35">
      <c r="A801" s="58" t="s">
        <v>1817</v>
      </c>
      <c r="B801" s="59">
        <v>46159</v>
      </c>
      <c r="C801" s="93" t="s">
        <v>577</v>
      </c>
      <c r="D801" s="93" t="s">
        <v>865</v>
      </c>
      <c r="E801" s="226">
        <v>9122166999</v>
      </c>
      <c r="F801" s="93" t="str">
        <f>'Membership Level'!A12</f>
        <v>Swimming Moth</v>
      </c>
      <c r="G801" s="93" t="s">
        <v>1568</v>
      </c>
      <c r="H801" s="75">
        <v>3500</v>
      </c>
      <c r="I801" s="75">
        <v>3500</v>
      </c>
      <c r="J801" s="61"/>
      <c r="K801" s="59">
        <v>46159</v>
      </c>
      <c r="L801" s="59">
        <f>DATE(YEAR(K801),MONTH(K801)+VLOOKUP($F799,'Membership Level'!$A$3:$B$15,2,FALSE),DAY(K801))</f>
        <v>46190</v>
      </c>
      <c r="M801" s="7"/>
    </row>
    <row r="802" spans="1:13" x14ac:dyDescent="0.35">
      <c r="A802" s="58" t="s">
        <v>1818</v>
      </c>
      <c r="B802" s="59">
        <v>46159</v>
      </c>
      <c r="C802" s="93" t="s">
        <v>32</v>
      </c>
      <c r="D802" s="93" t="s">
        <v>1917</v>
      </c>
      <c r="E802" s="226">
        <v>9122166999</v>
      </c>
      <c r="F802" s="93" t="str">
        <f>'Membership Level'!A12</f>
        <v>Swimming Moth</v>
      </c>
      <c r="G802" s="93" t="s">
        <v>248</v>
      </c>
      <c r="H802" s="75">
        <v>4000</v>
      </c>
      <c r="I802" s="75">
        <v>4000</v>
      </c>
      <c r="J802" s="61"/>
      <c r="K802" s="59">
        <v>46159</v>
      </c>
      <c r="L802" s="59">
        <f>DATE(YEAR(K802),MONTH(K802)+VLOOKUP($F800,'Membership Level'!$A$3:$B$15,2,FALSE),DAY(K802))</f>
        <v>46190</v>
      </c>
      <c r="M802" s="7"/>
    </row>
    <row r="803" spans="1:13" x14ac:dyDescent="0.35">
      <c r="A803" s="58" t="s">
        <v>1819</v>
      </c>
      <c r="B803" s="59">
        <v>46159</v>
      </c>
      <c r="C803" s="93" t="s">
        <v>1919</v>
      </c>
      <c r="D803" s="93" t="s">
        <v>1918</v>
      </c>
      <c r="E803" s="226">
        <v>9835394134</v>
      </c>
      <c r="F803" s="93" t="str">
        <f>'Membership Level'!A12</f>
        <v>Swimming Moth</v>
      </c>
      <c r="G803" s="93" t="s">
        <v>1568</v>
      </c>
      <c r="H803" s="75">
        <v>3800</v>
      </c>
      <c r="I803" s="75">
        <v>3800</v>
      </c>
      <c r="J803" s="61"/>
      <c r="K803" s="59">
        <v>46159</v>
      </c>
      <c r="L803" s="59">
        <f>DATE(YEAR(K803),MONTH(K803)+VLOOKUP($F801,'Membership Level'!$A$3:$B$15,2,FALSE),DAY(K803))</f>
        <v>46190</v>
      </c>
      <c r="M803" s="7"/>
    </row>
    <row r="804" spans="1:13" x14ac:dyDescent="0.35">
      <c r="A804" s="58" t="s">
        <v>1820</v>
      </c>
      <c r="B804" s="59">
        <v>46159</v>
      </c>
      <c r="C804" s="93" t="s">
        <v>1919</v>
      </c>
      <c r="D804" s="93" t="s">
        <v>1920</v>
      </c>
      <c r="E804" s="226">
        <v>9835394134</v>
      </c>
      <c r="F804" s="93" t="str">
        <f>'Membership Level'!A12</f>
        <v>Swimming Moth</v>
      </c>
      <c r="G804" s="93" t="s">
        <v>1568</v>
      </c>
      <c r="H804" s="75">
        <v>3800</v>
      </c>
      <c r="I804" s="75">
        <v>3800</v>
      </c>
      <c r="J804" s="61"/>
      <c r="K804" s="59">
        <v>46159</v>
      </c>
      <c r="L804" s="59">
        <f>DATE(YEAR(K804),MONTH(K804)+VLOOKUP($F802,'Membership Level'!$A$3:$B$15,2,FALSE),DAY(K804))</f>
        <v>46190</v>
      </c>
      <c r="M804" s="7"/>
    </row>
    <row r="805" spans="1:13" x14ac:dyDescent="0.35">
      <c r="A805" s="58" t="s">
        <v>1821</v>
      </c>
      <c r="B805" s="59">
        <v>46159</v>
      </c>
      <c r="C805" s="93" t="s">
        <v>1922</v>
      </c>
      <c r="D805" s="93" t="s">
        <v>1921</v>
      </c>
      <c r="E805" s="226">
        <v>7903330351</v>
      </c>
      <c r="F805" s="93" t="str">
        <f>'Membership Level'!A12</f>
        <v>Swimming Moth</v>
      </c>
      <c r="G805" s="93" t="s">
        <v>1568</v>
      </c>
      <c r="H805" s="75">
        <v>3500</v>
      </c>
      <c r="I805" s="75">
        <v>3500</v>
      </c>
      <c r="J805" s="61"/>
      <c r="K805" s="59">
        <v>46159</v>
      </c>
      <c r="L805" s="59">
        <f>DATE(YEAR(K805),MONTH(K805)+VLOOKUP($F803,'Membership Level'!$A$3:$B$15,2,FALSE),DAY(K805))</f>
        <v>46190</v>
      </c>
      <c r="M805" s="7"/>
    </row>
    <row r="806" spans="1:13" x14ac:dyDescent="0.35">
      <c r="A806" s="58" t="s">
        <v>1822</v>
      </c>
      <c r="B806" s="59">
        <v>46159</v>
      </c>
      <c r="C806" s="93" t="s">
        <v>1924</v>
      </c>
      <c r="D806" s="93" t="s">
        <v>1923</v>
      </c>
      <c r="E806" s="226">
        <v>8810353375</v>
      </c>
      <c r="F806" s="93" t="str">
        <f>'Membership Level'!A12</f>
        <v>Swimming Moth</v>
      </c>
      <c r="G806" s="93" t="s">
        <v>1580</v>
      </c>
      <c r="H806" s="75">
        <v>2200</v>
      </c>
      <c r="I806" s="75">
        <v>2200</v>
      </c>
      <c r="J806" s="61"/>
      <c r="K806" s="59">
        <v>46159</v>
      </c>
      <c r="L806" s="59">
        <f>DATE(YEAR(K806),MONTH(K806)+VLOOKUP($F804,'Membership Level'!$A$3:$B$15,2,FALSE),DAY(K806))</f>
        <v>46190</v>
      </c>
      <c r="M806" s="7"/>
    </row>
    <row r="807" spans="1:13" x14ac:dyDescent="0.35">
      <c r="A807" s="58" t="s">
        <v>1823</v>
      </c>
      <c r="B807" s="59">
        <v>46159</v>
      </c>
      <c r="C807" s="93" t="s">
        <v>333</v>
      </c>
      <c r="D807" s="93" t="s">
        <v>1925</v>
      </c>
      <c r="E807" s="226">
        <v>7979845850</v>
      </c>
      <c r="F807" s="93" t="str">
        <f>'Membership Level'!A12</f>
        <v>Swimming Moth</v>
      </c>
      <c r="G807" s="93" t="s">
        <v>1568</v>
      </c>
      <c r="H807" s="75">
        <v>3000</v>
      </c>
      <c r="I807" s="75">
        <v>3000</v>
      </c>
      <c r="J807" s="61"/>
      <c r="K807" s="59">
        <v>46159</v>
      </c>
      <c r="L807" s="59">
        <f>DATE(YEAR(K807),MONTH(K807)+VLOOKUP($F805,'Membership Level'!$A$3:$B$15,2,FALSE),DAY(K807))</f>
        <v>46190</v>
      </c>
      <c r="M807" s="7"/>
    </row>
    <row r="808" spans="1:13" x14ac:dyDescent="0.35">
      <c r="A808" s="58" t="s">
        <v>1824</v>
      </c>
      <c r="B808" s="59">
        <v>46159</v>
      </c>
      <c r="C808" s="93" t="s">
        <v>1926</v>
      </c>
      <c r="D808" s="93" t="s">
        <v>329</v>
      </c>
      <c r="E808" s="226">
        <v>6205646538</v>
      </c>
      <c r="F808" s="93" t="str">
        <f>'Membership Level'!A12</f>
        <v>Swimming Moth</v>
      </c>
      <c r="G808" s="93" t="s">
        <v>1568</v>
      </c>
      <c r="H808" s="75">
        <v>3500</v>
      </c>
      <c r="I808" s="75">
        <v>3500</v>
      </c>
      <c r="J808" s="61"/>
      <c r="K808" s="59">
        <v>46159</v>
      </c>
      <c r="L808" s="59">
        <f>DATE(YEAR(K808),MONTH(K808)+VLOOKUP($F806,'Membership Level'!$A$3:$B$15,2,FALSE),DAY(K808))</f>
        <v>46190</v>
      </c>
      <c r="M808" s="7"/>
    </row>
    <row r="809" spans="1:13" x14ac:dyDescent="0.35">
      <c r="A809" s="58" t="s">
        <v>1825</v>
      </c>
      <c r="B809" s="59">
        <v>46159</v>
      </c>
      <c r="C809" s="93" t="s">
        <v>333</v>
      </c>
      <c r="D809" s="93" t="s">
        <v>1927</v>
      </c>
      <c r="E809" s="226">
        <v>6205646538</v>
      </c>
      <c r="F809" s="93" t="str">
        <f>'Membership Level'!A12</f>
        <v>Swimming Moth</v>
      </c>
      <c r="G809" s="93" t="s">
        <v>248</v>
      </c>
      <c r="H809" s="75">
        <v>4000</v>
      </c>
      <c r="I809" s="75">
        <v>4000</v>
      </c>
      <c r="J809" s="61"/>
      <c r="K809" s="59">
        <v>46159</v>
      </c>
      <c r="L809" s="59">
        <f>DATE(YEAR(K809),MONTH(K809)+VLOOKUP($F807,'Membership Level'!$A$3:$B$15,2,FALSE),DAY(K809))</f>
        <v>46190</v>
      </c>
      <c r="M809" s="7"/>
    </row>
    <row r="810" spans="1:13" x14ac:dyDescent="0.35">
      <c r="A810" s="58" t="s">
        <v>1826</v>
      </c>
      <c r="B810" s="59">
        <v>46159</v>
      </c>
      <c r="C810" s="93" t="s">
        <v>333</v>
      </c>
      <c r="D810" s="93" t="s">
        <v>1928</v>
      </c>
      <c r="E810" s="226">
        <v>6205646538</v>
      </c>
      <c r="F810" s="93" t="str">
        <f>'Membership Level'!A12</f>
        <v>Swimming Moth</v>
      </c>
      <c r="G810" s="93" t="s">
        <v>1660</v>
      </c>
      <c r="H810" s="75">
        <v>3500</v>
      </c>
      <c r="I810" s="75">
        <v>3500</v>
      </c>
      <c r="J810" s="61"/>
      <c r="K810" s="59">
        <v>46159</v>
      </c>
      <c r="L810" s="59">
        <f>DATE(YEAR(K810),MONTH(K810)+VLOOKUP($F808,'Membership Level'!$A$3:$B$15,2,FALSE),DAY(K810))</f>
        <v>46190</v>
      </c>
      <c r="M810" s="7"/>
    </row>
    <row r="811" spans="1:13" x14ac:dyDescent="0.35">
      <c r="A811" s="58" t="s">
        <v>1827</v>
      </c>
      <c r="B811" s="59">
        <v>46159</v>
      </c>
      <c r="C811" s="93" t="s">
        <v>449</v>
      </c>
      <c r="D811" s="93" t="s">
        <v>1929</v>
      </c>
      <c r="E811" s="226">
        <v>8986457468</v>
      </c>
      <c r="F811" s="93" t="str">
        <f>'Membership Level'!A12</f>
        <v>Swimming Moth</v>
      </c>
      <c r="G811" s="93" t="s">
        <v>248</v>
      </c>
      <c r="H811" s="75">
        <v>4400</v>
      </c>
      <c r="I811" s="75">
        <v>4400</v>
      </c>
      <c r="J811" s="61"/>
      <c r="K811" s="59">
        <v>46159</v>
      </c>
      <c r="L811" s="59">
        <f>DATE(YEAR(K811),MONTH(K811)+VLOOKUP($F809,'Membership Level'!$A$3:$B$15,2,FALSE),DAY(K811))</f>
        <v>46190</v>
      </c>
      <c r="M811" s="7"/>
    </row>
    <row r="812" spans="1:13" x14ac:dyDescent="0.35">
      <c r="A812" s="58" t="s">
        <v>1828</v>
      </c>
      <c r="B812" s="59">
        <v>46159</v>
      </c>
      <c r="C812" s="93"/>
      <c r="D812" s="93" t="s">
        <v>1930</v>
      </c>
      <c r="E812" s="226">
        <v>9431000154</v>
      </c>
      <c r="F812" s="93" t="str">
        <f>'Membership Level'!A12</f>
        <v>Swimming Moth</v>
      </c>
      <c r="G812" s="93" t="s">
        <v>561</v>
      </c>
      <c r="H812" s="75">
        <v>3300</v>
      </c>
      <c r="I812" s="75">
        <v>3300</v>
      </c>
      <c r="J812" s="61"/>
      <c r="K812" s="59">
        <v>46159</v>
      </c>
      <c r="L812" s="59">
        <f>DATE(YEAR(K812),MONTH(K812)+VLOOKUP($F810,'Membership Level'!$A$3:$B$15,2,FALSE),DAY(K812))</f>
        <v>46190</v>
      </c>
      <c r="M812" s="7"/>
    </row>
    <row r="813" spans="1:13" s="11" customFormat="1" x14ac:dyDescent="0.35">
      <c r="A813" s="58" t="s">
        <v>1829</v>
      </c>
      <c r="B813" s="59">
        <v>46159</v>
      </c>
      <c r="C813" s="93"/>
      <c r="D813" s="93" t="s">
        <v>1931</v>
      </c>
      <c r="E813" s="226">
        <v>9431000154</v>
      </c>
      <c r="F813" s="93" t="str">
        <f>'Membership Level'!A12</f>
        <v>Swimming Moth</v>
      </c>
      <c r="G813" s="93" t="s">
        <v>561</v>
      </c>
      <c r="H813" s="75">
        <v>3300</v>
      </c>
      <c r="I813" s="75">
        <v>3300</v>
      </c>
      <c r="J813" s="61"/>
      <c r="K813" s="59">
        <v>46159</v>
      </c>
      <c r="L813" s="59">
        <f>DATE(YEAR(K813),MONTH(K813)+VLOOKUP($F811,'Membership Level'!$A$3:$B$15,2,FALSE),DAY(K813))</f>
        <v>46190</v>
      </c>
      <c r="M813" s="7"/>
    </row>
    <row r="814" spans="1:13" s="11" customFormat="1" x14ac:dyDescent="0.35">
      <c r="A814" s="58" t="s">
        <v>1830</v>
      </c>
      <c r="B814" s="59">
        <v>46159</v>
      </c>
      <c r="C814" s="93" t="s">
        <v>1933</v>
      </c>
      <c r="D814" s="93" t="s">
        <v>1932</v>
      </c>
      <c r="E814" s="226">
        <v>9608261572</v>
      </c>
      <c r="F814" s="93" t="str">
        <f>'Membership Level'!A12</f>
        <v>Swimming Moth</v>
      </c>
      <c r="G814" s="93" t="s">
        <v>1568</v>
      </c>
      <c r="H814" s="75">
        <v>3800</v>
      </c>
      <c r="I814" s="75">
        <v>3800</v>
      </c>
      <c r="J814" s="61"/>
      <c r="K814" s="59">
        <v>46159</v>
      </c>
      <c r="L814" s="59">
        <f>DATE(YEAR(K814),MONTH(K814)+VLOOKUP($F812,'Membership Level'!$A$3:$B$15,2,FALSE),DAY(K814))</f>
        <v>46190</v>
      </c>
      <c r="M814" s="7"/>
    </row>
    <row r="815" spans="1:13" x14ac:dyDescent="0.35">
      <c r="A815" s="58" t="s">
        <v>1831</v>
      </c>
      <c r="B815" s="59">
        <v>46159</v>
      </c>
      <c r="C815" s="93" t="s">
        <v>260</v>
      </c>
      <c r="D815" s="93" t="s">
        <v>1934</v>
      </c>
      <c r="E815" s="226">
        <v>6200673232</v>
      </c>
      <c r="F815" s="93"/>
      <c r="G815" s="93" t="s">
        <v>1417</v>
      </c>
      <c r="H815" s="75">
        <v>1000</v>
      </c>
      <c r="I815" s="75">
        <v>1000</v>
      </c>
      <c r="J815" s="61"/>
      <c r="K815" s="59">
        <v>46159</v>
      </c>
      <c r="L815" s="59">
        <f>DATE(YEAR(K815),MONTH(K815)+VLOOKUP($F813,'Membership Level'!$A$3:$B$15,2,FALSE),DAY(K815))</f>
        <v>46190</v>
      </c>
      <c r="M815" s="7"/>
    </row>
    <row r="816" spans="1:13" x14ac:dyDescent="0.35">
      <c r="A816" s="58" t="s">
        <v>1832</v>
      </c>
      <c r="B816" s="59">
        <v>46159</v>
      </c>
      <c r="C816" s="93" t="s">
        <v>260</v>
      </c>
      <c r="D816" s="93" t="s">
        <v>1935</v>
      </c>
      <c r="E816" s="226">
        <v>6200673232</v>
      </c>
      <c r="F816" s="93"/>
      <c r="G816" s="93" t="s">
        <v>1417</v>
      </c>
      <c r="H816" s="75">
        <v>1000</v>
      </c>
      <c r="I816" s="75">
        <v>1000</v>
      </c>
      <c r="J816" s="61"/>
      <c r="K816" s="59">
        <v>46159</v>
      </c>
      <c r="L816" s="59">
        <f>DATE(YEAR(K816),MONTH(K816)+VLOOKUP($F814,'Membership Level'!$A$3:$B$15,2,FALSE),DAY(K816))</f>
        <v>46190</v>
      </c>
      <c r="M816" s="7"/>
    </row>
    <row r="817" spans="1:13" x14ac:dyDescent="0.35">
      <c r="A817" s="58"/>
      <c r="B817" s="59"/>
      <c r="C817" s="93"/>
      <c r="D817" s="93"/>
      <c r="E817" s="226"/>
      <c r="F817" s="93"/>
      <c r="G817" s="93"/>
      <c r="H817" s="75"/>
      <c r="I817" s="75"/>
      <c r="J817" s="61"/>
      <c r="K817" s="59"/>
      <c r="L817" s="59"/>
      <c r="M817" s="7"/>
    </row>
    <row r="818" spans="1:13" x14ac:dyDescent="0.35">
      <c r="A818" s="58"/>
      <c r="B818" s="59"/>
      <c r="C818" s="93"/>
      <c r="D818" s="93"/>
      <c r="E818" s="226"/>
      <c r="F818" s="93"/>
      <c r="G818" s="93"/>
      <c r="H818" s="75"/>
      <c r="I818" s="75"/>
      <c r="J818" s="61"/>
      <c r="K818" s="59"/>
      <c r="L818" s="59"/>
      <c r="M818" s="7"/>
    </row>
    <row r="819" spans="1:13" x14ac:dyDescent="0.35">
      <c r="A819" s="58" t="s">
        <v>1833</v>
      </c>
      <c r="B819" s="59">
        <v>46159</v>
      </c>
      <c r="C819" s="93" t="s">
        <v>1890</v>
      </c>
      <c r="D819" s="93" t="s">
        <v>1540</v>
      </c>
      <c r="E819" s="226">
        <v>7050208960</v>
      </c>
      <c r="F819" s="93" t="str">
        <f>'Membership Level'!A12</f>
        <v>Swimming Moth</v>
      </c>
      <c r="G819" s="93" t="s">
        <v>248</v>
      </c>
      <c r="H819" s="75">
        <v>4000</v>
      </c>
      <c r="I819" s="75">
        <v>4000</v>
      </c>
      <c r="J819" s="61"/>
      <c r="K819" s="59">
        <v>46159</v>
      </c>
      <c r="L819" s="59" t="e">
        <f>DATE(YEAR(K819),MONTH(K819)+VLOOKUP($F817,'Membership Level'!$A$3:$B$15,2,FALSE),DAY(K819))</f>
        <v>#N/A</v>
      </c>
      <c r="M819" s="7"/>
    </row>
    <row r="820" spans="1:13" x14ac:dyDescent="0.35">
      <c r="A820" s="58" t="s">
        <v>1834</v>
      </c>
      <c r="B820" s="59">
        <v>46159</v>
      </c>
      <c r="C820" s="93"/>
      <c r="D820" s="93" t="s">
        <v>1936</v>
      </c>
      <c r="E820" s="226">
        <v>9334391805</v>
      </c>
      <c r="F820" s="93" t="str">
        <f>'Membership Level'!A12</f>
        <v>Swimming Moth</v>
      </c>
      <c r="G820" s="93" t="s">
        <v>1568</v>
      </c>
      <c r="H820" s="75">
        <v>3800</v>
      </c>
      <c r="I820" s="75">
        <v>3800</v>
      </c>
      <c r="J820" s="61"/>
      <c r="K820" s="59">
        <v>46159</v>
      </c>
      <c r="L820" s="59" t="e">
        <f>DATE(YEAR(K820),MONTH(K820)+VLOOKUP($F818,'Membership Level'!$A$3:$B$15,2,FALSE),DAY(K820))</f>
        <v>#N/A</v>
      </c>
      <c r="M820" s="7"/>
    </row>
    <row r="821" spans="1:13" x14ac:dyDescent="0.35">
      <c r="A821" s="58" t="s">
        <v>1835</v>
      </c>
      <c r="B821" s="59">
        <v>46159</v>
      </c>
      <c r="C821" s="93" t="s">
        <v>202</v>
      </c>
      <c r="D821" s="93" t="s">
        <v>695</v>
      </c>
      <c r="E821" s="226">
        <v>9334391805</v>
      </c>
      <c r="F821" s="93" t="str">
        <f>'Membership Level'!A12</f>
        <v>Swimming Moth</v>
      </c>
      <c r="G821" s="93" t="s">
        <v>1568</v>
      </c>
      <c r="H821" s="75">
        <v>3800</v>
      </c>
      <c r="I821" s="75">
        <v>3800</v>
      </c>
      <c r="J821" s="61"/>
      <c r="K821" s="59">
        <v>46159</v>
      </c>
      <c r="L821" s="59">
        <f>DATE(YEAR(K821),MONTH(K821)+VLOOKUP($F819,'Membership Level'!$A$3:$B$15,2,FALSE),DAY(K821))</f>
        <v>46190</v>
      </c>
      <c r="M821" s="7"/>
    </row>
    <row r="822" spans="1:13" x14ac:dyDescent="0.35">
      <c r="A822" s="58" t="s">
        <v>1836</v>
      </c>
      <c r="B822" s="59">
        <v>46159</v>
      </c>
      <c r="C822" s="93"/>
      <c r="D822" s="93" t="s">
        <v>1937</v>
      </c>
      <c r="E822" s="226">
        <v>7766074364</v>
      </c>
      <c r="F822" s="93" t="str">
        <f>'Membership Level'!A12</f>
        <v>Swimming Moth</v>
      </c>
      <c r="G822" s="93" t="s">
        <v>1290</v>
      </c>
      <c r="H822" s="75">
        <v>2800</v>
      </c>
      <c r="I822" s="75">
        <v>2500</v>
      </c>
      <c r="J822" s="61">
        <v>300</v>
      </c>
      <c r="K822" s="59">
        <v>46159</v>
      </c>
      <c r="L822" s="59">
        <f>DATE(YEAR(K822),MONTH(K822)+VLOOKUP($F820,'Membership Level'!$A$3:$B$15,2,FALSE),DAY(K822))</f>
        <v>46190</v>
      </c>
      <c r="M822" s="7"/>
    </row>
    <row r="823" spans="1:13" x14ac:dyDescent="0.35">
      <c r="A823" s="58" t="s">
        <v>1837</v>
      </c>
      <c r="B823" s="59">
        <v>46159</v>
      </c>
      <c r="C823" s="93" t="s">
        <v>1939</v>
      </c>
      <c r="D823" s="93" t="s">
        <v>1938</v>
      </c>
      <c r="E823" s="226">
        <v>9013956902</v>
      </c>
      <c r="F823" s="93" t="str">
        <f>'Membership Level'!A12</f>
        <v>Swimming Moth</v>
      </c>
      <c r="G823" s="93" t="s">
        <v>1568</v>
      </c>
      <c r="H823" s="75">
        <v>3800</v>
      </c>
      <c r="I823" s="75">
        <v>3800</v>
      </c>
      <c r="J823" s="61"/>
      <c r="K823" s="59">
        <v>46159</v>
      </c>
      <c r="L823" s="59">
        <f>DATE(YEAR(K823),MONTH(K823)+VLOOKUP($F821,'Membership Level'!$A$3:$B$15,2,FALSE),DAY(K823))</f>
        <v>46190</v>
      </c>
      <c r="M823" s="7"/>
    </row>
    <row r="824" spans="1:13" x14ac:dyDescent="0.35">
      <c r="A824" s="58" t="s">
        <v>1838</v>
      </c>
      <c r="B824" s="59">
        <v>46159</v>
      </c>
      <c r="C824" s="93" t="s">
        <v>222</v>
      </c>
      <c r="D824" s="93" t="s">
        <v>1940</v>
      </c>
      <c r="E824" s="226"/>
      <c r="F824" s="93" t="str">
        <f>'Membership Level'!A12</f>
        <v>Swimming Moth</v>
      </c>
      <c r="G824" s="93" t="s">
        <v>1580</v>
      </c>
      <c r="H824" s="75">
        <v>2200</v>
      </c>
      <c r="I824" s="75">
        <v>2200</v>
      </c>
      <c r="J824" s="61"/>
      <c r="K824" s="59">
        <v>46159</v>
      </c>
      <c r="L824" s="59">
        <f>DATE(YEAR(K824),MONTH(K824)+VLOOKUP($F822,'Membership Level'!$A$3:$B$15,2,FALSE),DAY(K824))</f>
        <v>46190</v>
      </c>
      <c r="M824" s="7"/>
    </row>
    <row r="825" spans="1:13" x14ac:dyDescent="0.35">
      <c r="A825" s="58" t="s">
        <v>1839</v>
      </c>
      <c r="B825" s="59">
        <v>46159</v>
      </c>
      <c r="C825" s="93" t="s">
        <v>222</v>
      </c>
      <c r="D825" s="93" t="s">
        <v>1941</v>
      </c>
      <c r="E825" s="226">
        <v>7903043365</v>
      </c>
      <c r="F825" s="93" t="str">
        <f>'Membership Level'!A12</f>
        <v>Swimming Moth</v>
      </c>
      <c r="G825" s="93" t="s">
        <v>1568</v>
      </c>
      <c r="H825" s="75">
        <v>3800</v>
      </c>
      <c r="I825" s="75">
        <v>3800</v>
      </c>
      <c r="J825" s="61"/>
      <c r="K825" s="59">
        <v>46159</v>
      </c>
      <c r="L825" s="59">
        <f>DATE(YEAR(K825),MONTH(K825)+VLOOKUP($F823,'Membership Level'!$A$3:$B$15,2,FALSE),DAY(K825))</f>
        <v>46190</v>
      </c>
      <c r="M825" s="7"/>
    </row>
    <row r="826" spans="1:13" x14ac:dyDescent="0.35">
      <c r="A826" s="58" t="s">
        <v>1840</v>
      </c>
      <c r="B826" s="59">
        <v>46159</v>
      </c>
      <c r="C826" s="93"/>
      <c r="D826" s="93" t="s">
        <v>865</v>
      </c>
      <c r="E826" s="226">
        <v>9431420112</v>
      </c>
      <c r="F826" s="241" t="str">
        <f>'Membership Level'!A12</f>
        <v>Swimming Moth</v>
      </c>
      <c r="G826" s="93" t="s">
        <v>1943</v>
      </c>
      <c r="H826" s="75">
        <v>3800</v>
      </c>
      <c r="I826" s="75">
        <v>3800</v>
      </c>
      <c r="J826" s="61"/>
      <c r="K826" s="59">
        <v>46159</v>
      </c>
      <c r="L826" s="59">
        <f>DATE(YEAR(K826),MONTH(K826)+VLOOKUP($F824,'Membership Level'!$A$3:$B$15,2,FALSE),DAY(K826))</f>
        <v>46190</v>
      </c>
      <c r="M826" s="7"/>
    </row>
    <row r="827" spans="1:13" x14ac:dyDescent="0.35">
      <c r="A827" s="58" t="s">
        <v>1841</v>
      </c>
      <c r="B827" s="59">
        <v>46159</v>
      </c>
      <c r="C827" s="93"/>
      <c r="D827" s="93" t="s">
        <v>1942</v>
      </c>
      <c r="E827" s="226">
        <v>9431420112</v>
      </c>
      <c r="F827" s="93" t="str">
        <f>'Membership Level'!A12</f>
        <v>Swimming Moth</v>
      </c>
      <c r="G827" s="93" t="s">
        <v>1568</v>
      </c>
      <c r="H827" s="75">
        <v>3800</v>
      </c>
      <c r="I827" s="75">
        <v>3800</v>
      </c>
      <c r="J827" s="61"/>
      <c r="K827" s="59">
        <v>46159</v>
      </c>
      <c r="L827" s="59">
        <f>DATE(YEAR(K827),MONTH(K827)+VLOOKUP($F825,'Membership Level'!$A$3:$B$15,2,FALSE),DAY(K827))</f>
        <v>46190</v>
      </c>
      <c r="M827" s="7"/>
    </row>
    <row r="828" spans="1:13" s="11" customFormat="1" x14ac:dyDescent="0.35">
      <c r="A828" s="58" t="s">
        <v>1842</v>
      </c>
      <c r="B828" s="59">
        <v>46159</v>
      </c>
      <c r="C828" s="241" t="s">
        <v>202</v>
      </c>
      <c r="D828" s="241" t="s">
        <v>1586</v>
      </c>
      <c r="E828" s="226">
        <v>8235998242</v>
      </c>
      <c r="F828" s="93" t="str">
        <f>'Membership Level'!A12</f>
        <v>Swimming Moth</v>
      </c>
      <c r="G828" s="241" t="s">
        <v>248</v>
      </c>
      <c r="H828" s="78">
        <v>3000</v>
      </c>
      <c r="I828" s="75">
        <v>3000</v>
      </c>
      <c r="J828" s="61"/>
      <c r="K828" s="59">
        <v>46159</v>
      </c>
      <c r="L828" s="59">
        <f>DATE(YEAR(K828),MONTH(K828)+VLOOKUP($F826,'Membership Level'!$A$3:$B$15,2,FALSE),DAY(K828))</f>
        <v>46190</v>
      </c>
      <c r="M828" s="7"/>
    </row>
    <row r="829" spans="1:13" x14ac:dyDescent="0.35">
      <c r="A829" s="58" t="s">
        <v>1843</v>
      </c>
      <c r="B829" s="59">
        <v>46159</v>
      </c>
      <c r="C829" s="93"/>
      <c r="D829" s="93" t="s">
        <v>1944</v>
      </c>
      <c r="E829" s="226">
        <v>9334553883</v>
      </c>
      <c r="F829" s="93" t="str">
        <f>'Membership Level'!A12</f>
        <v>Swimming Moth</v>
      </c>
      <c r="G829" s="93" t="s">
        <v>248</v>
      </c>
      <c r="H829" s="75">
        <v>4400</v>
      </c>
      <c r="I829" s="75">
        <v>4400</v>
      </c>
      <c r="J829" s="61"/>
      <c r="K829" s="59">
        <v>46159</v>
      </c>
      <c r="L829" s="59">
        <f>DATE(YEAR(K829),MONTH(K829)+VLOOKUP($F827,'Membership Level'!$A$3:$B$15,2,FALSE),DAY(K829))</f>
        <v>46190</v>
      </c>
      <c r="M829" s="7"/>
    </row>
    <row r="830" spans="1:13" s="82" customFormat="1" x14ac:dyDescent="0.35">
      <c r="A830" s="58" t="s">
        <v>1844</v>
      </c>
      <c r="B830" s="59">
        <v>46159</v>
      </c>
      <c r="C830" s="93" t="s">
        <v>1946</v>
      </c>
      <c r="D830" s="93" t="s">
        <v>1945</v>
      </c>
      <c r="E830" s="226">
        <v>9334553883</v>
      </c>
      <c r="F830" s="93" t="str">
        <f>'Membership Level'!A12</f>
        <v>Swimming Moth</v>
      </c>
      <c r="G830" s="93" t="s">
        <v>1568</v>
      </c>
      <c r="H830" s="75">
        <v>3800</v>
      </c>
      <c r="I830" s="75">
        <v>3800</v>
      </c>
      <c r="J830" s="61"/>
      <c r="K830" s="59">
        <v>46159</v>
      </c>
      <c r="L830" s="59">
        <f>DATE(YEAR(K830),MONTH(K830)+VLOOKUP($F828,'Membership Level'!$A$3:$B$15,2,FALSE),DAY(K830))</f>
        <v>46190</v>
      </c>
      <c r="M830" s="7"/>
    </row>
    <row r="831" spans="1:13" x14ac:dyDescent="0.35">
      <c r="A831" s="58" t="s">
        <v>1845</v>
      </c>
      <c r="B831" s="59">
        <v>46159</v>
      </c>
      <c r="C831" s="93" t="s">
        <v>1947</v>
      </c>
      <c r="D831" s="93" t="s">
        <v>594</v>
      </c>
      <c r="E831" s="226">
        <v>9523804046</v>
      </c>
      <c r="F831" s="93" t="str">
        <f>'Membership Level'!A12</f>
        <v>Swimming Moth</v>
      </c>
      <c r="G831" s="93" t="s">
        <v>1568</v>
      </c>
      <c r="H831" s="75">
        <v>3800</v>
      </c>
      <c r="I831" s="75">
        <v>3800</v>
      </c>
      <c r="J831" s="61"/>
      <c r="K831" s="59">
        <v>46159</v>
      </c>
      <c r="L831" s="59">
        <f>DATE(YEAR(K831),MONTH(K831)+VLOOKUP($F829,'Membership Level'!$A$3:$B$15,2,FALSE),DAY(K831))</f>
        <v>46190</v>
      </c>
      <c r="M831" s="7"/>
    </row>
    <row r="832" spans="1:13" x14ac:dyDescent="0.35">
      <c r="A832" s="58" t="s">
        <v>1846</v>
      </c>
      <c r="B832" s="59">
        <v>46159</v>
      </c>
      <c r="C832" s="93" t="s">
        <v>1947</v>
      </c>
      <c r="D832" s="93" t="s">
        <v>491</v>
      </c>
      <c r="E832" s="226">
        <v>9523804046</v>
      </c>
      <c r="F832" s="93" t="str">
        <f>'Membership Level'!A12</f>
        <v>Swimming Moth</v>
      </c>
      <c r="G832" s="93" t="s">
        <v>1568</v>
      </c>
      <c r="H832" s="75">
        <v>3800</v>
      </c>
      <c r="I832" s="75">
        <v>3800</v>
      </c>
      <c r="J832" s="61"/>
      <c r="K832" s="59">
        <v>46159</v>
      </c>
      <c r="L832" s="59">
        <f>DATE(YEAR(K832),MONTH(K832)+VLOOKUP($F830,'Membership Level'!$A$3:$B$15,2,FALSE),DAY(K832))</f>
        <v>46190</v>
      </c>
      <c r="M832" s="7"/>
    </row>
    <row r="833" spans="1:13" x14ac:dyDescent="0.35">
      <c r="A833" s="58" t="s">
        <v>1847</v>
      </c>
      <c r="B833" s="59">
        <v>46159</v>
      </c>
      <c r="C833" s="93"/>
      <c r="D833" s="93" t="s">
        <v>1948</v>
      </c>
      <c r="E833" s="226">
        <v>8340570612</v>
      </c>
      <c r="F833" s="93" t="str">
        <f>'Membership Level'!A12</f>
        <v>Swimming Moth</v>
      </c>
      <c r="G833" s="93" t="s">
        <v>1568</v>
      </c>
      <c r="H833" s="75">
        <v>3800</v>
      </c>
      <c r="I833" s="75">
        <v>3800</v>
      </c>
      <c r="J833" s="61"/>
      <c r="K833" s="59">
        <v>46159</v>
      </c>
      <c r="L833" s="59">
        <f>DATE(YEAR(K833),MONTH(K833)+VLOOKUP($F831,'Membership Level'!$A$3:$B$15,2,FALSE),DAY(K833))</f>
        <v>46190</v>
      </c>
      <c r="M833" s="7"/>
    </row>
    <row r="834" spans="1:13" x14ac:dyDescent="0.35">
      <c r="A834" s="58" t="s">
        <v>1848</v>
      </c>
      <c r="B834" s="59">
        <v>46159</v>
      </c>
      <c r="C834" s="93" t="s">
        <v>228</v>
      </c>
      <c r="D834" s="93" t="s">
        <v>1949</v>
      </c>
      <c r="E834" s="226">
        <v>9334182152</v>
      </c>
      <c r="F834" s="93" t="str">
        <f>'Membership Level'!A12</f>
        <v>Swimming Moth</v>
      </c>
      <c r="G834" s="93" t="s">
        <v>1568</v>
      </c>
      <c r="H834" s="75">
        <v>3800</v>
      </c>
      <c r="I834" s="75">
        <v>3800</v>
      </c>
      <c r="J834" s="61"/>
      <c r="K834" s="59">
        <v>46159</v>
      </c>
      <c r="L834" s="59">
        <f>DATE(YEAR(K834),MONTH(K834)+VLOOKUP($F832,'Membership Level'!$A$3:$B$15,2,FALSE),DAY(K834))</f>
        <v>46190</v>
      </c>
      <c r="M834" s="7"/>
    </row>
    <row r="835" spans="1:13" x14ac:dyDescent="0.35">
      <c r="A835" s="58" t="s">
        <v>1849</v>
      </c>
      <c r="B835" s="59">
        <v>46159</v>
      </c>
      <c r="C835" s="93" t="s">
        <v>228</v>
      </c>
      <c r="D835" s="93" t="s">
        <v>1677</v>
      </c>
      <c r="E835" s="226">
        <v>9334182152</v>
      </c>
      <c r="F835" s="93" t="str">
        <f>'Membership Level'!A12</f>
        <v>Swimming Moth</v>
      </c>
      <c r="G835" s="93" t="s">
        <v>1568</v>
      </c>
      <c r="H835" s="75">
        <v>3800</v>
      </c>
      <c r="I835" s="75">
        <v>3800</v>
      </c>
      <c r="J835" s="61"/>
      <c r="K835" s="59">
        <v>46159</v>
      </c>
      <c r="L835" s="59">
        <f>DATE(YEAR(K835),MONTH(K835)+VLOOKUP($F833,'Membership Level'!$A$3:$B$15,2,FALSE),DAY(K835))</f>
        <v>46190</v>
      </c>
      <c r="M835" s="7"/>
    </row>
    <row r="836" spans="1:13" x14ac:dyDescent="0.35">
      <c r="A836" s="58" t="s">
        <v>1850</v>
      </c>
      <c r="B836" s="59">
        <v>46159</v>
      </c>
      <c r="C836" s="93"/>
      <c r="D836" s="93" t="s">
        <v>892</v>
      </c>
      <c r="E836" s="226"/>
      <c r="F836" s="93" t="str">
        <f>'Membership Level'!A12</f>
        <v>Swimming Moth</v>
      </c>
      <c r="G836" s="93" t="s">
        <v>1580</v>
      </c>
      <c r="H836" s="75">
        <v>3000</v>
      </c>
      <c r="I836" s="75">
        <v>3000</v>
      </c>
      <c r="J836" s="61"/>
      <c r="K836" s="59">
        <v>46159</v>
      </c>
      <c r="L836" s="59">
        <f>DATE(YEAR(K836),MONTH(K836)+VLOOKUP($F834,'Membership Level'!$A$3:$B$15,2,FALSE),DAY(K836))</f>
        <v>46190</v>
      </c>
      <c r="M836" s="7"/>
    </row>
    <row r="837" spans="1:13" x14ac:dyDescent="0.35">
      <c r="A837" s="58" t="s">
        <v>1851</v>
      </c>
      <c r="B837" s="59">
        <v>46159</v>
      </c>
      <c r="C837" s="93" t="s">
        <v>322</v>
      </c>
      <c r="D837" s="93" t="s">
        <v>1950</v>
      </c>
      <c r="E837" s="226">
        <v>8318040001</v>
      </c>
      <c r="F837" s="93" t="str">
        <f>'Membership Level'!A12</f>
        <v>Swimming Moth</v>
      </c>
      <c r="G837" s="93" t="s">
        <v>370</v>
      </c>
      <c r="H837" s="75">
        <v>3500</v>
      </c>
      <c r="I837" s="75">
        <v>3500</v>
      </c>
      <c r="J837" s="61"/>
      <c r="K837" s="59">
        <v>46159</v>
      </c>
      <c r="L837" s="59">
        <f>DATE(YEAR(K837),MONTH(K837)+VLOOKUP($F835,'Membership Level'!$A$3:$B$15,2,FALSE),DAY(K837))</f>
        <v>46190</v>
      </c>
      <c r="M837" s="7"/>
    </row>
    <row r="838" spans="1:13" x14ac:dyDescent="0.35">
      <c r="A838" s="58" t="s">
        <v>1852</v>
      </c>
      <c r="B838" s="59">
        <v>46159</v>
      </c>
      <c r="C838" s="93" t="s">
        <v>322</v>
      </c>
      <c r="D838" s="93" t="s">
        <v>271</v>
      </c>
      <c r="E838" s="226">
        <v>8318040001</v>
      </c>
      <c r="F838" s="93" t="str">
        <f>'Membership Level'!A12</f>
        <v>Swimming Moth</v>
      </c>
      <c r="G838" s="93" t="s">
        <v>1568</v>
      </c>
      <c r="H838" s="75">
        <v>3800</v>
      </c>
      <c r="I838" s="75">
        <v>3800</v>
      </c>
      <c r="J838" s="61"/>
      <c r="K838" s="59">
        <v>46159</v>
      </c>
      <c r="L838" s="59">
        <f>DATE(YEAR(K838),MONTH(K838)+VLOOKUP($F836,'Membership Level'!$A$3:$B$15,2,FALSE),DAY(K838))</f>
        <v>46190</v>
      </c>
      <c r="M838" s="7"/>
    </row>
    <row r="839" spans="1:13" x14ac:dyDescent="0.35">
      <c r="A839" s="58" t="s">
        <v>1853</v>
      </c>
      <c r="B839" s="59">
        <v>46159</v>
      </c>
      <c r="C839" s="93"/>
      <c r="D839" s="93" t="s">
        <v>1951</v>
      </c>
      <c r="E839" s="226">
        <v>8507114004</v>
      </c>
      <c r="F839" s="93" t="str">
        <f>'Membership Level'!A12</f>
        <v>Swimming Moth</v>
      </c>
      <c r="G839" s="93" t="s">
        <v>1170</v>
      </c>
      <c r="H839" s="75">
        <v>2500</v>
      </c>
      <c r="I839" s="75">
        <v>2500</v>
      </c>
      <c r="J839" s="61"/>
      <c r="K839" s="59">
        <v>46159</v>
      </c>
      <c r="L839" s="59">
        <f>DATE(YEAR(K839),MONTH(K839)+VLOOKUP($F837,'Membership Level'!$A$3:$B$15,2,FALSE),DAY(K839))</f>
        <v>46190</v>
      </c>
      <c r="M839" s="7"/>
    </row>
    <row r="840" spans="1:13" x14ac:dyDescent="0.35">
      <c r="A840" s="58" t="s">
        <v>1854</v>
      </c>
      <c r="B840" s="59">
        <v>46159</v>
      </c>
      <c r="C840" s="93" t="s">
        <v>1952</v>
      </c>
      <c r="D840" s="93" t="s">
        <v>1430</v>
      </c>
      <c r="E840" s="226">
        <v>7738221630</v>
      </c>
      <c r="F840" s="93" t="str">
        <f>'Membership Level'!A12</f>
        <v>Swimming Moth</v>
      </c>
      <c r="G840" s="93" t="s">
        <v>1568</v>
      </c>
      <c r="H840" s="75">
        <v>3800</v>
      </c>
      <c r="I840" s="75">
        <v>3800</v>
      </c>
      <c r="J840" s="61"/>
      <c r="K840" s="59">
        <v>46159</v>
      </c>
      <c r="L840" s="59">
        <f>DATE(YEAR(K840),MONTH(K840)+VLOOKUP($F838,'Membership Level'!$A$3:$B$15,2,FALSE),DAY(K840))</f>
        <v>46190</v>
      </c>
      <c r="M840" s="7"/>
    </row>
    <row r="841" spans="1:13" x14ac:dyDescent="0.35">
      <c r="A841" s="58" t="s">
        <v>1855</v>
      </c>
      <c r="B841" s="59">
        <v>46159</v>
      </c>
      <c r="C841" s="93" t="s">
        <v>1952</v>
      </c>
      <c r="D841" s="93" t="s">
        <v>1953</v>
      </c>
      <c r="E841" s="226">
        <v>7738221630</v>
      </c>
      <c r="F841" s="93" t="str">
        <f>'Membership Level'!A12</f>
        <v>Swimming Moth</v>
      </c>
      <c r="G841" s="93" t="s">
        <v>1568</v>
      </c>
      <c r="H841" s="75">
        <v>3800</v>
      </c>
      <c r="I841" s="75">
        <v>3800</v>
      </c>
      <c r="J841" s="61"/>
      <c r="K841" s="59">
        <v>46159</v>
      </c>
      <c r="L841" s="59">
        <f>DATE(YEAR(K841),MONTH(K841)+VLOOKUP($F839,'Membership Level'!$A$3:$B$15,2,FALSE),DAY(K841))</f>
        <v>46190</v>
      </c>
      <c r="M841" s="7"/>
    </row>
    <row r="842" spans="1:13" x14ac:dyDescent="0.35">
      <c r="A842" s="58" t="s">
        <v>1856</v>
      </c>
      <c r="B842" s="59">
        <v>46159</v>
      </c>
      <c r="C842" s="93" t="s">
        <v>1954</v>
      </c>
      <c r="D842" s="93" t="s">
        <v>567</v>
      </c>
      <c r="E842" s="226">
        <v>8228874327</v>
      </c>
      <c r="F842" s="93" t="str">
        <f>'Membership Level'!A12</f>
        <v>Swimming Moth</v>
      </c>
      <c r="G842" s="93" t="s">
        <v>1417</v>
      </c>
      <c r="H842" s="75">
        <v>1000</v>
      </c>
      <c r="I842" s="75">
        <v>1000</v>
      </c>
      <c r="J842" s="61"/>
      <c r="K842" s="59">
        <v>46159</v>
      </c>
      <c r="L842" s="59">
        <f>DATE(YEAR(K842),MONTH(K842)+VLOOKUP($F840,'Membership Level'!$A$3:$B$15,2,FALSE),DAY(K842))</f>
        <v>46190</v>
      </c>
      <c r="M842" s="7"/>
    </row>
    <row r="843" spans="1:13" x14ac:dyDescent="0.35">
      <c r="A843" s="58" t="s">
        <v>1857</v>
      </c>
      <c r="B843" s="59">
        <v>46159</v>
      </c>
      <c r="C843" s="93" t="s">
        <v>577</v>
      </c>
      <c r="D843" s="93" t="s">
        <v>1955</v>
      </c>
      <c r="E843" s="226">
        <v>9994622234</v>
      </c>
      <c r="F843" s="93" t="str">
        <f>'Membership Level'!A12</f>
        <v>Swimming Moth</v>
      </c>
      <c r="G843" s="93" t="s">
        <v>1568</v>
      </c>
      <c r="H843" s="75">
        <v>3500</v>
      </c>
      <c r="I843" s="75">
        <v>3500</v>
      </c>
      <c r="J843" s="61"/>
      <c r="K843" s="59">
        <v>46159</v>
      </c>
      <c r="L843" s="59">
        <f>DATE(YEAR(K843),MONTH(K843)+VLOOKUP($F841,'Membership Level'!$A$3:$B$15,2,FALSE),DAY(K843))</f>
        <v>46190</v>
      </c>
      <c r="M843" s="7"/>
    </row>
    <row r="844" spans="1:13" x14ac:dyDescent="0.35">
      <c r="A844" s="58" t="s">
        <v>1858</v>
      </c>
      <c r="B844" s="59">
        <v>46159</v>
      </c>
      <c r="C844" s="93" t="s">
        <v>1588</v>
      </c>
      <c r="D844" s="93" t="s">
        <v>1956</v>
      </c>
      <c r="E844" s="226">
        <v>9031048454</v>
      </c>
      <c r="F844" s="93" t="str">
        <f>'Membership Level'!A12</f>
        <v>Swimming Moth</v>
      </c>
      <c r="G844" s="93" t="s">
        <v>1290</v>
      </c>
      <c r="H844" s="75">
        <v>2800</v>
      </c>
      <c r="I844" s="75">
        <v>2800</v>
      </c>
      <c r="J844" s="61"/>
      <c r="K844" s="59">
        <v>46159</v>
      </c>
      <c r="L844" s="59">
        <f>DATE(YEAR(K844),MONTH(K844)+VLOOKUP($F842,'Membership Level'!$A$3:$B$15,2,FALSE),DAY(K844))</f>
        <v>46190</v>
      </c>
      <c r="M844" s="7"/>
    </row>
    <row r="845" spans="1:13" ht="16.5" customHeight="1" x14ac:dyDescent="0.35">
      <c r="A845" s="58" t="s">
        <v>1859</v>
      </c>
      <c r="B845" s="59">
        <v>46159</v>
      </c>
      <c r="C845" s="93" t="s">
        <v>461</v>
      </c>
      <c r="D845" s="93" t="s">
        <v>1586</v>
      </c>
      <c r="E845" s="226">
        <v>6387431280</v>
      </c>
      <c r="F845" s="93" t="str">
        <f>'Membership Level'!A12</f>
        <v>Swimming Moth</v>
      </c>
      <c r="G845" s="93" t="s">
        <v>1580</v>
      </c>
      <c r="H845" s="75">
        <v>2000</v>
      </c>
      <c r="I845" s="75">
        <v>2000</v>
      </c>
      <c r="J845" s="61"/>
      <c r="K845" s="59">
        <v>46159</v>
      </c>
      <c r="L845" s="59">
        <f>DATE(YEAR(K845),MONTH(K845)+VLOOKUP($F843,'Membership Level'!$A$3:$B$15,2,FALSE),DAY(K845))</f>
        <v>46190</v>
      </c>
      <c r="M845" s="7"/>
    </row>
    <row r="846" spans="1:13" x14ac:dyDescent="0.35">
      <c r="A846" s="58" t="s">
        <v>1860</v>
      </c>
      <c r="B846" s="59">
        <v>46159</v>
      </c>
      <c r="C846" s="93" t="s">
        <v>461</v>
      </c>
      <c r="D846" s="93" t="s">
        <v>1957</v>
      </c>
      <c r="E846" s="226">
        <v>6387431280</v>
      </c>
      <c r="F846" s="93" t="str">
        <f>'Membership Level'!A12</f>
        <v>Swimming Moth</v>
      </c>
      <c r="G846" s="93" t="s">
        <v>1170</v>
      </c>
      <c r="H846" s="75">
        <v>2500</v>
      </c>
      <c r="I846" s="75">
        <v>2500</v>
      </c>
      <c r="J846" s="61"/>
      <c r="K846" s="59">
        <v>46159</v>
      </c>
      <c r="L846" s="59">
        <f>DATE(YEAR(K846),MONTH(K846)+VLOOKUP($F844,'Membership Level'!$A$3:$B$15,2,FALSE),DAY(K846))</f>
        <v>46190</v>
      </c>
      <c r="M846" s="7"/>
    </row>
    <row r="847" spans="1:13" x14ac:dyDescent="0.35">
      <c r="A847" s="58" t="s">
        <v>1861</v>
      </c>
      <c r="B847" s="59">
        <v>46159</v>
      </c>
      <c r="C847" s="93" t="s">
        <v>202</v>
      </c>
      <c r="D847" s="93" t="s">
        <v>696</v>
      </c>
      <c r="E847" s="226">
        <v>7717742332</v>
      </c>
      <c r="F847" s="93" t="str">
        <f>'Membership Level'!A12</f>
        <v>Swimming Moth</v>
      </c>
      <c r="G847" s="93" t="s">
        <v>1958</v>
      </c>
      <c r="H847" s="75">
        <v>1200</v>
      </c>
      <c r="I847" s="75">
        <v>1200</v>
      </c>
      <c r="J847" s="61"/>
      <c r="K847" s="59">
        <v>46159</v>
      </c>
      <c r="L847" s="59">
        <f>DATE(YEAR(K847),MONTH(K847)+VLOOKUP($F845,'Membership Level'!$A$3:$B$15,2,FALSE),DAY(K847))</f>
        <v>46190</v>
      </c>
      <c r="M847" s="7"/>
    </row>
    <row r="848" spans="1:13" x14ac:dyDescent="0.35">
      <c r="A848" s="58" t="s">
        <v>1862</v>
      </c>
      <c r="B848" s="59">
        <v>46159</v>
      </c>
      <c r="C848" s="93" t="s">
        <v>202</v>
      </c>
      <c r="D848" s="93" t="s">
        <v>599</v>
      </c>
      <c r="E848" s="226">
        <v>7260861145</v>
      </c>
      <c r="F848" s="93" t="str">
        <f>'Membership Level'!A12</f>
        <v>Swimming Moth</v>
      </c>
      <c r="G848" s="93" t="s">
        <v>1568</v>
      </c>
      <c r="H848" s="75">
        <v>3800</v>
      </c>
      <c r="I848" s="75">
        <v>3800</v>
      </c>
      <c r="J848" s="61"/>
      <c r="K848" s="59">
        <v>46159</v>
      </c>
      <c r="L848" s="59">
        <f>DATE(YEAR(K848),MONTH(K848)+VLOOKUP($F846,'Membership Level'!$A$3:$B$15,2,FALSE),DAY(K848))</f>
        <v>46190</v>
      </c>
      <c r="M848" s="7"/>
    </row>
    <row r="849" spans="1:13" x14ac:dyDescent="0.35">
      <c r="A849" s="58" t="s">
        <v>1863</v>
      </c>
      <c r="B849" s="59">
        <v>46159</v>
      </c>
      <c r="C849" s="93"/>
      <c r="D849" s="93" t="s">
        <v>894</v>
      </c>
      <c r="E849" s="226">
        <v>7260861145</v>
      </c>
      <c r="F849" s="93" t="str">
        <f>'Membership Level'!A12</f>
        <v>Swimming Moth</v>
      </c>
      <c r="G849" s="93" t="s">
        <v>1568</v>
      </c>
      <c r="H849" s="75">
        <v>3800</v>
      </c>
      <c r="I849" s="75">
        <v>3800</v>
      </c>
      <c r="J849" s="61"/>
      <c r="K849" s="59">
        <v>46159</v>
      </c>
      <c r="L849" s="59">
        <f>DATE(YEAR(K849),MONTH(K849)+VLOOKUP($F847,'Membership Level'!$A$3:$B$15,2,FALSE),DAY(K849))</f>
        <v>46190</v>
      </c>
      <c r="M849" s="7"/>
    </row>
    <row r="850" spans="1:13" x14ac:dyDescent="0.35">
      <c r="A850" s="58" t="s">
        <v>1864</v>
      </c>
      <c r="B850" s="59">
        <v>46159</v>
      </c>
      <c r="C850" s="93" t="s">
        <v>1962</v>
      </c>
      <c r="D850" s="93" t="s">
        <v>1959</v>
      </c>
      <c r="E850" s="226">
        <v>9771347949</v>
      </c>
      <c r="F850" s="93" t="str">
        <f>'Membership Level'!A12</f>
        <v>Swimming Moth</v>
      </c>
      <c r="G850" s="93" t="s">
        <v>1170</v>
      </c>
      <c r="H850" s="75">
        <v>1500</v>
      </c>
      <c r="I850" s="75">
        <v>1500</v>
      </c>
      <c r="J850" s="61"/>
      <c r="K850" s="59">
        <v>46159</v>
      </c>
      <c r="L850" s="59">
        <f>DATE(YEAR(K850),MONTH(K850)+VLOOKUP($F848,'Membership Level'!$A$3:$B$15,2,FALSE),DAY(K850))</f>
        <v>46190</v>
      </c>
      <c r="M850" s="7"/>
    </row>
    <row r="851" spans="1:13" x14ac:dyDescent="0.35">
      <c r="A851" s="58" t="s">
        <v>1865</v>
      </c>
      <c r="B851" s="59">
        <v>46159</v>
      </c>
      <c r="C851" s="93"/>
      <c r="D851" s="93" t="s">
        <v>1320</v>
      </c>
      <c r="E851" s="226">
        <v>9771347949</v>
      </c>
      <c r="F851" s="93" t="str">
        <f>'Membership Level'!A12</f>
        <v>Swimming Moth</v>
      </c>
      <c r="G851" s="93" t="s">
        <v>1170</v>
      </c>
      <c r="H851" s="75">
        <v>1500</v>
      </c>
      <c r="I851" s="75">
        <v>1500</v>
      </c>
      <c r="J851" s="61"/>
      <c r="K851" s="59">
        <v>46159</v>
      </c>
      <c r="L851" s="59">
        <f>DATE(YEAR(K851),MONTH(K851)+VLOOKUP($F849,'Membership Level'!$A$3:$B$15,2,FALSE),DAY(K851))</f>
        <v>46190</v>
      </c>
      <c r="M851" s="7"/>
    </row>
    <row r="852" spans="1:13" x14ac:dyDescent="0.35">
      <c r="A852" s="58" t="s">
        <v>1866</v>
      </c>
      <c r="B852" s="59">
        <v>46159</v>
      </c>
      <c r="C852" s="93"/>
      <c r="D852" s="93" t="s">
        <v>1960</v>
      </c>
      <c r="E852" s="226">
        <v>9771347949</v>
      </c>
      <c r="F852" s="93" t="str">
        <f>'Membership Level'!A12</f>
        <v>Swimming Moth</v>
      </c>
      <c r="G852" s="93" t="s">
        <v>1170</v>
      </c>
      <c r="H852" s="75">
        <v>1500</v>
      </c>
      <c r="I852" s="75">
        <v>1500</v>
      </c>
      <c r="J852" s="61"/>
      <c r="K852" s="59">
        <v>46159</v>
      </c>
      <c r="L852" s="59">
        <f>DATE(YEAR(K852),MONTH(K852)+VLOOKUP($F850,'Membership Level'!$A$3:$B$15,2,FALSE),DAY(K852))</f>
        <v>46190</v>
      </c>
      <c r="M852" s="7"/>
    </row>
    <row r="853" spans="1:13" x14ac:dyDescent="0.35">
      <c r="A853" s="58" t="s">
        <v>1867</v>
      </c>
      <c r="B853" s="59">
        <v>46159</v>
      </c>
      <c r="C853" s="93"/>
      <c r="D853" s="93" t="s">
        <v>1961</v>
      </c>
      <c r="E853" s="226">
        <v>9771347949</v>
      </c>
      <c r="F853" s="93" t="str">
        <f>'Membership Level'!A12</f>
        <v>Swimming Moth</v>
      </c>
      <c r="G853" s="93" t="s">
        <v>1170</v>
      </c>
      <c r="H853" s="75">
        <v>1500</v>
      </c>
      <c r="I853" s="75">
        <v>1500</v>
      </c>
      <c r="J853" s="61"/>
      <c r="K853" s="59">
        <v>46159</v>
      </c>
      <c r="L853" s="59">
        <f>DATE(YEAR(K853),MONTH(K853)+VLOOKUP($F851,'Membership Level'!$A$3:$B$15,2,FALSE),DAY(K853))</f>
        <v>46190</v>
      </c>
      <c r="M853" s="7"/>
    </row>
    <row r="854" spans="1:13" x14ac:dyDescent="0.35">
      <c r="A854" s="58" t="s">
        <v>1868</v>
      </c>
      <c r="B854" s="59">
        <v>46159</v>
      </c>
      <c r="C854" s="93" t="s">
        <v>1964</v>
      </c>
      <c r="D854" s="93" t="s">
        <v>1963</v>
      </c>
      <c r="E854" s="226">
        <v>7541866608</v>
      </c>
      <c r="F854" s="93" t="str">
        <f>'Membership Level'!A13</f>
        <v>Swimming Qty</v>
      </c>
      <c r="G854" s="93" t="s">
        <v>216</v>
      </c>
      <c r="H854" s="75">
        <v>11000</v>
      </c>
      <c r="I854" s="75">
        <v>11000</v>
      </c>
      <c r="J854" s="61"/>
      <c r="K854" s="59">
        <v>46159</v>
      </c>
      <c r="L854" s="59">
        <f>DATE(YEAR(K854),MONTH(K854)+VLOOKUP($F852,'Membership Level'!$A$3:$B$15,2,FALSE),DAY(K854))</f>
        <v>46190</v>
      </c>
      <c r="M854" s="7"/>
    </row>
    <row r="855" spans="1:13" x14ac:dyDescent="0.35">
      <c r="A855" s="58" t="s">
        <v>1869</v>
      </c>
      <c r="B855" s="59">
        <v>46160</v>
      </c>
      <c r="C855" s="93" t="s">
        <v>691</v>
      </c>
      <c r="D855" s="93" t="s">
        <v>482</v>
      </c>
      <c r="E855" s="226">
        <v>9840342632</v>
      </c>
      <c r="F855" s="93" t="str">
        <f>'Membership Level'!A12</f>
        <v>Swimming Moth</v>
      </c>
      <c r="G855" s="93" t="s">
        <v>1568</v>
      </c>
      <c r="H855" s="75">
        <v>3800</v>
      </c>
      <c r="I855" s="75">
        <v>3800</v>
      </c>
      <c r="J855" s="61"/>
      <c r="K855" s="59">
        <v>46160</v>
      </c>
      <c r="L855" s="59">
        <f>DATE(YEAR(K855),MONTH(K855)+VLOOKUP($F853,'Membership Level'!$A$3:$B$15,2,FALSE),DAY(K855))</f>
        <v>46191</v>
      </c>
      <c r="M855" s="7"/>
    </row>
    <row r="856" spans="1:13" x14ac:dyDescent="0.35">
      <c r="A856" s="58" t="s">
        <v>1870</v>
      </c>
      <c r="B856" s="59">
        <v>46160</v>
      </c>
      <c r="C856" s="93" t="s">
        <v>691</v>
      </c>
      <c r="D856" s="93" t="s">
        <v>1965</v>
      </c>
      <c r="E856" s="226">
        <v>9840342632</v>
      </c>
      <c r="F856" s="93" t="str">
        <f>'Membership Level'!A12</f>
        <v>Swimming Moth</v>
      </c>
      <c r="G856" s="93" t="s">
        <v>1568</v>
      </c>
      <c r="H856" s="75">
        <v>3800</v>
      </c>
      <c r="I856" s="75">
        <v>3800</v>
      </c>
      <c r="J856" s="61"/>
      <c r="K856" s="59">
        <v>46160</v>
      </c>
      <c r="L856" s="59">
        <f>DATE(YEAR(K856),MONTH(K856)+VLOOKUP($F854,'Membership Level'!$A$3:$B$15,2,FALSE),DAY(K856))</f>
        <v>46252</v>
      </c>
      <c r="M856" s="7"/>
    </row>
    <row r="857" spans="1:13" x14ac:dyDescent="0.35">
      <c r="A857" s="58" t="s">
        <v>1871</v>
      </c>
      <c r="B857" s="59">
        <v>46160</v>
      </c>
      <c r="C857" s="93" t="s">
        <v>1967</v>
      </c>
      <c r="D857" s="93" t="s">
        <v>1966</v>
      </c>
      <c r="E857" s="226">
        <v>9534528056</v>
      </c>
      <c r="F857" s="93" t="str">
        <f>'Membership Level'!A12</f>
        <v>Swimming Moth</v>
      </c>
      <c r="G857" s="93" t="s">
        <v>1568</v>
      </c>
      <c r="H857" s="75">
        <v>3200</v>
      </c>
      <c r="I857" s="75">
        <v>2500</v>
      </c>
      <c r="J857" s="356" t="s">
        <v>1969</v>
      </c>
      <c r="K857" s="59">
        <v>46160</v>
      </c>
      <c r="L857" s="59">
        <f>DATE(YEAR(K857),MONTH(K857)+VLOOKUP($F855,'Membership Level'!$A$3:$B$15,2,FALSE),DAY(K857))</f>
        <v>46191</v>
      </c>
      <c r="M857" s="7"/>
    </row>
    <row r="858" spans="1:13" x14ac:dyDescent="0.35">
      <c r="A858" s="58" t="s">
        <v>1872</v>
      </c>
      <c r="B858" s="59">
        <v>46160</v>
      </c>
      <c r="C858" s="93"/>
      <c r="D858" s="93" t="s">
        <v>1968</v>
      </c>
      <c r="E858" s="226">
        <v>9534528056</v>
      </c>
      <c r="F858" s="93" t="str">
        <f>'Membership Level'!A12</f>
        <v>Swimming Moth</v>
      </c>
      <c r="G858" s="93" t="s">
        <v>1568</v>
      </c>
      <c r="H858" s="75">
        <v>3200</v>
      </c>
      <c r="I858" s="75">
        <v>2500</v>
      </c>
      <c r="J858" s="357"/>
      <c r="K858" s="59">
        <v>46160</v>
      </c>
      <c r="L858" s="59">
        <f>DATE(YEAR(K858),MONTH(K858)+VLOOKUP($F856,'Membership Level'!$A$3:$B$15,2,FALSE),DAY(K858))</f>
        <v>46191</v>
      </c>
      <c r="M858" s="7"/>
    </row>
    <row r="859" spans="1:13" x14ac:dyDescent="0.35">
      <c r="A859" s="58" t="s">
        <v>1873</v>
      </c>
      <c r="B859" s="59">
        <v>46160</v>
      </c>
      <c r="C859" s="93" t="s">
        <v>333</v>
      </c>
      <c r="D859" s="93" t="s">
        <v>1970</v>
      </c>
      <c r="E859" s="226">
        <v>9966078731</v>
      </c>
      <c r="F859" s="93" t="str">
        <f>'Membership Level'!A12</f>
        <v>Swimming Moth</v>
      </c>
      <c r="G859" s="93" t="s">
        <v>561</v>
      </c>
      <c r="H859" s="75">
        <v>3000</v>
      </c>
      <c r="I859" s="75">
        <v>3000</v>
      </c>
      <c r="J859" s="61"/>
      <c r="K859" s="59">
        <v>46160</v>
      </c>
      <c r="L859" s="59">
        <f>DATE(YEAR(K859),MONTH(K859)+VLOOKUP($F857,'Membership Level'!$A$3:$B$15,2,FALSE),DAY(K859))</f>
        <v>46191</v>
      </c>
      <c r="M859" s="7"/>
    </row>
    <row r="860" spans="1:13" x14ac:dyDescent="0.35">
      <c r="A860" s="58" t="s">
        <v>1874</v>
      </c>
      <c r="B860" s="59">
        <v>46160</v>
      </c>
      <c r="C860" s="93"/>
      <c r="D860" s="93" t="s">
        <v>1971</v>
      </c>
      <c r="E860" s="226">
        <v>8969543404</v>
      </c>
      <c r="F860" s="93" t="str">
        <f>'Membership Level'!A12</f>
        <v>Swimming Moth</v>
      </c>
      <c r="G860" s="93" t="s">
        <v>561</v>
      </c>
      <c r="H860" s="75">
        <v>3000</v>
      </c>
      <c r="I860" s="75">
        <v>3000</v>
      </c>
      <c r="J860" s="61"/>
      <c r="K860" s="59">
        <v>46160</v>
      </c>
      <c r="L860" s="59">
        <f>DATE(YEAR(K860),MONTH(K860)+VLOOKUP($F858,'Membership Level'!$A$3:$B$15,2,FALSE),DAY(K860))</f>
        <v>46191</v>
      </c>
      <c r="M860" s="7"/>
    </row>
    <row r="861" spans="1:13" x14ac:dyDescent="0.35">
      <c r="A861" s="58" t="s">
        <v>1875</v>
      </c>
      <c r="B861" s="59">
        <v>46160</v>
      </c>
      <c r="C861" s="93" t="s">
        <v>1973</v>
      </c>
      <c r="D861" s="93" t="s">
        <v>1972</v>
      </c>
      <c r="E861" s="226">
        <v>7488146105</v>
      </c>
      <c r="F861" s="93" t="str">
        <f>'Membership Level'!A12</f>
        <v>Swimming Moth</v>
      </c>
      <c r="G861" s="93" t="s">
        <v>1568</v>
      </c>
      <c r="H861" s="75">
        <v>3800</v>
      </c>
      <c r="I861" s="75">
        <v>3800</v>
      </c>
      <c r="J861" s="61"/>
      <c r="K861" s="59">
        <v>46160</v>
      </c>
      <c r="L861" s="59">
        <f>DATE(YEAR(K861),MONTH(K861)+VLOOKUP($F859,'Membership Level'!$A$3:$B$15,2,FALSE),DAY(K861))</f>
        <v>46191</v>
      </c>
      <c r="M861" s="7"/>
    </row>
    <row r="862" spans="1:13" x14ac:dyDescent="0.35">
      <c r="A862" s="58" t="s">
        <v>1876</v>
      </c>
      <c r="B862" s="59">
        <v>46160</v>
      </c>
      <c r="C862" s="93" t="s">
        <v>362</v>
      </c>
      <c r="D862" s="93" t="s">
        <v>1974</v>
      </c>
      <c r="E862" s="226">
        <v>8123947935</v>
      </c>
      <c r="F862" s="93" t="str">
        <f>'Membership Level'!A12</f>
        <v>Swimming Moth</v>
      </c>
      <c r="G862" s="93" t="s">
        <v>1568</v>
      </c>
      <c r="H862" s="75">
        <v>3800</v>
      </c>
      <c r="I862" s="75">
        <v>3800</v>
      </c>
      <c r="J862" s="61"/>
      <c r="K862" s="59">
        <v>46160</v>
      </c>
      <c r="L862" s="59">
        <f>DATE(YEAR(K862),MONTH(K862)+VLOOKUP($F860,'Membership Level'!$A$3:$B$15,2,FALSE),DAY(K862))</f>
        <v>46191</v>
      </c>
      <c r="M862" s="7"/>
    </row>
    <row r="863" spans="1:13" x14ac:dyDescent="0.35">
      <c r="A863" s="58" t="s">
        <v>1877</v>
      </c>
      <c r="B863" s="59">
        <v>46160</v>
      </c>
      <c r="C863" s="93" t="s">
        <v>727</v>
      </c>
      <c r="D863" s="93" t="s">
        <v>1975</v>
      </c>
      <c r="E863" s="226">
        <v>7488514229</v>
      </c>
      <c r="F863" s="93" t="str">
        <f>'Membership Level'!A12</f>
        <v>Swimming Moth</v>
      </c>
      <c r="G863" s="93" t="s">
        <v>370</v>
      </c>
      <c r="H863" s="75">
        <v>3800</v>
      </c>
      <c r="I863" s="75">
        <v>3800</v>
      </c>
      <c r="J863" s="61"/>
      <c r="K863" s="59">
        <v>46160</v>
      </c>
      <c r="L863" s="59">
        <f>DATE(YEAR(K863),MONTH(K863)+VLOOKUP($F861,'Membership Level'!$A$3:$B$15,2,FALSE),DAY(K863))</f>
        <v>46191</v>
      </c>
      <c r="M863" s="7"/>
    </row>
    <row r="864" spans="1:13" x14ac:dyDescent="0.35">
      <c r="A864" s="58" t="s">
        <v>1878</v>
      </c>
      <c r="B864" s="59">
        <v>46161</v>
      </c>
      <c r="C864" s="93" t="s">
        <v>362</v>
      </c>
      <c r="D864" s="93" t="s">
        <v>459</v>
      </c>
      <c r="E864" s="226">
        <v>9123180382</v>
      </c>
      <c r="F864" s="93" t="str">
        <f>'Membership Level'!A12</f>
        <v>Swimming Moth</v>
      </c>
      <c r="G864" s="93" t="s">
        <v>1568</v>
      </c>
      <c r="H864" s="75">
        <v>3800</v>
      </c>
      <c r="I864" s="75">
        <v>3800</v>
      </c>
      <c r="J864" s="61"/>
      <c r="K864" s="59">
        <v>46161</v>
      </c>
      <c r="L864" s="59">
        <f>DATE(YEAR(K864),MONTH(K864)+VLOOKUP($F862,'Membership Level'!$A$3:$B$15,2,FALSE),DAY(K864))</f>
        <v>46192</v>
      </c>
      <c r="M864" s="7"/>
    </row>
    <row r="865" spans="1:13" x14ac:dyDescent="0.35">
      <c r="A865" s="58" t="s">
        <v>1879</v>
      </c>
      <c r="B865" s="59">
        <v>46161</v>
      </c>
      <c r="C865" s="93" t="s">
        <v>362</v>
      </c>
      <c r="D865" s="93" t="s">
        <v>1171</v>
      </c>
      <c r="E865" s="226">
        <v>9123180382</v>
      </c>
      <c r="F865" s="93" t="str">
        <f>'Membership Level'!A12</f>
        <v>Swimming Moth</v>
      </c>
      <c r="G865" s="93" t="s">
        <v>1568</v>
      </c>
      <c r="H865" s="75">
        <v>3800</v>
      </c>
      <c r="I865" s="75">
        <v>3800</v>
      </c>
      <c r="J865" s="61"/>
      <c r="K865" s="59">
        <v>46161</v>
      </c>
      <c r="L865" s="59">
        <f>DATE(YEAR(K865),MONTH(K865)+VLOOKUP($F863,'Membership Level'!$A$3:$B$15,2,FALSE),DAY(K865))</f>
        <v>46192</v>
      </c>
      <c r="M865" s="7"/>
    </row>
    <row r="866" spans="1:13" x14ac:dyDescent="0.35">
      <c r="A866" s="58" t="s">
        <v>1976</v>
      </c>
      <c r="B866" s="59">
        <v>46161</v>
      </c>
      <c r="C866" s="93" t="s">
        <v>550</v>
      </c>
      <c r="D866" s="93" t="s">
        <v>2057</v>
      </c>
      <c r="E866" s="226">
        <v>7836950719</v>
      </c>
      <c r="F866" s="93" t="str">
        <f>'Membership Level'!A12</f>
        <v>Swimming Moth</v>
      </c>
      <c r="G866" s="93" t="s">
        <v>1568</v>
      </c>
      <c r="H866" s="75">
        <v>3800</v>
      </c>
      <c r="I866" s="75">
        <v>3800</v>
      </c>
      <c r="J866" s="61"/>
      <c r="K866" s="59">
        <v>46161</v>
      </c>
      <c r="L866" s="59">
        <f>DATE(YEAR(K866),MONTH(K866)+VLOOKUP($F864,'Membership Level'!$A$3:$B$15,2,FALSE),DAY(K866))</f>
        <v>46192</v>
      </c>
      <c r="M866" s="7"/>
    </row>
    <row r="867" spans="1:13" x14ac:dyDescent="0.35">
      <c r="A867" s="58" t="s">
        <v>1977</v>
      </c>
      <c r="B867" s="59">
        <v>46161</v>
      </c>
      <c r="C867" s="93" t="s">
        <v>222</v>
      </c>
      <c r="D867" s="93" t="s">
        <v>2058</v>
      </c>
      <c r="E867" s="226">
        <v>7209703999</v>
      </c>
      <c r="F867" s="93" t="str">
        <f>'Membership Level'!A12</f>
        <v>Swimming Moth</v>
      </c>
      <c r="G867" s="93" t="s">
        <v>1568</v>
      </c>
      <c r="H867" s="75">
        <v>3800</v>
      </c>
      <c r="I867" s="75">
        <v>3800</v>
      </c>
      <c r="J867" s="61"/>
      <c r="K867" s="59">
        <v>46161</v>
      </c>
      <c r="L867" s="59">
        <f>DATE(YEAR(K867),MONTH(K867)+VLOOKUP($F865,'Membership Level'!$A$3:$B$15,2,FALSE),DAY(K867))</f>
        <v>46192</v>
      </c>
      <c r="M867" s="7"/>
    </row>
    <row r="868" spans="1:13" x14ac:dyDescent="0.35">
      <c r="A868" s="58" t="s">
        <v>1978</v>
      </c>
      <c r="B868" s="59">
        <v>46161</v>
      </c>
      <c r="C868" s="93" t="s">
        <v>2059</v>
      </c>
      <c r="D868" s="93" t="s">
        <v>894</v>
      </c>
      <c r="E868" s="226">
        <v>9608338191</v>
      </c>
      <c r="F868" s="93" t="str">
        <f>'Membership Level'!A12</f>
        <v>Swimming Moth</v>
      </c>
      <c r="G868" s="93" t="s">
        <v>1417</v>
      </c>
      <c r="H868" s="75">
        <v>1000</v>
      </c>
      <c r="I868" s="75">
        <v>1000</v>
      </c>
      <c r="J868" s="61"/>
      <c r="K868" s="59">
        <v>46161</v>
      </c>
      <c r="L868" s="59">
        <f>DATE(YEAR(K868),MONTH(K868)+VLOOKUP($F866,'Membership Level'!$A$3:$B$15,2,FALSE),DAY(K868))</f>
        <v>46192</v>
      </c>
      <c r="M868" s="7"/>
    </row>
    <row r="869" spans="1:13" x14ac:dyDescent="0.35">
      <c r="A869" s="58" t="s">
        <v>1979</v>
      </c>
      <c r="B869" s="59">
        <v>46161</v>
      </c>
      <c r="C869" s="93" t="s">
        <v>222</v>
      </c>
      <c r="D869" s="93" t="s">
        <v>826</v>
      </c>
      <c r="E869" s="226">
        <v>9752774877</v>
      </c>
      <c r="F869" s="93" t="str">
        <f>'Membership Level'!A12</f>
        <v>Swimming Moth</v>
      </c>
      <c r="G869" s="93" t="s">
        <v>248</v>
      </c>
      <c r="H869" s="75">
        <v>4400</v>
      </c>
      <c r="I869" s="75">
        <v>4400</v>
      </c>
      <c r="J869" s="61"/>
      <c r="K869" s="59">
        <v>46161</v>
      </c>
      <c r="L869" s="59">
        <f>DATE(YEAR(K869),MONTH(K869)+VLOOKUP($F867,'Membership Level'!$A$3:$B$15,2,FALSE),DAY(K869))</f>
        <v>46192</v>
      </c>
      <c r="M869" s="7"/>
    </row>
    <row r="870" spans="1:13" x14ac:dyDescent="0.35">
      <c r="A870" s="58" t="s">
        <v>1980</v>
      </c>
      <c r="B870" s="59">
        <v>46161</v>
      </c>
      <c r="C870" s="93" t="s">
        <v>333</v>
      </c>
      <c r="D870" s="93" t="s">
        <v>2060</v>
      </c>
      <c r="E870" s="226">
        <v>9304561587</v>
      </c>
      <c r="F870" s="93" t="str">
        <f>'Membership Level'!A12</f>
        <v>Swimming Moth</v>
      </c>
      <c r="G870" s="93" t="s">
        <v>248</v>
      </c>
      <c r="H870" s="75">
        <v>4400</v>
      </c>
      <c r="I870" s="75">
        <v>4400</v>
      </c>
      <c r="J870" s="61"/>
      <c r="K870" s="59">
        <v>46161</v>
      </c>
      <c r="L870" s="59">
        <f>DATE(YEAR(K870),MONTH(K870)+VLOOKUP($F868,'Membership Level'!$A$3:$B$15,2,FALSE),DAY(K870))</f>
        <v>46192</v>
      </c>
      <c r="M870" s="7"/>
    </row>
    <row r="871" spans="1:13" x14ac:dyDescent="0.35">
      <c r="A871" s="58" t="s">
        <v>1981</v>
      </c>
      <c r="B871" s="59">
        <v>46161</v>
      </c>
      <c r="C871" s="93"/>
      <c r="D871" s="93" t="s">
        <v>2061</v>
      </c>
      <c r="E871" s="226">
        <v>8789178268</v>
      </c>
      <c r="F871" s="93" t="str">
        <f>'Membership Level'!A12</f>
        <v>Swimming Moth</v>
      </c>
      <c r="G871" s="93" t="s">
        <v>561</v>
      </c>
      <c r="H871" s="75">
        <v>3300</v>
      </c>
      <c r="I871" s="75">
        <v>3300</v>
      </c>
      <c r="J871" s="61"/>
      <c r="K871" s="59">
        <v>46161</v>
      </c>
      <c r="L871" s="59">
        <f>DATE(YEAR(K871),MONTH(K871)+VLOOKUP($F869,'Membership Level'!$A$3:$B$15,2,FALSE),DAY(K871))</f>
        <v>46192</v>
      </c>
      <c r="M871" s="7"/>
    </row>
    <row r="872" spans="1:13" x14ac:dyDescent="0.35">
      <c r="A872" s="58" t="s">
        <v>1982</v>
      </c>
      <c r="B872" s="59">
        <v>46161</v>
      </c>
      <c r="C872" s="93" t="s">
        <v>559</v>
      </c>
      <c r="D872" s="93" t="s">
        <v>2062</v>
      </c>
      <c r="E872" s="226">
        <v>9110138190</v>
      </c>
      <c r="F872" s="93" t="str">
        <f>'Membership Level'!A12</f>
        <v>Swimming Moth</v>
      </c>
      <c r="G872" s="93" t="s">
        <v>248</v>
      </c>
      <c r="H872" s="75">
        <v>4000</v>
      </c>
      <c r="I872" s="75">
        <v>4000</v>
      </c>
      <c r="J872" s="61"/>
      <c r="K872" s="59">
        <v>46161</v>
      </c>
      <c r="L872" s="59">
        <f>DATE(YEAR(K872),MONTH(K872)+VLOOKUP($F870,'Membership Level'!$A$3:$B$15,2,FALSE),DAY(K872))</f>
        <v>46192</v>
      </c>
      <c r="M872" s="7"/>
    </row>
    <row r="873" spans="1:13" x14ac:dyDescent="0.35">
      <c r="A873" s="58" t="s">
        <v>1983</v>
      </c>
      <c r="B873" s="59">
        <v>46161</v>
      </c>
      <c r="C873" s="93" t="s">
        <v>322</v>
      </c>
      <c r="D873" s="93" t="s">
        <v>892</v>
      </c>
      <c r="E873" s="226">
        <v>9771419108</v>
      </c>
      <c r="F873" s="93" t="str">
        <f>'Membership Level'!A12</f>
        <v>Swimming Moth</v>
      </c>
      <c r="G873" s="93" t="s">
        <v>248</v>
      </c>
      <c r="H873" s="75">
        <v>4400</v>
      </c>
      <c r="I873" s="75">
        <v>4400</v>
      </c>
      <c r="J873" s="61"/>
      <c r="K873" s="59">
        <v>46161</v>
      </c>
      <c r="L873" s="59">
        <f>DATE(YEAR(K873),MONTH(K873)+VLOOKUP($F871,'Membership Level'!$A$3:$B$15,2,FALSE),DAY(K873))</f>
        <v>46192</v>
      </c>
      <c r="M873" s="7"/>
    </row>
    <row r="874" spans="1:13" x14ac:dyDescent="0.35">
      <c r="A874" s="58" t="s">
        <v>1984</v>
      </c>
      <c r="B874" s="59">
        <v>46161</v>
      </c>
      <c r="C874" s="93" t="s">
        <v>2064</v>
      </c>
      <c r="D874" s="93" t="s">
        <v>2063</v>
      </c>
      <c r="E874" s="226">
        <v>9953900163</v>
      </c>
      <c r="F874" s="93" t="str">
        <f>'Membership Level'!A12</f>
        <v>Swimming Moth</v>
      </c>
      <c r="G874" s="93" t="s">
        <v>1568</v>
      </c>
      <c r="H874" s="75">
        <v>3800</v>
      </c>
      <c r="I874" s="75">
        <v>3800</v>
      </c>
      <c r="J874" s="61"/>
      <c r="K874" s="59">
        <v>46161</v>
      </c>
      <c r="L874" s="59">
        <f>DATE(YEAR(K874),MONTH(K874)+VLOOKUP($F872,'Membership Level'!$A$3:$B$15,2,FALSE),DAY(K874))</f>
        <v>46192</v>
      </c>
      <c r="M874" s="7"/>
    </row>
    <row r="875" spans="1:13" x14ac:dyDescent="0.35">
      <c r="A875" s="58" t="s">
        <v>1985</v>
      </c>
      <c r="B875" s="59">
        <v>46161</v>
      </c>
      <c r="C875" s="93" t="s">
        <v>618</v>
      </c>
      <c r="D875" s="93" t="s">
        <v>2065</v>
      </c>
      <c r="E875" s="226">
        <v>9953900163</v>
      </c>
      <c r="F875" s="93" t="str">
        <f>'Membership Level'!A12</f>
        <v>Swimming Moth</v>
      </c>
      <c r="G875" s="93" t="s">
        <v>1568</v>
      </c>
      <c r="H875" s="75">
        <v>3800</v>
      </c>
      <c r="I875" s="75">
        <v>3800</v>
      </c>
      <c r="J875" s="61"/>
      <c r="K875" s="59">
        <v>46161</v>
      </c>
      <c r="L875" s="59">
        <f>DATE(YEAR(K875),MONTH(K875)+VLOOKUP($F873,'Membership Level'!$A$3:$B$15,2,FALSE),DAY(K875))</f>
        <v>46192</v>
      </c>
      <c r="M875" s="7"/>
    </row>
    <row r="876" spans="1:13" x14ac:dyDescent="0.35">
      <c r="A876" s="58" t="s">
        <v>1986</v>
      </c>
      <c r="B876" s="59">
        <v>46161</v>
      </c>
      <c r="C876" s="93" t="s">
        <v>2066</v>
      </c>
      <c r="D876" s="93" t="s">
        <v>1421</v>
      </c>
      <c r="E876" s="226">
        <v>6209254056</v>
      </c>
      <c r="F876" s="93" t="str">
        <f>'Membership Level'!A12</f>
        <v>Swimming Moth</v>
      </c>
      <c r="G876" s="93" t="s">
        <v>1568</v>
      </c>
      <c r="H876" s="75">
        <v>3500</v>
      </c>
      <c r="I876" s="75">
        <v>3500</v>
      </c>
      <c r="J876" s="61"/>
      <c r="K876" s="59">
        <v>46161</v>
      </c>
      <c r="L876" s="59">
        <f>DATE(YEAR(K876),MONTH(K876)+VLOOKUP($F874,'Membership Level'!$A$3:$B$15,2,FALSE),DAY(K876))</f>
        <v>46192</v>
      </c>
      <c r="M876" s="7"/>
    </row>
    <row r="877" spans="1:13" x14ac:dyDescent="0.35">
      <c r="A877" s="58" t="s">
        <v>1987</v>
      </c>
      <c r="B877" s="59">
        <v>46161</v>
      </c>
      <c r="C877" s="93" t="s">
        <v>202</v>
      </c>
      <c r="D877" s="93" t="s">
        <v>2067</v>
      </c>
      <c r="E877" s="226">
        <v>7783865337</v>
      </c>
      <c r="F877" s="93" t="str">
        <f>'Membership Level'!A12</f>
        <v>Swimming Moth</v>
      </c>
      <c r="G877" s="93" t="s">
        <v>1290</v>
      </c>
      <c r="H877" s="75">
        <v>2800</v>
      </c>
      <c r="I877" s="75">
        <v>2800</v>
      </c>
      <c r="J877" s="61"/>
      <c r="K877" s="59">
        <v>46161</v>
      </c>
      <c r="L877" s="59">
        <f>DATE(YEAR(K877),MONTH(K877)+VLOOKUP($F875,'Membership Level'!$A$3:$B$15,2,FALSE),DAY(K877))</f>
        <v>46192</v>
      </c>
      <c r="M877" s="7"/>
    </row>
    <row r="878" spans="1:13" x14ac:dyDescent="0.35">
      <c r="A878" s="58" t="s">
        <v>1988</v>
      </c>
      <c r="B878" s="59">
        <v>46161</v>
      </c>
      <c r="C878" s="93" t="s">
        <v>281</v>
      </c>
      <c r="D878" s="93" t="s">
        <v>567</v>
      </c>
      <c r="E878" s="226">
        <v>7783865337</v>
      </c>
      <c r="F878" s="93" t="str">
        <f>'Membership Level'!A12</f>
        <v>Swimming Moth</v>
      </c>
      <c r="G878" s="93" t="s">
        <v>561</v>
      </c>
      <c r="H878" s="75">
        <v>3000</v>
      </c>
      <c r="I878" s="75">
        <v>3000</v>
      </c>
      <c r="J878" s="61"/>
      <c r="K878" s="59">
        <v>46161</v>
      </c>
      <c r="L878" s="59">
        <f>DATE(YEAR(K878),MONTH(K878)+VLOOKUP($F876,'Membership Level'!$A$3:$B$15,2,FALSE),DAY(K878))</f>
        <v>46192</v>
      </c>
      <c r="M878" s="7"/>
    </row>
    <row r="879" spans="1:13" x14ac:dyDescent="0.35">
      <c r="A879" s="58" t="s">
        <v>1989</v>
      </c>
      <c r="B879" s="59">
        <v>46161</v>
      </c>
      <c r="C879" s="93" t="s">
        <v>202</v>
      </c>
      <c r="D879" s="93" t="s">
        <v>336</v>
      </c>
      <c r="E879" s="226">
        <v>7783865337</v>
      </c>
      <c r="F879" s="93" t="str">
        <f>'Membership Level'!A12</f>
        <v>Swimming Moth</v>
      </c>
      <c r="G879" s="93" t="s">
        <v>561</v>
      </c>
      <c r="H879" s="75">
        <v>3000</v>
      </c>
      <c r="I879" s="75">
        <v>3000</v>
      </c>
      <c r="J879" s="61"/>
      <c r="K879" s="59">
        <v>46161</v>
      </c>
      <c r="L879" s="59">
        <f>DATE(YEAR(K879),MONTH(K879)+VLOOKUP($F877,'Membership Level'!$A$3:$B$15,2,FALSE),DAY(K879))</f>
        <v>46192</v>
      </c>
      <c r="M879" s="7"/>
    </row>
    <row r="880" spans="1:13" x14ac:dyDescent="0.35">
      <c r="A880" s="58" t="s">
        <v>1990</v>
      </c>
      <c r="B880" s="59">
        <v>46161</v>
      </c>
      <c r="C880" s="93" t="s">
        <v>2069</v>
      </c>
      <c r="D880" s="93" t="s">
        <v>2068</v>
      </c>
      <c r="E880" s="226"/>
      <c r="F880" s="93" t="str">
        <f>'Membership Level'!A12</f>
        <v>Swimming Moth</v>
      </c>
      <c r="G880" s="93" t="s">
        <v>248</v>
      </c>
      <c r="H880" s="75">
        <v>4000</v>
      </c>
      <c r="I880" s="75">
        <v>4000</v>
      </c>
      <c r="J880" s="61"/>
      <c r="K880" s="59">
        <v>46161</v>
      </c>
      <c r="L880" s="59">
        <f>DATE(YEAR(K880),MONTH(K880)+VLOOKUP($F878,'Membership Level'!$A$3:$B$15,2,FALSE),DAY(K880))</f>
        <v>46192</v>
      </c>
      <c r="M880" s="7"/>
    </row>
    <row r="881" spans="1:13" x14ac:dyDescent="0.35">
      <c r="A881" s="58" t="s">
        <v>1991</v>
      </c>
      <c r="B881" s="59">
        <v>46161</v>
      </c>
      <c r="C881" s="93" t="s">
        <v>2069</v>
      </c>
      <c r="D881" s="93" t="s">
        <v>2070</v>
      </c>
      <c r="E881" s="226"/>
      <c r="F881" s="93" t="str">
        <f>'Membership Level'!A12</f>
        <v>Swimming Moth</v>
      </c>
      <c r="G881" s="93" t="s">
        <v>248</v>
      </c>
      <c r="H881" s="75">
        <v>4000</v>
      </c>
      <c r="I881" s="75">
        <v>4000</v>
      </c>
      <c r="J881" s="61"/>
      <c r="K881" s="59">
        <v>46161</v>
      </c>
      <c r="L881" s="59">
        <f>DATE(YEAR(K881),MONTH(K881)+VLOOKUP($F879,'Membership Level'!$A$3:$B$15,2,FALSE),DAY(K881))</f>
        <v>46192</v>
      </c>
      <c r="M881" s="7"/>
    </row>
    <row r="882" spans="1:13" x14ac:dyDescent="0.35">
      <c r="A882" s="58" t="s">
        <v>1992</v>
      </c>
      <c r="B882" s="59">
        <v>46161</v>
      </c>
      <c r="C882" s="93"/>
      <c r="D882" s="93" t="s">
        <v>2071</v>
      </c>
      <c r="E882" s="226">
        <v>8173828521</v>
      </c>
      <c r="F882" s="93" t="str">
        <f>'Membership Level'!A12</f>
        <v>Swimming Moth</v>
      </c>
      <c r="G882" s="93" t="s">
        <v>248</v>
      </c>
      <c r="H882" s="75">
        <v>4400</v>
      </c>
      <c r="I882" s="75">
        <v>4400</v>
      </c>
      <c r="J882" s="61"/>
      <c r="K882" s="59">
        <v>46161</v>
      </c>
      <c r="L882" s="59">
        <f>DATE(YEAR(K882),MONTH(K882)+VLOOKUP($F880,'Membership Level'!$A$3:$B$15,2,FALSE),DAY(K882))</f>
        <v>46192</v>
      </c>
      <c r="M882" s="7"/>
    </row>
    <row r="883" spans="1:13" x14ac:dyDescent="0.35">
      <c r="A883" s="58" t="s">
        <v>1993</v>
      </c>
      <c r="B883" s="59">
        <v>46161</v>
      </c>
      <c r="C883" s="93" t="s">
        <v>333</v>
      </c>
      <c r="D883" s="93" t="s">
        <v>2072</v>
      </c>
      <c r="E883" s="226">
        <v>8521180105</v>
      </c>
      <c r="F883" s="93" t="str">
        <f>'Membership Level'!A12</f>
        <v>Swimming Moth</v>
      </c>
      <c r="G883" s="93" t="s">
        <v>1568</v>
      </c>
      <c r="H883" s="75">
        <v>3800</v>
      </c>
      <c r="I883" s="75">
        <v>3800</v>
      </c>
      <c r="J883" s="61"/>
      <c r="K883" s="59">
        <v>46161</v>
      </c>
      <c r="L883" s="59">
        <f>DATE(YEAR(K883),MONTH(K883)+VLOOKUP($F881,'Membership Level'!$A$3:$B$15,2,FALSE),DAY(K883))</f>
        <v>46192</v>
      </c>
      <c r="M883" s="7"/>
    </row>
    <row r="884" spans="1:13" x14ac:dyDescent="0.35">
      <c r="A884" s="58" t="s">
        <v>1994</v>
      </c>
      <c r="B884" s="59">
        <v>46161</v>
      </c>
      <c r="C884" s="93" t="s">
        <v>2073</v>
      </c>
      <c r="D884" s="93" t="s">
        <v>2074</v>
      </c>
      <c r="E884" s="226">
        <v>8521180105</v>
      </c>
      <c r="F884" s="93" t="str">
        <f>'Membership Level'!A12</f>
        <v>Swimming Moth</v>
      </c>
      <c r="G884" s="93" t="s">
        <v>1568</v>
      </c>
      <c r="H884" s="75">
        <v>3500</v>
      </c>
      <c r="I884" s="75">
        <v>3500</v>
      </c>
      <c r="J884" s="61"/>
      <c r="K884" s="59">
        <v>46161</v>
      </c>
      <c r="L884" s="59">
        <f>DATE(YEAR(K884),MONTH(K884)+VLOOKUP($F882,'Membership Level'!$A$3:$B$15,2,FALSE),DAY(K884))</f>
        <v>46192</v>
      </c>
      <c r="M884" s="7"/>
    </row>
    <row r="885" spans="1:13" x14ac:dyDescent="0.35">
      <c r="A885" s="58" t="s">
        <v>1995</v>
      </c>
      <c r="B885" s="59">
        <v>46161</v>
      </c>
      <c r="C885" s="93" t="s">
        <v>2076</v>
      </c>
      <c r="D885" s="93" t="s">
        <v>2075</v>
      </c>
      <c r="E885" s="226"/>
      <c r="F885" s="93" t="str">
        <f>'Membership Level'!A12</f>
        <v>Swimming Moth</v>
      </c>
      <c r="G885" s="93" t="s">
        <v>561</v>
      </c>
      <c r="H885" s="75">
        <v>3300</v>
      </c>
      <c r="I885" s="75">
        <v>3000</v>
      </c>
      <c r="J885" s="61">
        <v>300</v>
      </c>
      <c r="K885" s="59">
        <v>46161</v>
      </c>
      <c r="L885" s="59">
        <f>DATE(YEAR(K885),MONTH(K885)+VLOOKUP($F883,'Membership Level'!$A$3:$B$15,2,FALSE),DAY(K885))</f>
        <v>46192</v>
      </c>
      <c r="M885" s="7"/>
    </row>
    <row r="886" spans="1:13" x14ac:dyDescent="0.35">
      <c r="A886" s="58" t="s">
        <v>1996</v>
      </c>
      <c r="B886" s="59">
        <v>46161</v>
      </c>
      <c r="C886" s="93" t="s">
        <v>333</v>
      </c>
      <c r="D886" s="93" t="s">
        <v>2121</v>
      </c>
      <c r="E886" s="226">
        <v>8544024732</v>
      </c>
      <c r="F886" s="93" t="str">
        <f>'Membership Level'!A12</f>
        <v>Swimming Moth</v>
      </c>
      <c r="G886" s="93" t="s">
        <v>1568</v>
      </c>
      <c r="H886" s="75">
        <v>3800</v>
      </c>
      <c r="I886" s="75">
        <v>3800</v>
      </c>
      <c r="J886" s="354"/>
      <c r="K886" s="59">
        <v>46161</v>
      </c>
      <c r="L886" s="59">
        <f>DATE(YEAR(K886),MONTH(K886)+VLOOKUP($F884,'Membership Level'!$A$3:$B$15,2,FALSE),DAY(K886))</f>
        <v>46192</v>
      </c>
      <c r="M886" s="7"/>
    </row>
    <row r="887" spans="1:13" x14ac:dyDescent="0.35">
      <c r="A887" s="58" t="s">
        <v>1997</v>
      </c>
      <c r="B887" s="59">
        <v>46161</v>
      </c>
      <c r="C887" s="93" t="s">
        <v>333</v>
      </c>
      <c r="D887" s="93" t="s">
        <v>2077</v>
      </c>
      <c r="E887" s="226">
        <v>8544024732</v>
      </c>
      <c r="F887" s="93" t="str">
        <f>'Membership Level'!A12</f>
        <v>Swimming Moth</v>
      </c>
      <c r="G887" s="93" t="s">
        <v>1568</v>
      </c>
      <c r="H887" s="75">
        <v>3500</v>
      </c>
      <c r="I887" s="75">
        <v>3500</v>
      </c>
      <c r="J887" s="355"/>
      <c r="K887" s="59">
        <v>46161</v>
      </c>
      <c r="L887" s="59">
        <f>DATE(YEAR(K887),MONTH(K887)+VLOOKUP($F885,'Membership Level'!$A$3:$B$15,2,FALSE),DAY(K887))</f>
        <v>46192</v>
      </c>
      <c r="M887" s="7"/>
    </row>
    <row r="888" spans="1:13" x14ac:dyDescent="0.35">
      <c r="A888" s="58" t="s">
        <v>1998</v>
      </c>
      <c r="B888" s="59">
        <v>46161</v>
      </c>
      <c r="C888" s="93" t="s">
        <v>336</v>
      </c>
      <c r="D888" s="93" t="s">
        <v>307</v>
      </c>
      <c r="E888" s="226">
        <v>9205463179</v>
      </c>
      <c r="F888" s="93" t="str">
        <f>'Membership Level'!A12</f>
        <v>Swimming Moth</v>
      </c>
      <c r="G888" s="93" t="s">
        <v>2078</v>
      </c>
      <c r="H888" s="75">
        <v>3500</v>
      </c>
      <c r="I888" s="75">
        <v>3500</v>
      </c>
      <c r="J888" s="61"/>
      <c r="K888" s="59">
        <v>46161</v>
      </c>
      <c r="L888" s="59">
        <f>DATE(YEAR(K888),MONTH(K888)+VLOOKUP($F886,'Membership Level'!$A$3:$B$15,2,FALSE),DAY(K888))</f>
        <v>46192</v>
      </c>
      <c r="M888" s="7"/>
    </row>
    <row r="889" spans="1:13" x14ac:dyDescent="0.35">
      <c r="A889" s="58" t="s">
        <v>1999</v>
      </c>
      <c r="B889" s="59">
        <v>46161</v>
      </c>
      <c r="C889" s="93" t="s">
        <v>336</v>
      </c>
      <c r="D889" s="93" t="s">
        <v>2079</v>
      </c>
      <c r="E889" s="226">
        <v>9205463179</v>
      </c>
      <c r="F889" s="93" t="str">
        <f>'Membership Level'!A12</f>
        <v>Swimming Moth</v>
      </c>
      <c r="G889" s="93" t="s">
        <v>370</v>
      </c>
      <c r="H889" s="75">
        <v>3500</v>
      </c>
      <c r="I889" s="75">
        <v>3500</v>
      </c>
      <c r="J889" s="61"/>
      <c r="K889" s="59">
        <v>46161</v>
      </c>
      <c r="L889" s="59">
        <f>DATE(YEAR(K889),MONTH(K889)+VLOOKUP($F887,'Membership Level'!$A$3:$B$15,2,FALSE),DAY(K889))</f>
        <v>46192</v>
      </c>
      <c r="M889" s="7"/>
    </row>
    <row r="890" spans="1:13" x14ac:dyDescent="0.35">
      <c r="A890" s="58" t="s">
        <v>2000</v>
      </c>
      <c r="B890" s="59">
        <v>46161</v>
      </c>
      <c r="C890" s="93" t="s">
        <v>1964</v>
      </c>
      <c r="D890" s="93" t="s">
        <v>2080</v>
      </c>
      <c r="E890" s="226">
        <v>7870082221</v>
      </c>
      <c r="F890" s="93" t="str">
        <f>'Membership Level'!A12</f>
        <v>Swimming Moth</v>
      </c>
      <c r="G890" s="93" t="s">
        <v>2082</v>
      </c>
      <c r="H890" s="75">
        <v>2800</v>
      </c>
      <c r="I890" s="75">
        <v>2800</v>
      </c>
      <c r="J890" s="61"/>
      <c r="K890" s="59">
        <v>46161</v>
      </c>
      <c r="L890" s="59">
        <f>DATE(YEAR(K890),MONTH(K890)+VLOOKUP($F888,'Membership Level'!$A$3:$B$15,2,FALSE),DAY(K890))</f>
        <v>46192</v>
      </c>
      <c r="M890" s="7"/>
    </row>
    <row r="891" spans="1:13" x14ac:dyDescent="0.35">
      <c r="A891" s="58" t="s">
        <v>2001</v>
      </c>
      <c r="B891" s="59">
        <v>46161</v>
      </c>
      <c r="C891" s="93" t="s">
        <v>1964</v>
      </c>
      <c r="D891" s="93" t="s">
        <v>2081</v>
      </c>
      <c r="E891" s="226">
        <v>7870082221</v>
      </c>
      <c r="F891" s="93" t="str">
        <f>'Membership Level'!A12</f>
        <v>Swimming Moth</v>
      </c>
      <c r="G891" s="93" t="s">
        <v>1290</v>
      </c>
      <c r="H891" s="75">
        <v>2800</v>
      </c>
      <c r="I891" s="75">
        <v>2800</v>
      </c>
      <c r="J891" s="61"/>
      <c r="K891" s="59">
        <v>46161</v>
      </c>
      <c r="L891" s="59">
        <f>DATE(YEAR(K891),MONTH(K891)+VLOOKUP($F889,'Membership Level'!$A$3:$B$15,2,FALSE),DAY(K891))</f>
        <v>46192</v>
      </c>
      <c r="M891" s="7"/>
    </row>
    <row r="892" spans="1:13" x14ac:dyDescent="0.35">
      <c r="A892" s="58" t="s">
        <v>2002</v>
      </c>
      <c r="B892" s="59">
        <v>46161</v>
      </c>
      <c r="C892" s="93" t="s">
        <v>333</v>
      </c>
      <c r="D892" s="93" t="s">
        <v>459</v>
      </c>
      <c r="E892" s="226">
        <v>9934015969</v>
      </c>
      <c r="F892" s="93" t="str">
        <f>'Membership Level'!A12</f>
        <v>Swimming Moth</v>
      </c>
      <c r="G892" s="93" t="s">
        <v>248</v>
      </c>
      <c r="H892" s="75">
        <v>4400</v>
      </c>
      <c r="I892" s="75">
        <v>4400</v>
      </c>
      <c r="J892" s="61"/>
      <c r="K892" s="59">
        <v>46161</v>
      </c>
      <c r="L892" s="59">
        <f>DATE(YEAR(K892),MONTH(K892)+VLOOKUP($F890,'Membership Level'!$A$3:$B$15,2,FALSE),DAY(K892))</f>
        <v>46192</v>
      </c>
      <c r="M892" s="7"/>
    </row>
    <row r="893" spans="1:13" x14ac:dyDescent="0.35">
      <c r="A893" s="58" t="s">
        <v>2003</v>
      </c>
      <c r="B893" s="59">
        <v>46161</v>
      </c>
      <c r="C893" s="93" t="s">
        <v>333</v>
      </c>
      <c r="D893" s="93" t="s">
        <v>1585</v>
      </c>
      <c r="E893" s="226">
        <v>9934015969</v>
      </c>
      <c r="F893" s="93" t="str">
        <f>'Membership Level'!A12</f>
        <v>Swimming Moth</v>
      </c>
      <c r="G893" s="93" t="s">
        <v>1568</v>
      </c>
      <c r="H893" s="75">
        <v>3800</v>
      </c>
      <c r="I893" s="75">
        <v>3800</v>
      </c>
      <c r="J893" s="61"/>
      <c r="K893" s="59">
        <v>46161</v>
      </c>
      <c r="L893" s="59">
        <f>DATE(YEAR(K893),MONTH(K893)+VLOOKUP($F891,'Membership Level'!$A$3:$B$15,2,FALSE),DAY(K893))</f>
        <v>46192</v>
      </c>
      <c r="M893" s="7"/>
    </row>
    <row r="894" spans="1:13" x14ac:dyDescent="0.35">
      <c r="A894" s="58" t="s">
        <v>2004</v>
      </c>
      <c r="B894" s="59">
        <v>46161</v>
      </c>
      <c r="C894" s="93" t="s">
        <v>202</v>
      </c>
      <c r="D894" s="93" t="s">
        <v>2083</v>
      </c>
      <c r="E894" s="226">
        <v>7858850794</v>
      </c>
      <c r="F894" s="93" t="str">
        <f>'Membership Level'!A12</f>
        <v>Swimming Moth</v>
      </c>
      <c r="G894" s="93" t="s">
        <v>1170</v>
      </c>
      <c r="H894" s="75">
        <v>2500</v>
      </c>
      <c r="I894" s="75">
        <v>2500</v>
      </c>
      <c r="J894" s="61" t="s">
        <v>2084</v>
      </c>
      <c r="K894" s="59">
        <v>46161</v>
      </c>
      <c r="L894" s="59">
        <f>DATE(YEAR(K894),MONTH(K894)+VLOOKUP($F892,'Membership Level'!$A$3:$B$15,2,FALSE),DAY(K894))</f>
        <v>46192</v>
      </c>
      <c r="M894" s="7"/>
    </row>
    <row r="895" spans="1:13" x14ac:dyDescent="0.35">
      <c r="A895" s="58" t="s">
        <v>2005</v>
      </c>
      <c r="B895" s="59">
        <v>46161</v>
      </c>
      <c r="C895" s="93" t="s">
        <v>333</v>
      </c>
      <c r="D895" s="93" t="s">
        <v>335</v>
      </c>
      <c r="E895" s="226">
        <v>8853532615</v>
      </c>
      <c r="F895" s="241" t="str">
        <f>'Membership Level'!A12</f>
        <v>Swimming Moth</v>
      </c>
      <c r="G895" s="93" t="s">
        <v>561</v>
      </c>
      <c r="H895" s="75">
        <v>3300</v>
      </c>
      <c r="I895" s="75">
        <v>3300</v>
      </c>
      <c r="J895" s="61"/>
      <c r="K895" s="59">
        <v>46161</v>
      </c>
      <c r="L895" s="59">
        <f>DATE(YEAR(K895),MONTH(K895)+VLOOKUP($F893,'Membership Level'!$A$3:$B$15,2,FALSE),DAY(K895))</f>
        <v>46192</v>
      </c>
      <c r="M895" s="7"/>
    </row>
    <row r="896" spans="1:13" x14ac:dyDescent="0.35">
      <c r="A896" s="58" t="s">
        <v>2006</v>
      </c>
      <c r="B896" s="59">
        <v>46161</v>
      </c>
      <c r="C896" s="93"/>
      <c r="D896" s="93" t="s">
        <v>2086</v>
      </c>
      <c r="E896" s="226">
        <v>8853532615</v>
      </c>
      <c r="F896" s="93" t="str">
        <f>'Membership Level'!A12</f>
        <v>Swimming Moth</v>
      </c>
      <c r="G896" s="93" t="s">
        <v>1290</v>
      </c>
      <c r="H896" s="75">
        <v>2800</v>
      </c>
      <c r="I896" s="75">
        <v>2800</v>
      </c>
      <c r="J896" s="61"/>
      <c r="K896" s="59">
        <v>46161</v>
      </c>
      <c r="L896" s="59">
        <f>DATE(YEAR(K896),MONTH(K896)+VLOOKUP($F894,'Membership Level'!$A$3:$B$15,2,FALSE),DAY(K896))</f>
        <v>46192</v>
      </c>
      <c r="M896" s="7"/>
    </row>
    <row r="897" spans="1:13" s="6" customFormat="1" x14ac:dyDescent="0.35">
      <c r="A897" s="58" t="s">
        <v>2007</v>
      </c>
      <c r="B897" s="59">
        <v>46161</v>
      </c>
      <c r="C897" s="241" t="s">
        <v>2088</v>
      </c>
      <c r="D897" s="241" t="s">
        <v>2087</v>
      </c>
      <c r="E897" s="226">
        <v>7061343482</v>
      </c>
      <c r="F897" s="93" t="str">
        <f>'Membership Level'!A12</f>
        <v>Swimming Moth</v>
      </c>
      <c r="G897" s="246" t="s">
        <v>248</v>
      </c>
      <c r="H897" s="92">
        <v>4400</v>
      </c>
      <c r="I897" s="92">
        <v>4400</v>
      </c>
      <c r="J897" s="64"/>
      <c r="K897" s="59">
        <v>46161</v>
      </c>
      <c r="L897" s="65">
        <f>DATE(YEAR(K897),MONTH(K897)+VLOOKUP($F895,'Membership Level'!$A$3:$B$15,2,FALSE),DAY(K897))</f>
        <v>46192</v>
      </c>
      <c r="M897" s="7"/>
    </row>
    <row r="898" spans="1:13" x14ac:dyDescent="0.35">
      <c r="A898" s="58" t="s">
        <v>2008</v>
      </c>
      <c r="B898" s="59">
        <v>46161</v>
      </c>
      <c r="C898" s="93" t="s">
        <v>814</v>
      </c>
      <c r="D898" s="93" t="s">
        <v>2089</v>
      </c>
      <c r="E898" s="226">
        <v>9470893132</v>
      </c>
      <c r="F898" s="93" t="str">
        <f>'Membership Level'!A12</f>
        <v>Swimming Moth</v>
      </c>
      <c r="G898" s="93" t="s">
        <v>1580</v>
      </c>
      <c r="H898" s="75">
        <v>2200</v>
      </c>
      <c r="I898" s="75">
        <v>2200</v>
      </c>
      <c r="J898" s="61"/>
      <c r="K898" s="59">
        <v>46161</v>
      </c>
      <c r="L898" s="59">
        <f>DATE(YEAR(K898),MONTH(K898)+VLOOKUP($F896,'Membership Level'!$A$3:$B$15,2,FALSE),DAY(K898))</f>
        <v>46192</v>
      </c>
      <c r="M898" s="7"/>
    </row>
    <row r="899" spans="1:13" x14ac:dyDescent="0.35">
      <c r="A899" s="58" t="s">
        <v>2009</v>
      </c>
      <c r="B899" s="59">
        <v>46161</v>
      </c>
      <c r="C899" s="93"/>
      <c r="D899" s="93" t="s">
        <v>482</v>
      </c>
      <c r="E899" s="226">
        <v>6202306808</v>
      </c>
      <c r="F899" s="93" t="str">
        <f>'Membership Level'!A12</f>
        <v>Swimming Moth</v>
      </c>
      <c r="G899" s="93" t="s">
        <v>561</v>
      </c>
      <c r="H899" s="75">
        <v>3300</v>
      </c>
      <c r="I899" s="75">
        <v>3300</v>
      </c>
      <c r="J899" s="61"/>
      <c r="K899" s="59">
        <v>46161</v>
      </c>
      <c r="L899" s="59">
        <f>DATE(YEAR(K899),MONTH(K899)+VLOOKUP($F897,'Membership Level'!$A$3:$B$15,2,FALSE),DAY(K899))</f>
        <v>46192</v>
      </c>
      <c r="M899" s="7"/>
    </row>
    <row r="900" spans="1:13" x14ac:dyDescent="0.35">
      <c r="A900" s="58" t="s">
        <v>2010</v>
      </c>
      <c r="B900" s="59">
        <v>46161</v>
      </c>
      <c r="C900" s="93"/>
      <c r="D900" s="93" t="s">
        <v>348</v>
      </c>
      <c r="E900" s="226">
        <v>6202306808</v>
      </c>
      <c r="F900" s="93" t="str">
        <f>'Membership Level'!A12</f>
        <v>Swimming Moth</v>
      </c>
      <c r="G900" s="93" t="s">
        <v>2090</v>
      </c>
      <c r="H900" s="75">
        <v>2800</v>
      </c>
      <c r="I900" s="75">
        <v>2800</v>
      </c>
      <c r="J900" s="61"/>
      <c r="K900" s="59">
        <v>46161</v>
      </c>
      <c r="L900" s="59">
        <f>DATE(YEAR(K900),MONTH(K900)+VLOOKUP($F898,'Membership Level'!$A$3:$B$15,2,FALSE),DAY(K900))</f>
        <v>46192</v>
      </c>
      <c r="M900" s="7"/>
    </row>
    <row r="901" spans="1:13" x14ac:dyDescent="0.35">
      <c r="A901" s="58" t="s">
        <v>2011</v>
      </c>
      <c r="B901" s="59">
        <v>46161</v>
      </c>
      <c r="C901" s="93" t="s">
        <v>312</v>
      </c>
      <c r="D901" s="93" t="s">
        <v>2091</v>
      </c>
      <c r="E901" s="226">
        <v>6202012097</v>
      </c>
      <c r="F901" s="93" t="str">
        <f>'Membership Level'!A12</f>
        <v>Swimming Moth</v>
      </c>
      <c r="G901" s="93" t="s">
        <v>1568</v>
      </c>
      <c r="H901" s="75">
        <v>3500</v>
      </c>
      <c r="I901" s="75">
        <v>3500</v>
      </c>
      <c r="J901" s="61"/>
      <c r="K901" s="59">
        <v>46161</v>
      </c>
      <c r="L901" s="59">
        <f>DATE(YEAR(K901),MONTH(K901)+VLOOKUP($F899,'Membership Level'!$A$3:$B$15,2,FALSE),DAY(K901))</f>
        <v>46192</v>
      </c>
      <c r="M901" s="7"/>
    </row>
    <row r="902" spans="1:13" x14ac:dyDescent="0.35">
      <c r="A902" s="58" t="s">
        <v>2012</v>
      </c>
      <c r="B902" s="59">
        <v>46161</v>
      </c>
      <c r="C902" s="93" t="s">
        <v>540</v>
      </c>
      <c r="D902" s="93" t="s">
        <v>352</v>
      </c>
      <c r="E902" s="226">
        <v>6202012097</v>
      </c>
      <c r="F902" s="93" t="str">
        <f>'Membership Level'!A12</f>
        <v>Swimming Moth</v>
      </c>
      <c r="G902" s="93" t="s">
        <v>1568</v>
      </c>
      <c r="H902" s="75">
        <v>3500</v>
      </c>
      <c r="I902" s="75">
        <v>3500</v>
      </c>
      <c r="J902" s="61"/>
      <c r="K902" s="59">
        <v>46161</v>
      </c>
      <c r="L902" s="59">
        <f>DATE(YEAR(K902),MONTH(K902)+VLOOKUP($F900,'Membership Level'!$A$3:$B$15,2,FALSE),DAY(K902))</f>
        <v>46192</v>
      </c>
      <c r="M902" s="7"/>
    </row>
    <row r="903" spans="1:13" x14ac:dyDescent="0.35">
      <c r="A903" s="58" t="s">
        <v>2013</v>
      </c>
      <c r="B903" s="59">
        <v>46161</v>
      </c>
      <c r="C903" s="93" t="s">
        <v>2092</v>
      </c>
      <c r="D903" s="93" t="s">
        <v>2093</v>
      </c>
      <c r="E903" s="226">
        <v>8581976959</v>
      </c>
      <c r="F903" s="93" t="str">
        <f>'Membership Level'!A12</f>
        <v>Swimming Moth</v>
      </c>
      <c r="G903" s="93" t="s">
        <v>1568</v>
      </c>
      <c r="H903" s="75">
        <v>3800</v>
      </c>
      <c r="I903" s="75">
        <v>3800</v>
      </c>
      <c r="J903" s="61"/>
      <c r="K903" s="59">
        <v>46161</v>
      </c>
      <c r="L903" s="59">
        <f>DATE(YEAR(K903),MONTH(K903)+VLOOKUP($F901,'Membership Level'!$A$3:$B$15,2,FALSE),DAY(K903))</f>
        <v>46192</v>
      </c>
      <c r="M903" s="7"/>
    </row>
    <row r="904" spans="1:13" x14ac:dyDescent="0.35">
      <c r="A904" s="58" t="s">
        <v>2014</v>
      </c>
      <c r="B904" s="59">
        <v>46161</v>
      </c>
      <c r="C904" s="93" t="s">
        <v>202</v>
      </c>
      <c r="D904" s="93" t="s">
        <v>2094</v>
      </c>
      <c r="E904" s="226">
        <v>7250333148</v>
      </c>
      <c r="F904" s="93" t="str">
        <f>'Membership Level'!A12</f>
        <v>Swimming Moth</v>
      </c>
      <c r="G904" s="93" t="s">
        <v>379</v>
      </c>
      <c r="H904" s="75">
        <v>2000</v>
      </c>
      <c r="I904" s="75">
        <v>2000</v>
      </c>
      <c r="J904" s="61"/>
      <c r="K904" s="59">
        <v>46161</v>
      </c>
      <c r="L904" s="59">
        <f>DATE(YEAR(K904),MONTH(K904)+VLOOKUP($F902,'Membership Level'!$A$3:$B$15,2,FALSE),DAY(K904))</f>
        <v>46192</v>
      </c>
      <c r="M904" s="7"/>
    </row>
    <row r="905" spans="1:13" x14ac:dyDescent="0.35">
      <c r="A905" s="58" t="s">
        <v>2015</v>
      </c>
      <c r="B905" s="59">
        <v>46161</v>
      </c>
      <c r="C905" s="93" t="s">
        <v>2096</v>
      </c>
      <c r="D905" s="93" t="s">
        <v>2095</v>
      </c>
      <c r="E905" s="226">
        <v>7903034195</v>
      </c>
      <c r="F905" s="93" t="str">
        <f>'Membership Level'!A12</f>
        <v>Swimming Moth</v>
      </c>
      <c r="G905" s="93" t="s">
        <v>248</v>
      </c>
      <c r="H905" s="75">
        <v>4000</v>
      </c>
      <c r="I905" s="75">
        <v>4000</v>
      </c>
      <c r="J905" s="61"/>
      <c r="K905" s="59">
        <v>46161</v>
      </c>
      <c r="L905" s="59">
        <f>DATE(YEAR(K905),MONTH(K905)+VLOOKUP($F903,'Membership Level'!$A$3:$B$15,2,FALSE),DAY(K905))</f>
        <v>46192</v>
      </c>
      <c r="M905" s="7"/>
    </row>
    <row r="906" spans="1:13" x14ac:dyDescent="0.35">
      <c r="A906" s="58" t="s">
        <v>2016</v>
      </c>
      <c r="B906" s="59">
        <v>46161</v>
      </c>
      <c r="C906" s="93" t="s">
        <v>333</v>
      </c>
      <c r="D906" s="93" t="s">
        <v>2097</v>
      </c>
      <c r="E906" s="226">
        <v>9611310536</v>
      </c>
      <c r="F906" s="93" t="str">
        <f>'Membership Level'!A12</f>
        <v>Swimming Moth</v>
      </c>
      <c r="G906" s="93" t="s">
        <v>1568</v>
      </c>
      <c r="H906" s="75">
        <v>3800</v>
      </c>
      <c r="I906" s="75">
        <v>3800</v>
      </c>
      <c r="J906" s="61"/>
      <c r="K906" s="59">
        <v>46161</v>
      </c>
      <c r="L906" s="59">
        <f>DATE(YEAR(K906),MONTH(K906)+VLOOKUP($F904,'Membership Level'!$A$3:$B$15,2,FALSE),DAY(K906))</f>
        <v>46192</v>
      </c>
      <c r="M906" s="7"/>
    </row>
    <row r="907" spans="1:13" x14ac:dyDescent="0.35">
      <c r="A907" s="58" t="s">
        <v>2017</v>
      </c>
      <c r="B907" s="59">
        <v>46161</v>
      </c>
      <c r="C907" s="93" t="s">
        <v>461</v>
      </c>
      <c r="D907" s="93" t="s">
        <v>2098</v>
      </c>
      <c r="E907" s="226">
        <v>7903098093</v>
      </c>
      <c r="F907" s="93" t="str">
        <f>'Membership Level'!A12</f>
        <v>Swimming Moth</v>
      </c>
      <c r="G907" s="93" t="s">
        <v>1568</v>
      </c>
      <c r="H907" s="75">
        <v>3800</v>
      </c>
      <c r="I907" s="75">
        <v>3800</v>
      </c>
      <c r="J907" s="61"/>
      <c r="K907" s="59">
        <v>46161</v>
      </c>
      <c r="L907" s="59">
        <f>DATE(YEAR(K907),MONTH(K907)+VLOOKUP($F905,'Membership Level'!$A$3:$B$15,2,FALSE),DAY(K907))</f>
        <v>46192</v>
      </c>
      <c r="M907" s="7"/>
    </row>
    <row r="908" spans="1:13" x14ac:dyDescent="0.35">
      <c r="A908" s="58" t="s">
        <v>2018</v>
      </c>
      <c r="B908" s="59">
        <v>46161</v>
      </c>
      <c r="C908" s="93" t="s">
        <v>461</v>
      </c>
      <c r="D908" s="93" t="s">
        <v>733</v>
      </c>
      <c r="E908" s="226">
        <v>7903098093</v>
      </c>
      <c r="F908" s="93" t="str">
        <f>'Membership Level'!A12</f>
        <v>Swimming Moth</v>
      </c>
      <c r="G908" s="93" t="s">
        <v>1568</v>
      </c>
      <c r="H908" s="75">
        <v>3800</v>
      </c>
      <c r="I908" s="75">
        <v>3800</v>
      </c>
      <c r="J908" s="61"/>
      <c r="K908" s="59">
        <v>46161</v>
      </c>
      <c r="L908" s="59">
        <f>DATE(YEAR(K908),MONTH(K908)+VLOOKUP($F906,'Membership Level'!$A$3:$B$15,2,FALSE),DAY(K908))</f>
        <v>46192</v>
      </c>
      <c r="M908" s="7"/>
    </row>
    <row r="909" spans="1:13" x14ac:dyDescent="0.35">
      <c r="A909" s="58" t="s">
        <v>2019</v>
      </c>
      <c r="B909" s="59">
        <v>46161</v>
      </c>
      <c r="C909" s="93" t="s">
        <v>202</v>
      </c>
      <c r="D909" s="93" t="s">
        <v>540</v>
      </c>
      <c r="E909" s="226">
        <v>8413999729</v>
      </c>
      <c r="F909" s="93" t="str">
        <f>'Membership Level'!A12</f>
        <v>Swimming Moth</v>
      </c>
      <c r="G909" s="93" t="s">
        <v>248</v>
      </c>
      <c r="H909" s="75">
        <v>4000</v>
      </c>
      <c r="I909" s="75">
        <v>4000</v>
      </c>
      <c r="J909" s="61"/>
      <c r="K909" s="59">
        <v>46161</v>
      </c>
      <c r="L909" s="59">
        <f>DATE(YEAR(K909),MONTH(K909)+VLOOKUP($F907,'Membership Level'!$A$3:$B$15,2,FALSE),DAY(K909))</f>
        <v>46192</v>
      </c>
      <c r="M909" s="7"/>
    </row>
    <row r="910" spans="1:13" x14ac:dyDescent="0.35">
      <c r="A910" s="58" t="s">
        <v>2020</v>
      </c>
      <c r="B910" s="59">
        <v>46161</v>
      </c>
      <c r="C910" s="93" t="s">
        <v>2100</v>
      </c>
      <c r="D910" s="93" t="s">
        <v>2099</v>
      </c>
      <c r="E910" s="226">
        <v>9899673116</v>
      </c>
      <c r="F910" s="93" t="str">
        <f>'Membership Level'!A11</f>
        <v>Swimming 2 Moth</v>
      </c>
      <c r="G910" s="93" t="s">
        <v>1458</v>
      </c>
      <c r="H910" s="75">
        <v>7600</v>
      </c>
      <c r="I910" s="75">
        <v>7600</v>
      </c>
      <c r="J910" s="61"/>
      <c r="K910" s="59">
        <v>46161</v>
      </c>
      <c r="L910" s="59">
        <f>DATE(YEAR(K910),MONTH(K910)+VLOOKUP($F908,'Membership Level'!$A$3:$B$15,2,FALSE),DAY(K910))</f>
        <v>46192</v>
      </c>
      <c r="M910" s="7"/>
    </row>
    <row r="911" spans="1:13" x14ac:dyDescent="0.35">
      <c r="A911" s="58" t="s">
        <v>2021</v>
      </c>
      <c r="B911" s="59">
        <v>46161</v>
      </c>
      <c r="C911" s="93" t="s">
        <v>2101</v>
      </c>
      <c r="D911" s="93" t="s">
        <v>449</v>
      </c>
      <c r="E911" s="226">
        <v>7463866063</v>
      </c>
      <c r="F911" s="93" t="str">
        <f>'Membership Level'!A12</f>
        <v>Swimming Moth</v>
      </c>
      <c r="G911" s="93" t="s">
        <v>561</v>
      </c>
      <c r="H911" s="75">
        <v>3300</v>
      </c>
      <c r="I911" s="75">
        <v>2000</v>
      </c>
      <c r="J911" s="61">
        <v>1500</v>
      </c>
      <c r="K911" s="59">
        <v>46161</v>
      </c>
      <c r="L911" s="59">
        <f>DATE(YEAR(K911),MONTH(K911)+VLOOKUP($F909,'Membership Level'!$A$3:$B$15,2,FALSE),DAY(K911))</f>
        <v>46192</v>
      </c>
      <c r="M911" s="7"/>
    </row>
    <row r="912" spans="1:13" x14ac:dyDescent="0.35">
      <c r="A912" s="58" t="s">
        <v>2022</v>
      </c>
      <c r="B912" s="59">
        <v>46161</v>
      </c>
      <c r="C912" s="93" t="s">
        <v>259</v>
      </c>
      <c r="D912" s="93" t="s">
        <v>2102</v>
      </c>
      <c r="E912" s="226">
        <v>8160864743</v>
      </c>
      <c r="F912" s="93" t="str">
        <f>'Membership Level'!A12</f>
        <v>Swimming Moth</v>
      </c>
      <c r="G912" s="93" t="s">
        <v>1568</v>
      </c>
      <c r="H912" s="75">
        <v>3800</v>
      </c>
      <c r="I912" s="75">
        <v>3800</v>
      </c>
      <c r="J912" s="61"/>
      <c r="K912" s="59">
        <v>46161</v>
      </c>
      <c r="L912" s="59">
        <f>DATE(YEAR(K912),MONTH(K912)+VLOOKUP($F910,'Membership Level'!$A$3:$B$15,2,FALSE),DAY(K912))</f>
        <v>46222</v>
      </c>
      <c r="M912" s="7"/>
    </row>
    <row r="913" spans="1:13" x14ac:dyDescent="0.35">
      <c r="A913" s="58" t="s">
        <v>2023</v>
      </c>
      <c r="B913" s="59">
        <v>46161</v>
      </c>
      <c r="C913" s="93" t="s">
        <v>259</v>
      </c>
      <c r="D913" s="93" t="s">
        <v>449</v>
      </c>
      <c r="E913" s="226">
        <v>8160864743</v>
      </c>
      <c r="F913" s="93" t="str">
        <f>'Membership Level'!A12</f>
        <v>Swimming Moth</v>
      </c>
      <c r="G913" s="93" t="s">
        <v>494</v>
      </c>
      <c r="H913" s="75">
        <v>2500</v>
      </c>
      <c r="I913" s="75">
        <v>2500</v>
      </c>
      <c r="J913" s="61"/>
      <c r="K913" s="59">
        <v>46161</v>
      </c>
      <c r="L913" s="59">
        <f>DATE(YEAR(K913),MONTH(K913)+VLOOKUP($F911,'Membership Level'!$A$3:$B$15,2,FALSE),DAY(K913))</f>
        <v>46192</v>
      </c>
      <c r="M913" s="7"/>
    </row>
    <row r="914" spans="1:13" x14ac:dyDescent="0.35">
      <c r="A914" s="58" t="s">
        <v>2024</v>
      </c>
      <c r="B914" s="59">
        <v>46161</v>
      </c>
      <c r="C914" s="93" t="s">
        <v>202</v>
      </c>
      <c r="D914" s="93" t="s">
        <v>1678</v>
      </c>
      <c r="E914" s="226">
        <v>9708029963</v>
      </c>
      <c r="F914" s="93" t="str">
        <f>'Membership Level'!A12</f>
        <v>Swimming Moth</v>
      </c>
      <c r="G914" s="93" t="s">
        <v>2103</v>
      </c>
      <c r="H914" s="75">
        <v>2500</v>
      </c>
      <c r="I914" s="75">
        <v>2500</v>
      </c>
      <c r="J914" s="61"/>
      <c r="K914" s="59">
        <v>46161</v>
      </c>
      <c r="L914" s="59">
        <f>DATE(YEAR(K914),MONTH(K914)+VLOOKUP($F912,'Membership Level'!$A$3:$B$15,2,FALSE),DAY(K914))</f>
        <v>46192</v>
      </c>
      <c r="M914" s="7"/>
    </row>
    <row r="915" spans="1:13" x14ac:dyDescent="0.35">
      <c r="A915" s="58" t="s">
        <v>2025</v>
      </c>
      <c r="B915" s="59">
        <v>46161</v>
      </c>
      <c r="C915" s="93" t="s">
        <v>1544</v>
      </c>
      <c r="D915" s="93" t="s">
        <v>1659</v>
      </c>
      <c r="E915" s="226">
        <v>9472969500</v>
      </c>
      <c r="F915" s="93" t="str">
        <f>'Membership Level'!A12</f>
        <v>Swimming Moth</v>
      </c>
      <c r="G915" s="93" t="s">
        <v>2103</v>
      </c>
      <c r="H915" s="75">
        <v>2500</v>
      </c>
      <c r="I915" s="75">
        <v>2500</v>
      </c>
      <c r="J915" s="61"/>
      <c r="K915" s="59">
        <v>46161</v>
      </c>
      <c r="L915" s="59">
        <f>DATE(YEAR(K915),MONTH(K915)+VLOOKUP($F913,'Membership Level'!$A$3:$B$15,2,FALSE),DAY(K915))</f>
        <v>46192</v>
      </c>
      <c r="M915" s="7"/>
    </row>
    <row r="916" spans="1:13" x14ac:dyDescent="0.35">
      <c r="A916" s="58" t="s">
        <v>2026</v>
      </c>
      <c r="B916" s="59">
        <v>46161</v>
      </c>
      <c r="C916" s="93" t="s">
        <v>2105</v>
      </c>
      <c r="D916" s="93" t="s">
        <v>2104</v>
      </c>
      <c r="E916" s="226">
        <v>9113341551</v>
      </c>
      <c r="F916" s="93" t="str">
        <f>'Membership Level'!A12</f>
        <v>Swimming Moth</v>
      </c>
      <c r="G916" s="93" t="s">
        <v>2103</v>
      </c>
      <c r="H916" s="75">
        <v>2500</v>
      </c>
      <c r="I916" s="75">
        <v>2500</v>
      </c>
      <c r="J916" s="61"/>
      <c r="K916" s="59">
        <v>46161</v>
      </c>
      <c r="L916" s="59">
        <f>DATE(YEAR(K916),MONTH(K916)+VLOOKUP($F914,'Membership Level'!$A$3:$B$15,2,FALSE),DAY(K916))</f>
        <v>46192</v>
      </c>
      <c r="M916" s="7"/>
    </row>
    <row r="917" spans="1:13" x14ac:dyDescent="0.35">
      <c r="A917" s="58" t="s">
        <v>2027</v>
      </c>
      <c r="B917" s="59">
        <v>46161</v>
      </c>
      <c r="C917" s="93" t="s">
        <v>2107</v>
      </c>
      <c r="D917" s="93" t="s">
        <v>2106</v>
      </c>
      <c r="E917" s="226">
        <v>7691911106</v>
      </c>
      <c r="F917" s="93" t="str">
        <f>'Membership Level'!A12</f>
        <v>Swimming Moth</v>
      </c>
      <c r="G917" s="93" t="s">
        <v>1290</v>
      </c>
      <c r="H917" s="75">
        <v>2800</v>
      </c>
      <c r="I917" s="75">
        <v>2800</v>
      </c>
      <c r="J917" s="61"/>
      <c r="K917" s="59">
        <v>46161</v>
      </c>
      <c r="L917" s="59">
        <f>DATE(YEAR(K917),MONTH(K917)+VLOOKUP($F915,'Membership Level'!$A$3:$B$15,2,FALSE),DAY(K917))</f>
        <v>46192</v>
      </c>
      <c r="M917" s="7"/>
    </row>
    <row r="918" spans="1:13" x14ac:dyDescent="0.35">
      <c r="A918" s="58" t="s">
        <v>2028</v>
      </c>
      <c r="B918" s="59">
        <v>46161</v>
      </c>
      <c r="C918" s="93" t="s">
        <v>202</v>
      </c>
      <c r="D918" s="93" t="s">
        <v>1540</v>
      </c>
      <c r="E918" s="93">
        <v>6207462364</v>
      </c>
      <c r="F918" s="93" t="str">
        <f>'Membership Level'!A12</f>
        <v>Swimming Moth</v>
      </c>
      <c r="G918" s="93" t="s">
        <v>1417</v>
      </c>
      <c r="H918" s="75">
        <v>1000</v>
      </c>
      <c r="I918" s="75">
        <v>1000</v>
      </c>
      <c r="J918" s="61"/>
      <c r="K918" s="59">
        <v>46161</v>
      </c>
      <c r="L918" s="59">
        <f>DATE(YEAR(K918),MONTH(K918)+VLOOKUP($F916,'Membership Level'!$A$3:$B$15,2,FALSE),DAY(K918))</f>
        <v>46192</v>
      </c>
      <c r="M918" s="7"/>
    </row>
    <row r="919" spans="1:13" x14ac:dyDescent="0.35">
      <c r="A919" s="58" t="s">
        <v>2029</v>
      </c>
      <c r="B919" s="59">
        <v>46161</v>
      </c>
      <c r="C919" s="93" t="s">
        <v>2109</v>
      </c>
      <c r="D919" s="93" t="s">
        <v>2108</v>
      </c>
      <c r="E919" s="226">
        <v>8083399216</v>
      </c>
      <c r="F919" s="93" t="str">
        <f>'Membership Level'!A12</f>
        <v>Swimming Moth</v>
      </c>
      <c r="G919" s="93" t="s">
        <v>1568</v>
      </c>
      <c r="H919" s="75">
        <v>3500</v>
      </c>
      <c r="I919" s="75">
        <v>3500</v>
      </c>
      <c r="J919" s="61"/>
      <c r="K919" s="59">
        <v>46161</v>
      </c>
      <c r="L919" s="59">
        <f>DATE(YEAR(K919),MONTH(K919)+VLOOKUP($F917,'Membership Level'!$A$3:$B$15,2,FALSE),DAY(K919))</f>
        <v>46192</v>
      </c>
      <c r="M919" s="7"/>
    </row>
    <row r="920" spans="1:13" x14ac:dyDescent="0.35">
      <c r="A920" s="58" t="s">
        <v>2030</v>
      </c>
      <c r="B920" s="59">
        <v>46161</v>
      </c>
      <c r="C920" s="93" t="s">
        <v>30</v>
      </c>
      <c r="D920" s="93" t="s">
        <v>459</v>
      </c>
      <c r="E920" s="226">
        <v>7903039588</v>
      </c>
      <c r="F920" s="93" t="str">
        <f>'Membership Level'!A12</f>
        <v>Swimming Moth</v>
      </c>
      <c r="G920" s="93" t="s">
        <v>1568</v>
      </c>
      <c r="H920" s="75">
        <v>3800</v>
      </c>
      <c r="I920" s="75">
        <v>3800</v>
      </c>
      <c r="J920" s="356" t="s">
        <v>2111</v>
      </c>
      <c r="K920" s="59">
        <v>46161</v>
      </c>
      <c r="L920" s="59">
        <f>DATE(YEAR(K920),MONTH(K920)+VLOOKUP($F918,'Membership Level'!$A$3:$B$15,2,FALSE),DAY(K920))</f>
        <v>46192</v>
      </c>
      <c r="M920" s="7"/>
    </row>
    <row r="921" spans="1:13" x14ac:dyDescent="0.35">
      <c r="A921" s="58" t="s">
        <v>2031</v>
      </c>
      <c r="B921" s="59">
        <v>46161</v>
      </c>
      <c r="C921" s="93" t="s">
        <v>333</v>
      </c>
      <c r="D921" s="93" t="s">
        <v>2110</v>
      </c>
      <c r="E921" s="226">
        <v>7903039588</v>
      </c>
      <c r="F921" s="93" t="str">
        <f>'Membership Level'!A12</f>
        <v>Swimming Moth</v>
      </c>
      <c r="G921" s="93" t="s">
        <v>1568</v>
      </c>
      <c r="H921" s="75">
        <v>3800</v>
      </c>
      <c r="I921" s="75">
        <v>3800</v>
      </c>
      <c r="J921" s="357"/>
      <c r="K921" s="59">
        <v>46161</v>
      </c>
      <c r="L921" s="59">
        <f>DATE(YEAR(K921),MONTH(K921)+VLOOKUP($F919,'Membership Level'!$A$3:$B$15,2,FALSE),DAY(K921))</f>
        <v>46192</v>
      </c>
      <c r="M921" s="7"/>
    </row>
    <row r="922" spans="1:13" x14ac:dyDescent="0.35">
      <c r="A922" s="58" t="s">
        <v>2032</v>
      </c>
      <c r="B922" s="59">
        <v>46161</v>
      </c>
      <c r="C922" s="93"/>
      <c r="D922" s="93" t="s">
        <v>2112</v>
      </c>
      <c r="E922" s="226">
        <v>7004771596</v>
      </c>
      <c r="F922" s="93" t="str">
        <f>'Membership Level'!A12</f>
        <v>Swimming Moth</v>
      </c>
      <c r="G922" s="93" t="s">
        <v>1568</v>
      </c>
      <c r="H922" s="75">
        <v>3500</v>
      </c>
      <c r="I922" s="75">
        <v>3500</v>
      </c>
      <c r="J922" s="61"/>
      <c r="K922" s="59">
        <v>46161</v>
      </c>
      <c r="L922" s="59">
        <f>DATE(YEAR(K922),MONTH(K922)+VLOOKUP($F920,'Membership Level'!$A$3:$B$15,2,FALSE),DAY(K922))</f>
        <v>46192</v>
      </c>
      <c r="M922" s="7"/>
    </row>
    <row r="923" spans="1:13" x14ac:dyDescent="0.35">
      <c r="A923" s="58" t="s">
        <v>2033</v>
      </c>
      <c r="B923" s="59">
        <v>46161</v>
      </c>
      <c r="C923" s="93" t="s">
        <v>333</v>
      </c>
      <c r="D923" s="93" t="s">
        <v>2113</v>
      </c>
      <c r="E923" s="226">
        <v>8271857971</v>
      </c>
      <c r="F923" s="93" t="str">
        <f>'Membership Level'!A12</f>
        <v>Swimming Moth</v>
      </c>
      <c r="G923" s="93" t="s">
        <v>1568</v>
      </c>
      <c r="H923" s="75">
        <v>3800</v>
      </c>
      <c r="I923" s="75">
        <v>3800</v>
      </c>
      <c r="J923" s="61"/>
      <c r="K923" s="59">
        <v>46161</v>
      </c>
      <c r="L923" s="59">
        <f>DATE(YEAR(K923),MONTH(K923)+VLOOKUP($F921,'Membership Level'!$A$3:$B$15,2,FALSE),DAY(K923))</f>
        <v>46192</v>
      </c>
      <c r="M923" s="7"/>
    </row>
    <row r="924" spans="1:13" x14ac:dyDescent="0.35">
      <c r="A924" s="58" t="s">
        <v>2034</v>
      </c>
      <c r="B924" s="59">
        <v>46161</v>
      </c>
      <c r="C924" s="93" t="s">
        <v>550</v>
      </c>
      <c r="D924" s="93" t="s">
        <v>1794</v>
      </c>
      <c r="E924" s="226">
        <v>8271857971</v>
      </c>
      <c r="F924" s="93" t="str">
        <f>'Membership Level'!A12</f>
        <v>Swimming Moth</v>
      </c>
      <c r="G924" s="93" t="s">
        <v>1568</v>
      </c>
      <c r="H924" s="75">
        <v>3800</v>
      </c>
      <c r="I924" s="75">
        <v>3800</v>
      </c>
      <c r="J924" s="61"/>
      <c r="K924" s="59">
        <v>46161</v>
      </c>
      <c r="L924" s="59">
        <f>DATE(YEAR(K924),MONTH(K924)+VLOOKUP($F922,'Membership Level'!$A$3:$B$15,2,FALSE),DAY(K924))</f>
        <v>46192</v>
      </c>
      <c r="M924" s="7"/>
    </row>
    <row r="925" spans="1:13" x14ac:dyDescent="0.35">
      <c r="A925" s="58" t="s">
        <v>2035</v>
      </c>
      <c r="B925" s="59">
        <v>46161</v>
      </c>
      <c r="C925" s="93" t="s">
        <v>202</v>
      </c>
      <c r="D925" s="93" t="s">
        <v>1331</v>
      </c>
      <c r="E925" s="226">
        <v>8271857971</v>
      </c>
      <c r="F925" s="93" t="str">
        <f>'Membership Level'!A12</f>
        <v>Swimming Moth</v>
      </c>
      <c r="G925" s="93" t="s">
        <v>1568</v>
      </c>
      <c r="H925" s="75">
        <v>3800</v>
      </c>
      <c r="I925" s="75">
        <v>3800</v>
      </c>
      <c r="J925" s="61"/>
      <c r="K925" s="59">
        <v>46161</v>
      </c>
      <c r="L925" s="59">
        <f>DATE(YEAR(K925),MONTH(K925)+VLOOKUP($F923,'Membership Level'!$A$3:$B$15,2,FALSE),DAY(K925))</f>
        <v>46192</v>
      </c>
      <c r="M925" s="7"/>
    </row>
    <row r="926" spans="1:13" x14ac:dyDescent="0.35">
      <c r="A926" s="58" t="s">
        <v>2036</v>
      </c>
      <c r="B926" s="59">
        <v>46161</v>
      </c>
      <c r="C926" s="93" t="s">
        <v>333</v>
      </c>
      <c r="D926" s="93" t="s">
        <v>2114</v>
      </c>
      <c r="E926" s="226">
        <v>9955813228</v>
      </c>
      <c r="F926" s="93" t="str">
        <f>'Membership Level'!A12</f>
        <v>Swimming Moth</v>
      </c>
      <c r="G926" s="93" t="s">
        <v>1568</v>
      </c>
      <c r="H926" s="75">
        <v>3800</v>
      </c>
      <c r="I926" s="75">
        <v>3800</v>
      </c>
      <c r="J926" s="61"/>
      <c r="K926" s="59">
        <v>46161</v>
      </c>
      <c r="L926" s="59">
        <f>DATE(YEAR(K926),MONTH(K926)+VLOOKUP($F924,'Membership Level'!$A$3:$B$15,2,FALSE),DAY(K926))</f>
        <v>46192</v>
      </c>
      <c r="M926" s="7"/>
    </row>
    <row r="927" spans="1:13" x14ac:dyDescent="0.35">
      <c r="A927" s="58" t="s">
        <v>2037</v>
      </c>
      <c r="B927" s="59">
        <v>46161</v>
      </c>
      <c r="C927" s="93" t="s">
        <v>32</v>
      </c>
      <c r="D927" s="93" t="s">
        <v>789</v>
      </c>
      <c r="E927" s="226">
        <v>9631986791</v>
      </c>
      <c r="F927" s="93" t="str">
        <f>'Membership Level'!A12</f>
        <v>Swimming Moth</v>
      </c>
      <c r="G927" s="93" t="s">
        <v>248</v>
      </c>
      <c r="H927" s="75">
        <v>4000</v>
      </c>
      <c r="I927" s="75">
        <v>4000</v>
      </c>
      <c r="J927" s="61"/>
      <c r="K927" s="59">
        <v>46161</v>
      </c>
      <c r="L927" s="59">
        <f>DATE(YEAR(K927),MONTH(K927)+VLOOKUP($F925,'Membership Level'!$A$3:$B$15,2,FALSE),DAY(K927))</f>
        <v>46192</v>
      </c>
      <c r="M927" s="7"/>
    </row>
    <row r="928" spans="1:13" x14ac:dyDescent="0.35">
      <c r="A928" s="58" t="s">
        <v>2038</v>
      </c>
      <c r="B928" s="59">
        <v>46161</v>
      </c>
      <c r="C928" s="93" t="s">
        <v>333</v>
      </c>
      <c r="D928" s="93" t="s">
        <v>2115</v>
      </c>
      <c r="E928" s="226">
        <v>9631986791</v>
      </c>
      <c r="F928" s="93" t="str">
        <f>'Membership Level'!A12</f>
        <v>Swimming Moth</v>
      </c>
      <c r="G928" s="93" t="s">
        <v>370</v>
      </c>
      <c r="H928" s="75">
        <v>3500</v>
      </c>
      <c r="I928" s="75">
        <v>3500</v>
      </c>
      <c r="J928" s="61"/>
      <c r="K928" s="59">
        <v>46161</v>
      </c>
      <c r="L928" s="59">
        <f>DATE(YEAR(K928),MONTH(K928)+VLOOKUP($F926,'Membership Level'!$A$3:$B$15,2,FALSE),DAY(K928))</f>
        <v>46192</v>
      </c>
      <c r="M928" s="7"/>
    </row>
    <row r="929" spans="1:13" x14ac:dyDescent="0.35">
      <c r="A929" s="58" t="s">
        <v>2039</v>
      </c>
      <c r="B929" s="59">
        <v>46161</v>
      </c>
      <c r="C929" s="93" t="s">
        <v>333</v>
      </c>
      <c r="D929" s="93" t="s">
        <v>788</v>
      </c>
      <c r="E929" s="226">
        <v>9631986791</v>
      </c>
      <c r="F929" s="93" t="str">
        <f>'Membership Level'!A12</f>
        <v>Swimming Moth</v>
      </c>
      <c r="G929" s="93" t="s">
        <v>1568</v>
      </c>
      <c r="H929" s="75">
        <v>3500</v>
      </c>
      <c r="I929" s="75">
        <v>3500</v>
      </c>
      <c r="J929" s="61"/>
      <c r="K929" s="59">
        <v>46161</v>
      </c>
      <c r="L929" s="59">
        <f>DATE(YEAR(K929),MONTH(K929)+VLOOKUP($F927,'Membership Level'!$A$3:$B$15,2,FALSE),DAY(K929))</f>
        <v>46192</v>
      </c>
      <c r="M929" s="7"/>
    </row>
    <row r="930" spans="1:13" x14ac:dyDescent="0.35">
      <c r="A930" s="58" t="s">
        <v>2040</v>
      </c>
      <c r="B930" s="59">
        <v>46161</v>
      </c>
      <c r="C930" s="93" t="s">
        <v>1321</v>
      </c>
      <c r="D930" s="93" t="s">
        <v>288</v>
      </c>
      <c r="E930" s="226">
        <v>7463903495</v>
      </c>
      <c r="F930" s="93" t="str">
        <f>'Membership Level'!A12</f>
        <v>Swimming Moth</v>
      </c>
      <c r="G930" s="93" t="s">
        <v>1568</v>
      </c>
      <c r="H930" s="75">
        <v>3800</v>
      </c>
      <c r="I930" s="75">
        <v>3800</v>
      </c>
      <c r="J930" s="61"/>
      <c r="K930" s="59">
        <v>46161</v>
      </c>
      <c r="L930" s="59">
        <f>DATE(YEAR(K930),MONTH(K930)+VLOOKUP($F928,'Membership Level'!$A$3:$B$15,2,FALSE),DAY(K930))</f>
        <v>46192</v>
      </c>
      <c r="M930" s="7"/>
    </row>
    <row r="931" spans="1:13" x14ac:dyDescent="0.35">
      <c r="A931" s="58" t="s">
        <v>2041</v>
      </c>
      <c r="B931" s="59">
        <v>46162</v>
      </c>
      <c r="C931" s="93" t="s">
        <v>32</v>
      </c>
      <c r="D931" s="93" t="s">
        <v>895</v>
      </c>
      <c r="E931" s="226">
        <v>9334210702</v>
      </c>
      <c r="F931" s="93" t="str">
        <f>'Membership Level'!A12</f>
        <v>Swimming Moth</v>
      </c>
      <c r="G931" s="93" t="s">
        <v>248</v>
      </c>
      <c r="H931" s="75">
        <v>4400</v>
      </c>
      <c r="I931" s="75">
        <v>4400</v>
      </c>
      <c r="J931" s="61"/>
      <c r="K931" s="59">
        <v>46162</v>
      </c>
      <c r="L931" s="59">
        <f>DATE(YEAR(K931),MONTH(K931)+VLOOKUP($F929,'Membership Level'!$A$3:$B$15,2,FALSE),DAY(K931))</f>
        <v>46193</v>
      </c>
      <c r="M931" s="7"/>
    </row>
    <row r="932" spans="1:13" x14ac:dyDescent="0.35">
      <c r="A932" s="58" t="s">
        <v>2042</v>
      </c>
      <c r="B932" s="59">
        <v>46162</v>
      </c>
      <c r="C932" s="93" t="s">
        <v>2116</v>
      </c>
      <c r="D932" s="93" t="s">
        <v>741</v>
      </c>
      <c r="E932" s="226">
        <v>9937043157</v>
      </c>
      <c r="F932" s="93" t="str">
        <f>'Membership Level'!A12</f>
        <v>Swimming Moth</v>
      </c>
      <c r="G932" s="93" t="s">
        <v>1568</v>
      </c>
      <c r="H932" s="75">
        <v>3500</v>
      </c>
      <c r="I932" s="75">
        <v>3500</v>
      </c>
      <c r="J932" s="61"/>
      <c r="K932" s="59">
        <v>46162</v>
      </c>
      <c r="L932" s="59">
        <f>DATE(YEAR(K932),MONTH(K932)+VLOOKUP($F930,'Membership Level'!$A$3:$B$15,2,FALSE),DAY(K932))</f>
        <v>46193</v>
      </c>
      <c r="M932" s="7"/>
    </row>
    <row r="933" spans="1:13" x14ac:dyDescent="0.35">
      <c r="A933" s="58" t="s">
        <v>2043</v>
      </c>
      <c r="B933" s="59">
        <v>46162</v>
      </c>
      <c r="C933" s="93" t="s">
        <v>734</v>
      </c>
      <c r="D933" s="93" t="s">
        <v>2117</v>
      </c>
      <c r="E933" s="226">
        <v>8789743717</v>
      </c>
      <c r="F933" s="93" t="str">
        <f>'Membership Level'!A12</f>
        <v>Swimming Moth</v>
      </c>
      <c r="G933" s="93" t="s">
        <v>1568</v>
      </c>
      <c r="H933" s="75">
        <v>3500</v>
      </c>
      <c r="I933" s="75">
        <v>3500</v>
      </c>
      <c r="J933" s="61"/>
      <c r="K933" s="59">
        <v>46162</v>
      </c>
      <c r="L933" s="59">
        <f>DATE(YEAR(K933),MONTH(K933)+VLOOKUP($F931,'Membership Level'!$A$3:$B$15,2,FALSE),DAY(K933))</f>
        <v>46193</v>
      </c>
      <c r="M933" s="7"/>
    </row>
    <row r="934" spans="1:13" x14ac:dyDescent="0.35">
      <c r="A934" s="58" t="s">
        <v>2044</v>
      </c>
      <c r="B934" s="59">
        <v>46162</v>
      </c>
      <c r="C934" s="93" t="s">
        <v>2119</v>
      </c>
      <c r="D934" s="93" t="s">
        <v>2118</v>
      </c>
      <c r="E934" s="226">
        <v>8406010338</v>
      </c>
      <c r="F934" s="93" t="str">
        <f>'Membership Level'!A12</f>
        <v>Swimming Moth</v>
      </c>
      <c r="G934" s="93" t="s">
        <v>1568</v>
      </c>
      <c r="H934" s="75">
        <v>3500</v>
      </c>
      <c r="I934" s="75">
        <v>3500</v>
      </c>
      <c r="J934" s="61"/>
      <c r="K934" s="59">
        <v>46162</v>
      </c>
      <c r="L934" s="59">
        <f>DATE(YEAR(K934),MONTH(K934)+VLOOKUP($F932,'Membership Level'!$A$3:$B$15,2,FALSE),DAY(K934))</f>
        <v>46193</v>
      </c>
      <c r="M934" s="7"/>
    </row>
    <row r="935" spans="1:13" x14ac:dyDescent="0.35">
      <c r="A935" s="58" t="s">
        <v>2045</v>
      </c>
      <c r="B935" s="59">
        <v>46162</v>
      </c>
      <c r="C935" s="93" t="s">
        <v>222</v>
      </c>
      <c r="D935" s="93" t="s">
        <v>2120</v>
      </c>
      <c r="E935" s="226">
        <v>9752118919</v>
      </c>
      <c r="F935" s="93" t="str">
        <f>'Membership Level'!A12</f>
        <v>Swimming Moth</v>
      </c>
      <c r="G935" s="93" t="s">
        <v>1417</v>
      </c>
      <c r="H935" s="75">
        <v>1000</v>
      </c>
      <c r="I935" s="75">
        <v>1000</v>
      </c>
      <c r="J935" s="61"/>
      <c r="K935" s="59">
        <v>46162</v>
      </c>
      <c r="L935" s="59">
        <f>DATE(YEAR(K935),MONTH(K935)+VLOOKUP($F933,'Membership Level'!$A$3:$B$15,2,FALSE),DAY(K935))</f>
        <v>46193</v>
      </c>
      <c r="M935" s="7"/>
    </row>
    <row r="936" spans="1:13" x14ac:dyDescent="0.35">
      <c r="A936" s="58" t="s">
        <v>2046</v>
      </c>
      <c r="B936" s="59">
        <v>46162</v>
      </c>
      <c r="C936" s="93" t="s">
        <v>362</v>
      </c>
      <c r="D936" s="93" t="s">
        <v>1198</v>
      </c>
      <c r="E936" s="226">
        <v>7979965679</v>
      </c>
      <c r="F936" s="93" t="str">
        <f>'Membership Level'!A12</f>
        <v>Swimming Moth</v>
      </c>
      <c r="G936" s="93" t="s">
        <v>1568</v>
      </c>
      <c r="H936" s="75">
        <v>3500</v>
      </c>
      <c r="I936" s="75">
        <v>3500</v>
      </c>
      <c r="J936" s="61"/>
      <c r="K936" s="59">
        <v>46162</v>
      </c>
      <c r="L936" s="59">
        <f>DATE(YEAR(K936),MONTH(K936)+VLOOKUP($F934,'Membership Level'!$A$3:$B$15,2,FALSE),DAY(K936))</f>
        <v>46193</v>
      </c>
      <c r="M936" s="7"/>
    </row>
    <row r="937" spans="1:13" x14ac:dyDescent="0.35">
      <c r="A937" s="58" t="s">
        <v>2047</v>
      </c>
      <c r="B937" s="59">
        <v>46162</v>
      </c>
      <c r="C937" s="93" t="s">
        <v>202</v>
      </c>
      <c r="D937" s="93" t="s">
        <v>1459</v>
      </c>
      <c r="E937" s="226">
        <v>9473315905</v>
      </c>
      <c r="F937" s="93" t="str">
        <f>'Membership Level'!A12</f>
        <v>Swimming Moth</v>
      </c>
      <c r="G937" s="93" t="s">
        <v>1568</v>
      </c>
      <c r="H937" s="75">
        <v>3800</v>
      </c>
      <c r="I937" s="75">
        <v>3800</v>
      </c>
      <c r="J937" s="61"/>
      <c r="K937" s="59">
        <v>46162</v>
      </c>
      <c r="L937" s="59">
        <f>DATE(YEAR(K937),MONTH(K937)+VLOOKUP($F935,'Membership Level'!$A$3:$B$15,2,FALSE),DAY(K937))</f>
        <v>46193</v>
      </c>
      <c r="M937" s="7"/>
    </row>
    <row r="938" spans="1:13" x14ac:dyDescent="0.35">
      <c r="A938" s="58" t="s">
        <v>2048</v>
      </c>
      <c r="B938" s="59">
        <v>46162</v>
      </c>
      <c r="C938" s="93" t="s">
        <v>32</v>
      </c>
      <c r="D938" s="93" t="s">
        <v>462</v>
      </c>
      <c r="E938" s="226">
        <v>9473315905</v>
      </c>
      <c r="F938" s="93" t="str">
        <f>'Membership Level'!A12</f>
        <v>Swimming Moth</v>
      </c>
      <c r="G938" s="93" t="s">
        <v>1568</v>
      </c>
      <c r="H938" s="75">
        <v>3800</v>
      </c>
      <c r="I938" s="75">
        <v>3800</v>
      </c>
      <c r="J938" s="61">
        <v>600</v>
      </c>
      <c r="K938" s="59">
        <v>46162</v>
      </c>
      <c r="L938" s="59">
        <f>DATE(YEAR(K938),MONTH(K938)+VLOOKUP($F936,'Membership Level'!$A$3:$B$15,2,FALSE),DAY(K938))</f>
        <v>46193</v>
      </c>
      <c r="M938" s="7"/>
    </row>
    <row r="939" spans="1:13" x14ac:dyDescent="0.35">
      <c r="A939" s="58" t="s">
        <v>2049</v>
      </c>
      <c r="B939" s="59">
        <v>46162</v>
      </c>
      <c r="C939" s="93" t="s">
        <v>2122</v>
      </c>
      <c r="D939" s="93" t="s">
        <v>205</v>
      </c>
      <c r="E939" s="226">
        <v>9430374360</v>
      </c>
      <c r="F939" s="93" t="str">
        <f>'Membership Level'!A12</f>
        <v>Swimming Moth</v>
      </c>
      <c r="G939" s="93" t="s">
        <v>248</v>
      </c>
      <c r="H939" s="75">
        <v>4400</v>
      </c>
      <c r="I939" s="75">
        <v>4400</v>
      </c>
      <c r="J939" s="61"/>
      <c r="K939" s="59">
        <v>46162</v>
      </c>
      <c r="L939" s="59">
        <f>DATE(YEAR(K939),MONTH(K939)+VLOOKUP($F937,'Membership Level'!$A$3:$B$15,2,FALSE),DAY(K939))</f>
        <v>46193</v>
      </c>
      <c r="M939" s="7"/>
    </row>
    <row r="940" spans="1:13" x14ac:dyDescent="0.35">
      <c r="A940" s="58" t="s">
        <v>2050</v>
      </c>
      <c r="B940" s="59">
        <v>46162</v>
      </c>
      <c r="C940" s="93" t="s">
        <v>333</v>
      </c>
      <c r="D940" s="93" t="s">
        <v>1009</v>
      </c>
      <c r="E940" s="226">
        <v>9430374360</v>
      </c>
      <c r="F940" s="93" t="str">
        <f>'Membership Level'!A12</f>
        <v>Swimming Moth</v>
      </c>
      <c r="G940" s="93" t="s">
        <v>248</v>
      </c>
      <c r="H940" s="75">
        <v>4400</v>
      </c>
      <c r="I940" s="75">
        <v>4400</v>
      </c>
      <c r="J940" s="61"/>
      <c r="K940" s="59">
        <v>46162</v>
      </c>
      <c r="L940" s="59">
        <f>DATE(YEAR(K940),MONTH(K940)+VLOOKUP($F938,'Membership Level'!$A$3:$B$15,2,FALSE),DAY(K940))</f>
        <v>46193</v>
      </c>
      <c r="M940" s="7"/>
    </row>
    <row r="941" spans="1:13" x14ac:dyDescent="0.35">
      <c r="A941" s="58" t="s">
        <v>2051</v>
      </c>
      <c r="B941" s="59">
        <v>46162</v>
      </c>
      <c r="C941" s="7"/>
      <c r="D941" s="7" t="s">
        <v>2123</v>
      </c>
      <c r="E941" s="226">
        <v>9473323677</v>
      </c>
      <c r="F941" s="7" t="str">
        <f>'Membership Level'!A12</f>
        <v>Swimming Moth</v>
      </c>
      <c r="G941" s="7" t="s">
        <v>248</v>
      </c>
      <c r="H941" s="75">
        <v>4200</v>
      </c>
      <c r="I941" s="75">
        <v>4200</v>
      </c>
      <c r="J941" s="61"/>
      <c r="K941" s="59">
        <v>46162</v>
      </c>
      <c r="L941" s="59">
        <f>DATE(YEAR(K941),MONTH(K941)+VLOOKUP($F939,'Membership Level'!$A$3:$B$15,2,FALSE),DAY(K941))</f>
        <v>46193</v>
      </c>
      <c r="M941" s="7"/>
    </row>
    <row r="942" spans="1:13" x14ac:dyDescent="0.35">
      <c r="A942" s="58" t="s">
        <v>2052</v>
      </c>
      <c r="B942" s="59">
        <v>46162</v>
      </c>
      <c r="C942" s="7"/>
      <c r="D942" s="7" t="s">
        <v>2124</v>
      </c>
      <c r="E942" s="226">
        <v>9473323677</v>
      </c>
      <c r="F942" s="7" t="str">
        <f>'Membership Level'!A12</f>
        <v>Swimming Moth</v>
      </c>
      <c r="G942" s="7" t="s">
        <v>248</v>
      </c>
      <c r="H942" s="75">
        <v>4200</v>
      </c>
      <c r="I942" s="75">
        <v>4200</v>
      </c>
      <c r="J942" s="61"/>
      <c r="K942" s="59">
        <v>46162</v>
      </c>
      <c r="L942" s="59">
        <f>DATE(YEAR(K942),MONTH(K942)+VLOOKUP($F940,'Membership Level'!$A$3:$B$15,2,FALSE),DAY(K942))</f>
        <v>46193</v>
      </c>
      <c r="M942" s="7"/>
    </row>
    <row r="943" spans="1:13" x14ac:dyDescent="0.35">
      <c r="A943" s="58" t="s">
        <v>2053</v>
      </c>
      <c r="B943" s="59">
        <v>46162</v>
      </c>
      <c r="C943" s="7" t="s">
        <v>260</v>
      </c>
      <c r="D943" s="7" t="s">
        <v>491</v>
      </c>
      <c r="E943" s="226">
        <v>9910668357</v>
      </c>
      <c r="F943" s="7" t="str">
        <f>'Membership Level'!A12</f>
        <v>Swimming Moth</v>
      </c>
      <c r="G943" s="7" t="s">
        <v>563</v>
      </c>
      <c r="H943" s="75">
        <v>2800</v>
      </c>
      <c r="I943" s="75">
        <v>2800</v>
      </c>
      <c r="J943" s="61"/>
      <c r="K943" s="59">
        <v>46162</v>
      </c>
      <c r="L943" s="59">
        <f>DATE(YEAR(K943),MONTH(K943)+VLOOKUP($F941,'Membership Level'!$A$3:$B$15,2,FALSE),DAY(K943))</f>
        <v>46193</v>
      </c>
      <c r="M943" s="7"/>
    </row>
    <row r="944" spans="1:13" x14ac:dyDescent="0.35">
      <c r="A944" s="58" t="s">
        <v>2054</v>
      </c>
      <c r="B944" s="59">
        <v>46162</v>
      </c>
      <c r="C944" s="7" t="s">
        <v>260</v>
      </c>
      <c r="D944" s="7" t="s">
        <v>567</v>
      </c>
      <c r="E944" s="226">
        <v>9910668357</v>
      </c>
      <c r="F944" s="7" t="str">
        <f>'Membership Level'!A12</f>
        <v>Swimming Moth</v>
      </c>
      <c r="G944" s="7" t="s">
        <v>379</v>
      </c>
      <c r="H944" s="75">
        <v>2800</v>
      </c>
      <c r="I944" s="75">
        <v>2800</v>
      </c>
      <c r="J944" s="61"/>
      <c r="K944" s="59">
        <v>46162</v>
      </c>
      <c r="L944" s="59">
        <f>DATE(YEAR(K944),MONTH(K944)+VLOOKUP($F942,'Membership Level'!$A$3:$B$15,2,FALSE),DAY(K944))</f>
        <v>46193</v>
      </c>
      <c r="M944" s="7"/>
    </row>
    <row r="945" spans="1:13" x14ac:dyDescent="0.35">
      <c r="A945" s="58" t="s">
        <v>2055</v>
      </c>
      <c r="B945" s="59">
        <v>46162</v>
      </c>
      <c r="C945" s="7" t="s">
        <v>618</v>
      </c>
      <c r="D945" s="7" t="s">
        <v>2125</v>
      </c>
      <c r="E945" s="226">
        <v>9608701902</v>
      </c>
      <c r="F945" s="7" t="str">
        <f>'Membership Level'!A12</f>
        <v>Swimming Moth</v>
      </c>
      <c r="G945" s="7" t="s">
        <v>248</v>
      </c>
      <c r="H945" s="75">
        <v>4400</v>
      </c>
      <c r="I945" s="75">
        <v>4400</v>
      </c>
      <c r="J945" s="61"/>
      <c r="K945" s="59">
        <v>46162</v>
      </c>
      <c r="L945" s="59">
        <f>DATE(YEAR(K945),MONTH(K945)+VLOOKUP($F943,'Membership Level'!$A$3:$B$15,2,FALSE),DAY(K945))</f>
        <v>46193</v>
      </c>
      <c r="M945" s="7"/>
    </row>
    <row r="946" spans="1:13" x14ac:dyDescent="0.35">
      <c r="A946" s="58" t="s">
        <v>2056</v>
      </c>
      <c r="B946" s="59">
        <v>46162</v>
      </c>
      <c r="C946" s="7" t="s">
        <v>249</v>
      </c>
      <c r="D946" s="7" t="s">
        <v>2126</v>
      </c>
      <c r="E946" s="226">
        <v>9801980700</v>
      </c>
      <c r="F946" s="7" t="str">
        <f>'Membership Level'!A12</f>
        <v>Swimming Moth</v>
      </c>
      <c r="G946" s="7" t="s">
        <v>1580</v>
      </c>
      <c r="H946" s="75">
        <v>2200</v>
      </c>
      <c r="I946" s="75">
        <v>2200</v>
      </c>
      <c r="J946" s="61"/>
      <c r="K946" s="59">
        <v>46162</v>
      </c>
      <c r="L946" s="59">
        <f>DATE(YEAR(K946),MONTH(K946)+VLOOKUP($F944,'Membership Level'!$A$3:$B$15,2,FALSE),DAY(K946))</f>
        <v>46193</v>
      </c>
      <c r="M946" s="7"/>
    </row>
    <row r="947" spans="1:13" x14ac:dyDescent="0.35">
      <c r="A947" s="58"/>
      <c r="B947" s="58"/>
      <c r="C947" s="7"/>
      <c r="D947" s="7"/>
      <c r="E947" s="226"/>
      <c r="F947" s="7"/>
      <c r="G947" s="7"/>
      <c r="H947" s="75"/>
      <c r="I947" s="75"/>
      <c r="J947" s="61"/>
      <c r="K947" s="9"/>
      <c r="L947" s="59"/>
      <c r="M947" s="7"/>
    </row>
    <row r="948" spans="1:13" x14ac:dyDescent="0.35">
      <c r="A948" s="58"/>
      <c r="B948" s="58"/>
      <c r="C948" s="7"/>
      <c r="D948" s="7"/>
      <c r="E948" s="226"/>
      <c r="F948" s="7"/>
      <c r="G948" s="7"/>
      <c r="H948" s="75"/>
      <c r="I948" s="75"/>
      <c r="J948" s="61"/>
      <c r="K948" s="9"/>
      <c r="L948" s="59"/>
      <c r="M948" s="7"/>
    </row>
    <row r="949" spans="1:13" x14ac:dyDescent="0.35">
      <c r="A949" s="58"/>
      <c r="B949" s="58"/>
      <c r="C949" s="7"/>
      <c r="D949" s="7"/>
      <c r="E949" s="226"/>
      <c r="F949" s="7"/>
      <c r="G949" s="7"/>
      <c r="H949" s="75"/>
      <c r="I949" s="75"/>
      <c r="J949" s="61"/>
      <c r="K949" s="9"/>
      <c r="L949" s="59"/>
      <c r="M949" s="7"/>
    </row>
    <row r="950" spans="1:13" x14ac:dyDescent="0.35">
      <c r="A950" s="58"/>
      <c r="B950" s="58"/>
      <c r="C950" s="7"/>
      <c r="D950" s="7"/>
      <c r="E950" s="226"/>
      <c r="F950" s="7"/>
      <c r="G950" s="7"/>
      <c r="H950" s="75"/>
      <c r="I950" s="75"/>
      <c r="J950" s="61"/>
      <c r="K950" s="9"/>
      <c r="L950" s="59"/>
      <c r="M950" s="7"/>
    </row>
    <row r="951" spans="1:13" x14ac:dyDescent="0.35">
      <c r="A951" s="58"/>
      <c r="B951" s="58"/>
      <c r="C951" s="7"/>
      <c r="D951" s="7"/>
      <c r="E951" s="226"/>
      <c r="F951" s="7"/>
      <c r="G951" s="7"/>
      <c r="H951" s="75"/>
      <c r="I951" s="75"/>
      <c r="J951" s="61"/>
      <c r="K951" s="9"/>
      <c r="L951" s="59"/>
      <c r="M951" s="7"/>
    </row>
    <row r="952" spans="1:13" x14ac:dyDescent="0.35">
      <c r="A952" s="58"/>
      <c r="B952" s="58"/>
      <c r="C952" s="7"/>
      <c r="D952" s="7"/>
      <c r="E952" s="80"/>
      <c r="F952" s="7"/>
      <c r="G952" s="7"/>
      <c r="H952" s="75"/>
      <c r="I952" s="75"/>
      <c r="J952" s="61"/>
      <c r="K952" s="9"/>
      <c r="L952" s="59"/>
      <c r="M952" s="7"/>
    </row>
    <row r="953" spans="1:13" s="96" customFormat="1" x14ac:dyDescent="0.35">
      <c r="A953" s="58"/>
      <c r="B953" s="58"/>
      <c r="C953" s="7"/>
      <c r="D953" s="7"/>
      <c r="E953" s="81"/>
      <c r="F953" s="58"/>
      <c r="G953" s="7"/>
      <c r="H953" s="75"/>
      <c r="I953" s="75"/>
      <c r="J953" s="61"/>
      <c r="K953" s="9"/>
      <c r="L953" s="59"/>
      <c r="M953" s="7"/>
    </row>
    <row r="954" spans="1:13" x14ac:dyDescent="0.35">
      <c r="A954" s="58"/>
      <c r="B954" s="58"/>
      <c r="C954" s="7"/>
      <c r="D954" s="7"/>
      <c r="E954" s="81"/>
      <c r="F954" s="7"/>
      <c r="G954" s="7"/>
      <c r="H954" s="75"/>
      <c r="I954" s="75"/>
      <c r="J954" s="61"/>
      <c r="K954" s="9"/>
      <c r="L954" s="59"/>
      <c r="M954" s="7"/>
    </row>
    <row r="955" spans="1:13" s="11" customFormat="1" x14ac:dyDescent="0.35">
      <c r="A955" s="58"/>
      <c r="B955" s="58"/>
      <c r="C955" s="58"/>
      <c r="D955" s="58"/>
      <c r="E955" s="80"/>
      <c r="F955" s="7"/>
      <c r="G955" s="58"/>
      <c r="H955" s="78"/>
      <c r="I955" s="78"/>
      <c r="J955" s="61"/>
      <c r="K955" s="59"/>
      <c r="L955" s="59"/>
      <c r="M955" s="58"/>
    </row>
    <row r="956" spans="1:13" x14ac:dyDescent="0.35">
      <c r="A956" s="58"/>
      <c r="B956" s="58"/>
      <c r="C956" s="7"/>
      <c r="D956" s="7"/>
      <c r="E956" s="80"/>
      <c r="F956" s="7"/>
      <c r="G956" s="7"/>
      <c r="H956" s="75"/>
      <c r="I956" s="75"/>
      <c r="J956" s="61"/>
      <c r="K956" s="9"/>
      <c r="L956" s="59"/>
      <c r="M956" s="7"/>
    </row>
    <row r="957" spans="1:13" x14ac:dyDescent="0.35">
      <c r="A957" s="58"/>
      <c r="B957" s="58"/>
      <c r="C957" s="7"/>
      <c r="D957" s="7"/>
      <c r="E957" s="80"/>
      <c r="F957" s="7"/>
      <c r="G957" s="7"/>
      <c r="H957" s="75"/>
      <c r="I957" s="75"/>
      <c r="J957" s="61"/>
      <c r="K957" s="9"/>
      <c r="L957" s="59"/>
      <c r="M957" s="7"/>
    </row>
    <row r="958" spans="1:13" x14ac:dyDescent="0.35">
      <c r="A958" s="58"/>
      <c r="B958" s="58"/>
      <c r="C958" s="7"/>
      <c r="D958" s="7"/>
      <c r="E958" s="80"/>
      <c r="F958" s="7"/>
      <c r="G958" s="7"/>
      <c r="H958" s="75"/>
      <c r="I958" s="75"/>
      <c r="J958" s="61"/>
      <c r="K958" s="9"/>
      <c r="L958" s="59"/>
      <c r="M958" s="7"/>
    </row>
    <row r="959" spans="1:13" x14ac:dyDescent="0.35">
      <c r="A959" s="58"/>
      <c r="B959" s="58"/>
      <c r="C959" s="7"/>
      <c r="D959" s="7"/>
      <c r="E959" s="80"/>
      <c r="F959" s="7"/>
      <c r="G959" s="7"/>
      <c r="H959" s="75"/>
      <c r="I959" s="75"/>
      <c r="J959" s="61"/>
      <c r="K959" s="9"/>
      <c r="L959" s="59"/>
      <c r="M959" s="7"/>
    </row>
    <row r="960" spans="1:13" x14ac:dyDescent="0.35">
      <c r="A960" s="58"/>
      <c r="B960" s="58"/>
      <c r="C960" s="7"/>
      <c r="D960" s="7"/>
      <c r="E960" s="80"/>
      <c r="F960" s="7"/>
      <c r="G960" s="7"/>
      <c r="H960" s="75"/>
      <c r="I960" s="75"/>
      <c r="J960" s="61"/>
      <c r="K960" s="9"/>
      <c r="L960" s="59"/>
      <c r="M960" s="7"/>
    </row>
    <row r="961" spans="1:13" x14ac:dyDescent="0.35">
      <c r="A961" s="58"/>
      <c r="B961" s="58"/>
      <c r="C961" s="7"/>
      <c r="D961" s="7"/>
      <c r="E961" s="80"/>
      <c r="F961" s="7"/>
      <c r="G961" s="7"/>
      <c r="H961" s="75"/>
      <c r="I961" s="75"/>
      <c r="J961" s="61"/>
      <c r="K961" s="9"/>
      <c r="L961" s="59"/>
      <c r="M961" s="7"/>
    </row>
    <row r="962" spans="1:13" x14ac:dyDescent="0.35">
      <c r="A962" s="58"/>
      <c r="B962" s="58"/>
      <c r="C962" s="7"/>
      <c r="D962" s="7"/>
      <c r="E962" s="80"/>
      <c r="F962" s="7"/>
      <c r="G962" s="7"/>
      <c r="H962" s="75"/>
      <c r="I962" s="75"/>
      <c r="J962" s="61"/>
      <c r="K962" s="9"/>
      <c r="L962" s="59"/>
      <c r="M962" s="7"/>
    </row>
    <row r="963" spans="1:13" x14ac:dyDescent="0.35">
      <c r="A963" s="58"/>
      <c r="B963" s="58"/>
      <c r="C963" s="7"/>
      <c r="D963" s="7"/>
      <c r="E963" s="80"/>
      <c r="F963" s="7"/>
      <c r="G963" s="7"/>
      <c r="H963" s="75"/>
      <c r="I963" s="75"/>
      <c r="J963" s="61"/>
      <c r="K963" s="9"/>
      <c r="L963" s="59"/>
      <c r="M963" s="7"/>
    </row>
    <row r="964" spans="1:13" x14ac:dyDescent="0.35">
      <c r="A964" s="58"/>
      <c r="B964" s="58"/>
      <c r="C964" s="7"/>
      <c r="D964" s="7"/>
      <c r="E964" s="80"/>
      <c r="F964" s="7"/>
      <c r="G964" s="7"/>
      <c r="H964" s="75"/>
      <c r="I964" s="75"/>
      <c r="J964" s="61"/>
      <c r="K964" s="9"/>
      <c r="L964" s="59"/>
      <c r="M964" s="7"/>
    </row>
    <row r="965" spans="1:13" x14ac:dyDescent="0.35">
      <c r="A965" s="58"/>
      <c r="B965" s="58"/>
      <c r="C965" s="7"/>
      <c r="D965" s="7"/>
      <c r="E965" s="80"/>
      <c r="F965" s="7"/>
      <c r="G965" s="7"/>
      <c r="H965" s="75"/>
      <c r="I965" s="75"/>
      <c r="J965" s="61"/>
      <c r="K965" s="9"/>
      <c r="L965" s="59"/>
      <c r="M965" s="7"/>
    </row>
    <row r="966" spans="1:13" x14ac:dyDescent="0.35">
      <c r="A966" s="58"/>
      <c r="B966" s="58"/>
      <c r="C966" s="7"/>
      <c r="D966" s="7"/>
      <c r="E966" s="80"/>
      <c r="F966" s="7"/>
      <c r="G966" s="7"/>
      <c r="H966" s="75"/>
      <c r="I966" s="75"/>
      <c r="J966" s="61"/>
      <c r="K966" s="9"/>
      <c r="L966" s="59"/>
      <c r="M966" s="7"/>
    </row>
    <row r="967" spans="1:13" x14ac:dyDescent="0.35">
      <c r="A967" s="58"/>
      <c r="B967" s="58"/>
      <c r="C967" s="7"/>
      <c r="D967" s="7"/>
      <c r="E967" s="80"/>
      <c r="F967" s="62"/>
      <c r="G967" s="7"/>
      <c r="H967" s="75"/>
      <c r="I967" s="75"/>
      <c r="J967" s="61"/>
      <c r="K967" s="9"/>
      <c r="L967" s="59"/>
      <c r="M967" s="7"/>
    </row>
    <row r="968" spans="1:13" x14ac:dyDescent="0.35">
      <c r="A968" s="58"/>
      <c r="B968" s="58"/>
      <c r="C968" s="7"/>
      <c r="D968" s="7"/>
      <c r="E968" s="94"/>
      <c r="F968" s="7"/>
      <c r="G968" s="7"/>
      <c r="H968" s="75"/>
      <c r="I968" s="75"/>
      <c r="J968" s="61"/>
      <c r="K968" s="9"/>
      <c r="L968" s="59"/>
      <c r="M968" s="7"/>
    </row>
    <row r="969" spans="1:13" s="6" customFormat="1" x14ac:dyDescent="0.35">
      <c r="A969" s="58"/>
      <c r="B969" s="58"/>
      <c r="C969" s="62"/>
      <c r="D969" s="62"/>
      <c r="E969" s="81"/>
      <c r="F969" s="7"/>
      <c r="G969" s="62"/>
      <c r="H969" s="92"/>
      <c r="I969" s="92"/>
      <c r="J969" s="64"/>
      <c r="K969" s="65"/>
      <c r="L969" s="65"/>
      <c r="M969" s="7"/>
    </row>
    <row r="970" spans="1:13" x14ac:dyDescent="0.35">
      <c r="A970" s="58"/>
      <c r="B970" s="58"/>
      <c r="C970" s="7"/>
      <c r="D970" s="7"/>
      <c r="E970" s="80"/>
      <c r="F970" s="7"/>
      <c r="G970" s="7"/>
      <c r="H970" s="75"/>
      <c r="I970" s="75"/>
      <c r="J970" s="61"/>
      <c r="K970" s="9"/>
      <c r="L970" s="59"/>
      <c r="M970" s="7"/>
    </row>
    <row r="971" spans="1:13" x14ac:dyDescent="0.35">
      <c r="A971" s="58"/>
      <c r="B971" s="58"/>
      <c r="C971" s="7"/>
      <c r="D971" s="7"/>
      <c r="E971" s="80"/>
      <c r="F971" s="7"/>
      <c r="G971" s="7"/>
      <c r="H971" s="75"/>
      <c r="I971" s="75"/>
      <c r="J971" s="61"/>
      <c r="K971" s="9"/>
      <c r="L971" s="59"/>
      <c r="M971" s="7"/>
    </row>
    <row r="972" spans="1:13" x14ac:dyDescent="0.35">
      <c r="A972" s="58"/>
      <c r="B972" s="58"/>
      <c r="C972" s="7"/>
      <c r="D972" s="7"/>
      <c r="E972" s="80"/>
      <c r="F972" s="7"/>
      <c r="G972" s="7"/>
      <c r="H972" s="75"/>
      <c r="I972" s="75"/>
      <c r="J972" s="61"/>
      <c r="K972" s="9"/>
      <c r="L972" s="59"/>
      <c r="M972" s="7"/>
    </row>
    <row r="973" spans="1:13" x14ac:dyDescent="0.35">
      <c r="A973" s="58"/>
      <c r="B973" s="58"/>
      <c r="C973" s="7"/>
      <c r="D973" s="7"/>
      <c r="E973" s="80"/>
      <c r="F973" s="7"/>
      <c r="G973" s="7"/>
      <c r="H973" s="75"/>
      <c r="I973" s="75"/>
      <c r="J973" s="61"/>
      <c r="K973" s="9"/>
      <c r="L973" s="59"/>
      <c r="M973" s="7"/>
    </row>
    <row r="974" spans="1:13" x14ac:dyDescent="0.35">
      <c r="A974" s="58"/>
      <c r="B974" s="58"/>
      <c r="C974" s="7"/>
      <c r="D974" s="7"/>
      <c r="E974" s="80"/>
      <c r="F974" s="7"/>
      <c r="G974" s="7"/>
      <c r="H974" s="75"/>
      <c r="I974" s="75"/>
      <c r="J974" s="61"/>
      <c r="K974" s="9"/>
      <c r="L974" s="59"/>
      <c r="M974" s="7"/>
    </row>
    <row r="975" spans="1:13" x14ac:dyDescent="0.35">
      <c r="A975" s="58"/>
      <c r="B975" s="58"/>
      <c r="C975" s="7"/>
      <c r="D975" s="7"/>
      <c r="E975" s="80"/>
      <c r="F975" s="7"/>
      <c r="G975" s="7"/>
      <c r="H975" s="75"/>
      <c r="I975" s="75"/>
      <c r="J975" s="61"/>
      <c r="K975" s="9"/>
      <c r="L975" s="59"/>
      <c r="M975" s="7"/>
    </row>
    <row r="976" spans="1:13" x14ac:dyDescent="0.35">
      <c r="A976" s="58"/>
      <c r="B976" s="58"/>
      <c r="C976" s="7"/>
      <c r="D976" s="7"/>
      <c r="E976" s="80"/>
      <c r="F976" s="7"/>
      <c r="G976" s="7"/>
      <c r="H976" s="75"/>
      <c r="I976" s="75"/>
      <c r="J976" s="61"/>
      <c r="K976" s="9"/>
      <c r="L976" s="59"/>
      <c r="M976" s="7"/>
    </row>
    <row r="977" spans="1:13" x14ac:dyDescent="0.35">
      <c r="A977" s="58"/>
      <c r="B977" s="58"/>
      <c r="C977" s="7"/>
      <c r="D977" s="7"/>
      <c r="E977" s="80"/>
      <c r="F977" s="7"/>
      <c r="G977" s="7"/>
      <c r="H977" s="75"/>
      <c r="I977" s="75"/>
      <c r="J977" s="61"/>
      <c r="K977" s="9"/>
      <c r="L977" s="59"/>
      <c r="M977" s="7"/>
    </row>
    <row r="978" spans="1:13" x14ac:dyDescent="0.35">
      <c r="A978" s="58"/>
      <c r="B978" s="58"/>
      <c r="C978" s="7"/>
      <c r="D978" s="7"/>
      <c r="E978" s="81"/>
      <c r="F978" s="7"/>
      <c r="G978" s="7"/>
      <c r="H978" s="75"/>
      <c r="I978" s="75"/>
      <c r="J978" s="61"/>
      <c r="K978" s="9"/>
      <c r="L978" s="59"/>
      <c r="M978" s="7"/>
    </row>
    <row r="979" spans="1:13" x14ac:dyDescent="0.35">
      <c r="A979" s="58"/>
      <c r="B979" s="58"/>
      <c r="C979" s="7"/>
      <c r="D979" s="7"/>
      <c r="E979" s="80"/>
      <c r="F979" s="7"/>
      <c r="G979" s="7"/>
      <c r="H979" s="75"/>
      <c r="I979" s="75"/>
      <c r="J979" s="61"/>
      <c r="K979" s="9"/>
      <c r="L979" s="59"/>
      <c r="M979" s="7"/>
    </row>
    <row r="980" spans="1:13" s="96" customFormat="1" x14ac:dyDescent="0.35">
      <c r="A980" s="58"/>
      <c r="B980" s="58"/>
      <c r="C980" s="7"/>
      <c r="D980" s="7"/>
      <c r="E980" s="80"/>
      <c r="F980" s="7"/>
      <c r="G980" s="7"/>
      <c r="H980" s="75"/>
      <c r="I980" s="75"/>
      <c r="J980" s="61"/>
      <c r="K980" s="9"/>
      <c r="L980" s="59"/>
      <c r="M980" s="7"/>
    </row>
    <row r="981" spans="1:13" x14ac:dyDescent="0.35">
      <c r="A981" s="58"/>
      <c r="B981" s="58"/>
      <c r="C981" s="7"/>
      <c r="D981" s="7"/>
      <c r="E981" s="80"/>
      <c r="F981" s="7"/>
      <c r="G981" s="7"/>
      <c r="H981" s="75"/>
      <c r="I981" s="75"/>
      <c r="J981" s="61"/>
      <c r="K981" s="9"/>
      <c r="L981" s="59"/>
      <c r="M981" s="7"/>
    </row>
    <row r="982" spans="1:13" x14ac:dyDescent="0.35">
      <c r="A982" s="58"/>
      <c r="B982" s="58"/>
      <c r="C982" s="7"/>
      <c r="D982" s="7"/>
      <c r="E982" s="7"/>
      <c r="F982" s="7"/>
      <c r="G982" s="7"/>
      <c r="H982" s="75"/>
      <c r="I982" s="75"/>
      <c r="J982" s="61"/>
      <c r="K982" s="9"/>
      <c r="L982" s="59"/>
      <c r="M982" s="7"/>
    </row>
    <row r="983" spans="1:13" x14ac:dyDescent="0.35">
      <c r="A983" s="58"/>
      <c r="B983" s="58"/>
      <c r="C983" s="7"/>
      <c r="D983" s="7"/>
      <c r="E983" s="80"/>
      <c r="F983" s="7"/>
      <c r="G983" s="7"/>
      <c r="H983" s="75"/>
      <c r="I983" s="75"/>
      <c r="J983" s="61"/>
      <c r="K983" s="9"/>
      <c r="L983" s="59"/>
      <c r="M983" s="7"/>
    </row>
    <row r="984" spans="1:13" x14ac:dyDescent="0.35">
      <c r="A984" s="58"/>
      <c r="B984" s="58"/>
      <c r="C984" s="58"/>
      <c r="D984" s="58"/>
      <c r="E984" s="80"/>
      <c r="F984" s="7"/>
      <c r="G984" s="7"/>
      <c r="H984" s="75"/>
      <c r="I984" s="75"/>
      <c r="J984" s="61"/>
      <c r="K984" s="9"/>
      <c r="L984" s="59"/>
      <c r="M984" s="7"/>
    </row>
    <row r="985" spans="1:13" x14ac:dyDescent="0.35">
      <c r="A985" s="58"/>
      <c r="B985" s="58"/>
      <c r="C985" s="58"/>
      <c r="D985" s="58"/>
      <c r="E985" s="80"/>
      <c r="F985" s="7"/>
      <c r="G985" s="7"/>
      <c r="H985" s="75"/>
      <c r="I985" s="75"/>
      <c r="J985" s="61"/>
      <c r="K985" s="9"/>
      <c r="L985" s="59"/>
      <c r="M985" s="7"/>
    </row>
    <row r="986" spans="1:13" x14ac:dyDescent="0.35">
      <c r="A986" s="58"/>
      <c r="B986" s="58"/>
      <c r="C986" s="7"/>
      <c r="D986" s="7"/>
      <c r="E986" s="80"/>
      <c r="F986" s="7"/>
      <c r="G986" s="7"/>
      <c r="H986" s="75"/>
      <c r="I986" s="75"/>
      <c r="J986" s="61"/>
      <c r="K986" s="9"/>
      <c r="L986" s="59"/>
      <c r="M986" s="7"/>
    </row>
    <row r="987" spans="1:13" x14ac:dyDescent="0.35">
      <c r="A987" s="58"/>
      <c r="B987" s="58"/>
      <c r="C987" s="7"/>
      <c r="D987" s="7"/>
      <c r="E987" s="80"/>
      <c r="F987" s="7"/>
      <c r="G987" s="7"/>
      <c r="H987" s="75"/>
      <c r="I987" s="75"/>
      <c r="J987" s="61"/>
      <c r="K987" s="9"/>
      <c r="L987" s="59"/>
      <c r="M987" s="7"/>
    </row>
    <row r="988" spans="1:13" x14ac:dyDescent="0.35">
      <c r="A988" s="58"/>
      <c r="B988" s="58"/>
      <c r="C988" s="7"/>
      <c r="D988" s="7"/>
      <c r="E988" s="80"/>
      <c r="F988" s="7"/>
      <c r="G988" s="7"/>
      <c r="H988" s="75"/>
      <c r="I988" s="75"/>
      <c r="J988" s="61"/>
      <c r="K988" s="9"/>
      <c r="L988" s="59"/>
      <c r="M988" s="7"/>
    </row>
    <row r="989" spans="1:13" x14ac:dyDescent="0.35">
      <c r="A989" s="58"/>
      <c r="B989" s="58"/>
      <c r="C989" s="7"/>
      <c r="D989" s="7"/>
      <c r="E989" s="80"/>
      <c r="F989" s="7"/>
      <c r="G989" s="7"/>
      <c r="H989" s="75"/>
      <c r="I989" s="75"/>
      <c r="J989" s="61"/>
      <c r="K989" s="9"/>
      <c r="L989" s="59"/>
      <c r="M989" s="7"/>
    </row>
    <row r="990" spans="1:13" x14ac:dyDescent="0.35">
      <c r="A990" s="58"/>
      <c r="B990" s="58"/>
      <c r="C990" s="7"/>
      <c r="D990" s="7"/>
      <c r="E990" s="7"/>
      <c r="F990" s="7"/>
      <c r="G990" s="7"/>
      <c r="H990" s="75"/>
      <c r="I990" s="75"/>
      <c r="J990" s="61"/>
      <c r="K990" s="9"/>
      <c r="L990" s="59"/>
      <c r="M990" s="7"/>
    </row>
    <row r="991" spans="1:13" x14ac:dyDescent="0.35">
      <c r="A991" s="58"/>
      <c r="B991" s="58"/>
      <c r="C991" s="7"/>
      <c r="D991" s="7"/>
      <c r="E991" s="80"/>
      <c r="F991" s="7"/>
      <c r="G991" s="7"/>
      <c r="H991" s="75"/>
      <c r="I991" s="75"/>
      <c r="J991" s="61"/>
      <c r="K991" s="9"/>
      <c r="L991" s="59"/>
      <c r="M991" s="7"/>
    </row>
    <row r="992" spans="1:13" x14ac:dyDescent="0.35">
      <c r="A992" s="58"/>
      <c r="B992" s="58"/>
      <c r="C992" s="7"/>
      <c r="D992" s="7"/>
      <c r="E992" s="80"/>
      <c r="F992" s="7"/>
      <c r="G992" s="7"/>
      <c r="H992" s="75"/>
      <c r="I992" s="75"/>
      <c r="J992" s="61"/>
      <c r="K992" s="9"/>
      <c r="L992" s="59"/>
      <c r="M992" s="7"/>
    </row>
    <row r="993" spans="1:13" x14ac:dyDescent="0.35">
      <c r="A993" s="58"/>
      <c r="B993" s="58"/>
      <c r="C993" s="7"/>
      <c r="D993" s="7"/>
      <c r="E993" s="81"/>
      <c r="F993" s="7"/>
      <c r="G993" s="7"/>
      <c r="H993" s="75"/>
      <c r="I993" s="75"/>
      <c r="J993" s="61"/>
      <c r="K993" s="9"/>
      <c r="L993" s="59"/>
      <c r="M993" s="7"/>
    </row>
    <row r="994" spans="1:13" x14ac:dyDescent="0.35">
      <c r="A994" s="58"/>
      <c r="B994" s="58"/>
      <c r="C994" s="7"/>
      <c r="D994" s="7"/>
      <c r="E994" s="80"/>
      <c r="F994" s="7"/>
      <c r="G994" s="7"/>
      <c r="H994" s="75"/>
      <c r="I994" s="75"/>
      <c r="J994" s="61"/>
      <c r="K994" s="9"/>
      <c r="L994" s="59"/>
      <c r="M994" s="7"/>
    </row>
    <row r="995" spans="1:13" x14ac:dyDescent="0.35">
      <c r="A995" s="58"/>
      <c r="B995" s="58"/>
      <c r="C995" s="7"/>
      <c r="D995" s="7"/>
      <c r="E995" s="80"/>
      <c r="F995" s="7"/>
      <c r="G995" s="7"/>
      <c r="H995" s="75"/>
      <c r="I995" s="75"/>
      <c r="J995" s="61"/>
      <c r="K995" s="9"/>
      <c r="L995" s="59"/>
      <c r="M995" s="7"/>
    </row>
    <row r="996" spans="1:13" x14ac:dyDescent="0.35">
      <c r="A996" s="58"/>
      <c r="B996" s="58"/>
      <c r="C996" s="7"/>
      <c r="D996" s="7"/>
      <c r="E996" s="81"/>
      <c r="F996" s="7"/>
      <c r="G996" s="7"/>
      <c r="H996" s="75"/>
      <c r="I996" s="75"/>
      <c r="J996" s="61"/>
      <c r="K996" s="9"/>
      <c r="L996" s="59"/>
      <c r="M996" s="7"/>
    </row>
    <row r="997" spans="1:13" x14ac:dyDescent="0.35">
      <c r="A997" s="58"/>
      <c r="B997" s="58"/>
      <c r="C997" s="7"/>
      <c r="D997" s="7"/>
      <c r="E997" s="81"/>
      <c r="F997" s="7"/>
      <c r="G997" s="7"/>
      <c r="H997" s="75"/>
      <c r="I997" s="75"/>
      <c r="J997" s="61"/>
      <c r="K997" s="9"/>
      <c r="L997" s="59"/>
      <c r="M997" s="7"/>
    </row>
    <row r="998" spans="1:13" x14ac:dyDescent="0.35">
      <c r="A998" s="58"/>
      <c r="B998" s="58"/>
      <c r="C998" s="7"/>
      <c r="D998" s="7"/>
      <c r="E998" s="81"/>
      <c r="F998" s="7"/>
      <c r="G998" s="7"/>
      <c r="H998" s="75"/>
      <c r="I998" s="75"/>
      <c r="J998" s="61"/>
      <c r="K998" s="9"/>
      <c r="L998" s="59"/>
      <c r="M998" s="7"/>
    </row>
    <row r="999" spans="1:13" x14ac:dyDescent="0.35">
      <c r="A999" s="58"/>
      <c r="B999" s="58"/>
      <c r="C999" s="7"/>
      <c r="D999" s="7"/>
      <c r="E999" s="81"/>
      <c r="F999" s="7"/>
      <c r="G999" s="7"/>
      <c r="H999" s="75"/>
      <c r="I999" s="75"/>
      <c r="J999" s="61"/>
      <c r="K999" s="9"/>
      <c r="L999" s="59"/>
      <c r="M999" s="7"/>
    </row>
    <row r="1000" spans="1:13" x14ac:dyDescent="0.35">
      <c r="A1000" s="58"/>
      <c r="B1000" s="58"/>
      <c r="C1000" s="7"/>
      <c r="D1000" s="7"/>
      <c r="E1000" s="80"/>
      <c r="F1000" s="7"/>
      <c r="G1000" s="7"/>
      <c r="H1000" s="75"/>
      <c r="I1000" s="75"/>
      <c r="J1000" s="61"/>
      <c r="K1000" s="9"/>
      <c r="L1000" s="59"/>
      <c r="M1000" s="7"/>
    </row>
    <row r="1001" spans="1:13" s="106" customFormat="1" x14ac:dyDescent="0.35">
      <c r="A1001" s="58"/>
      <c r="B1001" s="58"/>
      <c r="C1001" s="7"/>
      <c r="D1001" s="7"/>
      <c r="E1001" s="80"/>
      <c r="F1001" s="7"/>
      <c r="G1001" s="7"/>
      <c r="H1001" s="75"/>
      <c r="I1001" s="75"/>
      <c r="J1001" s="61"/>
      <c r="K1001" s="9"/>
      <c r="L1001" s="59"/>
      <c r="M1001" s="7"/>
    </row>
    <row r="1002" spans="1:13" s="96" customFormat="1" x14ac:dyDescent="0.35">
      <c r="C1002" s="7"/>
      <c r="D1002" s="7"/>
      <c r="E1002" s="80"/>
      <c r="F1002" s="7"/>
      <c r="G1002" s="7"/>
      <c r="H1002" s="75"/>
      <c r="I1002" s="75"/>
      <c r="J1002" s="61"/>
      <c r="K1002" s="9"/>
      <c r="L1002" s="59"/>
      <c r="M1002" s="7"/>
    </row>
    <row r="1003" spans="1:13" x14ac:dyDescent="0.35">
      <c r="C1003" s="7"/>
      <c r="D1003" s="7"/>
      <c r="E1003" s="81"/>
      <c r="F1003" s="7"/>
      <c r="G1003" s="7"/>
      <c r="H1003" s="75"/>
      <c r="I1003" s="75"/>
      <c r="J1003" s="61"/>
      <c r="K1003" s="9"/>
      <c r="L1003" s="59"/>
      <c r="M1003" s="7"/>
    </row>
    <row r="1004" spans="1:13" s="107" customFormat="1" x14ac:dyDescent="0.35">
      <c r="C1004" s="7"/>
      <c r="D1004" s="7"/>
      <c r="E1004" s="80"/>
      <c r="F1004" s="7"/>
      <c r="G1004" s="7"/>
      <c r="H1004" s="75"/>
      <c r="I1004" s="75"/>
      <c r="J1004" s="61"/>
      <c r="K1004" s="9"/>
      <c r="L1004" s="59"/>
      <c r="M1004" s="7"/>
    </row>
    <row r="1005" spans="1:13" x14ac:dyDescent="0.35">
      <c r="C1005" s="7"/>
      <c r="D1005" s="7"/>
      <c r="E1005" s="80"/>
      <c r="F1005" s="7"/>
      <c r="G1005" s="7"/>
      <c r="H1005" s="75"/>
      <c r="I1005" s="75"/>
      <c r="J1005" s="61"/>
      <c r="K1005" s="9"/>
      <c r="L1005" s="59"/>
      <c r="M1005" s="7"/>
    </row>
    <row r="1006" spans="1:13" x14ac:dyDescent="0.35">
      <c r="C1006" s="7"/>
      <c r="D1006" s="7"/>
      <c r="E1006" s="80"/>
      <c r="F1006" s="7"/>
      <c r="G1006" s="7"/>
      <c r="H1006" s="75"/>
      <c r="I1006" s="75"/>
      <c r="J1006" s="61"/>
      <c r="K1006" s="9"/>
      <c r="L1006" s="59"/>
      <c r="M1006" s="7"/>
    </row>
    <row r="1007" spans="1:13" x14ac:dyDescent="0.35">
      <c r="C1007" s="7"/>
      <c r="D1007" s="7"/>
      <c r="E1007" s="80"/>
      <c r="F1007" s="7"/>
      <c r="G1007" s="7"/>
      <c r="H1007" s="75"/>
      <c r="I1007" s="75"/>
      <c r="J1007" s="61"/>
      <c r="K1007" s="9"/>
      <c r="L1007" s="59"/>
      <c r="M1007" s="7"/>
    </row>
    <row r="1008" spans="1:13" x14ac:dyDescent="0.35">
      <c r="C1008" s="7"/>
      <c r="D1008" s="7"/>
      <c r="E1008" s="81"/>
      <c r="F1008" s="7"/>
      <c r="G1008" s="7"/>
      <c r="H1008" s="75"/>
      <c r="I1008" s="75"/>
      <c r="J1008" s="61"/>
      <c r="K1008" s="9"/>
      <c r="L1008" s="59"/>
      <c r="M1008" s="7"/>
    </row>
    <row r="1009" spans="3:13" x14ac:dyDescent="0.35">
      <c r="C1009" s="7"/>
      <c r="D1009" s="7"/>
      <c r="E1009" s="80"/>
      <c r="F1009" s="7"/>
      <c r="G1009" s="7"/>
      <c r="H1009" s="75"/>
      <c r="I1009" s="75"/>
      <c r="J1009" s="61"/>
      <c r="K1009" s="9"/>
      <c r="L1009" s="59"/>
      <c r="M1009" s="7"/>
    </row>
    <row r="1010" spans="3:13" x14ac:dyDescent="0.35">
      <c r="C1010" s="7"/>
      <c r="D1010" s="7"/>
      <c r="E1010" s="81"/>
      <c r="F1010" s="7"/>
      <c r="G1010" s="7"/>
      <c r="H1010" s="75"/>
      <c r="I1010" s="75"/>
      <c r="J1010" s="61"/>
      <c r="K1010" s="9"/>
      <c r="L1010" s="59"/>
      <c r="M1010" s="7"/>
    </row>
    <row r="1011" spans="3:13" x14ac:dyDescent="0.35">
      <c r="C1011" s="7"/>
      <c r="D1011" s="7"/>
      <c r="E1011" s="80"/>
      <c r="F1011" s="7"/>
      <c r="G1011" s="7"/>
      <c r="H1011" s="75"/>
      <c r="I1011" s="75"/>
      <c r="J1011" s="61"/>
      <c r="K1011" s="9"/>
      <c r="L1011" s="59"/>
      <c r="M1011" s="7"/>
    </row>
    <row r="1012" spans="3:13" x14ac:dyDescent="0.35">
      <c r="C1012" s="7"/>
      <c r="D1012" s="7"/>
      <c r="E1012" s="80"/>
      <c r="F1012" s="7"/>
      <c r="G1012" s="7"/>
      <c r="H1012" s="75"/>
      <c r="I1012" s="75"/>
      <c r="J1012" s="61"/>
      <c r="K1012" s="9"/>
      <c r="L1012" s="59"/>
      <c r="M1012" s="7"/>
    </row>
    <row r="1013" spans="3:13" x14ac:dyDescent="0.35">
      <c r="C1013" s="7"/>
      <c r="D1013" s="7"/>
      <c r="E1013" s="80"/>
      <c r="F1013" s="7"/>
      <c r="G1013" s="7"/>
      <c r="H1013" s="75"/>
      <c r="I1013" s="75"/>
      <c r="J1013" s="61"/>
      <c r="K1013" s="9"/>
      <c r="L1013" s="59"/>
      <c r="M1013" s="7"/>
    </row>
    <row r="1014" spans="3:13" x14ac:dyDescent="0.35">
      <c r="C1014" s="7"/>
      <c r="D1014" s="7"/>
      <c r="E1014" s="7"/>
      <c r="F1014" s="7"/>
      <c r="G1014" s="7"/>
      <c r="H1014" s="75"/>
      <c r="I1014" s="75"/>
      <c r="J1014" s="61"/>
      <c r="K1014" s="9"/>
      <c r="L1014" s="59"/>
      <c r="M1014" s="7"/>
    </row>
    <row r="1015" spans="3:13" x14ac:dyDescent="0.35">
      <c r="C1015" s="7"/>
      <c r="D1015" s="7"/>
      <c r="E1015" s="81"/>
      <c r="F1015" s="7"/>
      <c r="G1015" s="7"/>
      <c r="H1015" s="75"/>
      <c r="I1015" s="75"/>
      <c r="J1015" s="61"/>
      <c r="K1015" s="9"/>
      <c r="L1015" s="59"/>
      <c r="M1015" s="7"/>
    </row>
    <row r="1016" spans="3:13" x14ac:dyDescent="0.35">
      <c r="C1016" s="7"/>
      <c r="D1016" s="7"/>
      <c r="E1016" s="80"/>
      <c r="F1016" s="7"/>
      <c r="G1016" s="7"/>
      <c r="H1016" s="75"/>
      <c r="I1016" s="75"/>
      <c r="J1016" s="61"/>
      <c r="K1016" s="9"/>
      <c r="L1016" s="59"/>
      <c r="M1016" s="7"/>
    </row>
    <row r="1017" spans="3:13" x14ac:dyDescent="0.35">
      <c r="C1017" s="7"/>
      <c r="D1017" s="7"/>
      <c r="E1017" s="80"/>
      <c r="F1017" s="7"/>
      <c r="G1017" s="7"/>
      <c r="H1017" s="75"/>
      <c r="I1017" s="75"/>
      <c r="J1017" s="61"/>
      <c r="K1017" s="9"/>
      <c r="L1017" s="59"/>
      <c r="M1017" s="7"/>
    </row>
    <row r="1018" spans="3:13" x14ac:dyDescent="0.35">
      <c r="C1018" s="7"/>
      <c r="D1018" s="7"/>
      <c r="E1018" s="81"/>
      <c r="F1018" s="7"/>
      <c r="G1018" s="7"/>
      <c r="H1018" s="75"/>
      <c r="I1018" s="75"/>
      <c r="J1018" s="61"/>
      <c r="K1018" s="9"/>
      <c r="L1018" s="59"/>
      <c r="M1018" s="7"/>
    </row>
    <row r="1019" spans="3:13" x14ac:dyDescent="0.35">
      <c r="C1019" s="7"/>
      <c r="D1019" s="7"/>
      <c r="E1019" s="81"/>
      <c r="F1019" s="7"/>
      <c r="G1019" s="7"/>
      <c r="H1019" s="75"/>
      <c r="I1019" s="75"/>
      <c r="J1019" s="61"/>
      <c r="K1019" s="9"/>
      <c r="L1019" s="59"/>
      <c r="M1019" s="7"/>
    </row>
    <row r="1020" spans="3:13" x14ac:dyDescent="0.35">
      <c r="C1020" s="7"/>
      <c r="D1020" s="7"/>
      <c r="E1020" s="80"/>
      <c r="F1020" s="7"/>
      <c r="G1020" s="7"/>
      <c r="H1020" s="75"/>
      <c r="I1020" s="75"/>
      <c r="J1020" s="61"/>
      <c r="K1020" s="9"/>
      <c r="L1020" s="59"/>
      <c r="M1020" s="7"/>
    </row>
    <row r="1021" spans="3:13" x14ac:dyDescent="0.35">
      <c r="C1021" s="7"/>
      <c r="D1021" s="7"/>
      <c r="E1021" s="80"/>
      <c r="F1021" s="7"/>
      <c r="G1021" s="7"/>
      <c r="H1021" s="75"/>
      <c r="I1021" s="75"/>
      <c r="J1021" s="61"/>
      <c r="K1021" s="9"/>
      <c r="L1021" s="59"/>
      <c r="M1021" s="7"/>
    </row>
    <row r="1022" spans="3:13" x14ac:dyDescent="0.35">
      <c r="C1022" s="7"/>
      <c r="D1022" s="7"/>
      <c r="E1022" s="80"/>
      <c r="F1022" s="79"/>
      <c r="G1022" s="7"/>
      <c r="H1022" s="75"/>
      <c r="I1022" s="75"/>
      <c r="J1022" s="61"/>
      <c r="K1022" s="9"/>
      <c r="L1022" s="59"/>
      <c r="M1022" s="7"/>
    </row>
    <row r="1023" spans="3:13" x14ac:dyDescent="0.35">
      <c r="C1023" s="7"/>
      <c r="D1023" s="7"/>
      <c r="E1023" s="97"/>
      <c r="F1023" s="79"/>
      <c r="G1023" s="7"/>
      <c r="H1023" s="75"/>
      <c r="I1023" s="75"/>
      <c r="J1023" s="61"/>
      <c r="K1023" s="9"/>
      <c r="L1023" s="59"/>
      <c r="M1023" s="7"/>
    </row>
    <row r="1024" spans="3:13" s="10" customFormat="1" x14ac:dyDescent="0.35">
      <c r="C1024" s="79"/>
      <c r="D1024" s="79"/>
      <c r="E1024" s="97"/>
      <c r="F1024" s="7"/>
      <c r="G1024" s="79"/>
      <c r="H1024" s="98"/>
      <c r="I1024" s="98"/>
      <c r="J1024" s="99"/>
      <c r="K1024" s="100"/>
      <c r="L1024" s="100"/>
      <c r="M1024" s="7"/>
    </row>
    <row r="1025" spans="3:13" s="10" customFormat="1" x14ac:dyDescent="0.35">
      <c r="C1025" s="79"/>
      <c r="D1025" s="79"/>
      <c r="E1025" s="80"/>
      <c r="F1025" s="7"/>
      <c r="G1025" s="79"/>
      <c r="H1025" s="98"/>
      <c r="I1025" s="98"/>
      <c r="J1025" s="99"/>
      <c r="K1025" s="100"/>
      <c r="L1025" s="100"/>
      <c r="M1025" s="7"/>
    </row>
    <row r="1026" spans="3:13" x14ac:dyDescent="0.35">
      <c r="C1026" s="7"/>
      <c r="D1026" s="7"/>
      <c r="E1026" s="80"/>
      <c r="F1026" s="7"/>
      <c r="G1026" s="7"/>
      <c r="H1026" s="75"/>
      <c r="I1026" s="75"/>
      <c r="J1026" s="61"/>
      <c r="K1026" s="9"/>
      <c r="L1026" s="59"/>
      <c r="M1026" s="7"/>
    </row>
    <row r="1027" spans="3:13" x14ac:dyDescent="0.35">
      <c r="C1027" s="7"/>
      <c r="D1027" s="7"/>
      <c r="E1027" s="81"/>
      <c r="F1027" s="7"/>
      <c r="G1027" s="7"/>
      <c r="H1027" s="75"/>
      <c r="I1027" s="75"/>
      <c r="J1027" s="61"/>
      <c r="K1027" s="9"/>
      <c r="L1027" s="59"/>
      <c r="M1027" s="7"/>
    </row>
    <row r="1028" spans="3:13" x14ac:dyDescent="0.35">
      <c r="C1028" s="7"/>
      <c r="D1028" s="7"/>
      <c r="E1028" s="80"/>
      <c r="F1028" s="7"/>
      <c r="G1028" s="7"/>
      <c r="H1028" s="75"/>
      <c r="I1028" s="75"/>
      <c r="J1028" s="61"/>
      <c r="K1028" s="9"/>
      <c r="L1028" s="59"/>
      <c r="M1028" s="7"/>
    </row>
    <row r="1029" spans="3:13" x14ac:dyDescent="0.35">
      <c r="C1029" s="7"/>
      <c r="D1029" s="7"/>
      <c r="E1029" s="81"/>
      <c r="F1029" s="7"/>
      <c r="G1029" s="7"/>
      <c r="H1029" s="75"/>
      <c r="I1029" s="75"/>
      <c r="J1029" s="61"/>
      <c r="K1029" s="9"/>
      <c r="L1029" s="59"/>
      <c r="M1029" s="7"/>
    </row>
    <row r="1030" spans="3:13" x14ac:dyDescent="0.35">
      <c r="C1030" s="7"/>
      <c r="D1030" s="7"/>
      <c r="E1030" s="80"/>
      <c r="F1030" s="7"/>
      <c r="G1030" s="7"/>
      <c r="H1030" s="75"/>
      <c r="I1030" s="75"/>
      <c r="J1030" s="61"/>
      <c r="K1030" s="9"/>
      <c r="L1030" s="59"/>
      <c r="M1030" s="7"/>
    </row>
    <row r="1031" spans="3:13" x14ac:dyDescent="0.35">
      <c r="C1031" s="7"/>
      <c r="D1031" s="7"/>
      <c r="E1031" s="80"/>
      <c r="F1031" s="7"/>
      <c r="G1031" s="7"/>
      <c r="H1031" s="75"/>
      <c r="I1031" s="75"/>
      <c r="J1031" s="61"/>
      <c r="K1031" s="9"/>
      <c r="L1031" s="59"/>
      <c r="M1031" s="7"/>
    </row>
    <row r="1032" spans="3:13" x14ac:dyDescent="0.35">
      <c r="C1032" s="7"/>
      <c r="D1032" s="7"/>
      <c r="E1032" s="80"/>
      <c r="F1032" s="7"/>
      <c r="G1032" s="7"/>
      <c r="H1032" s="75"/>
      <c r="I1032" s="75"/>
      <c r="J1032" s="61"/>
      <c r="K1032" s="9"/>
      <c r="L1032" s="59"/>
      <c r="M1032" s="7"/>
    </row>
    <row r="1033" spans="3:13" x14ac:dyDescent="0.35">
      <c r="C1033" s="7"/>
      <c r="D1033" s="7"/>
      <c r="E1033" s="80"/>
      <c r="F1033" s="7"/>
      <c r="G1033" s="7"/>
      <c r="H1033" s="75"/>
      <c r="I1033" s="75"/>
      <c r="J1033" s="61"/>
      <c r="K1033" s="9"/>
      <c r="L1033" s="59"/>
      <c r="M1033" s="7"/>
    </row>
    <row r="1034" spans="3:13" s="96" customFormat="1" x14ac:dyDescent="0.35">
      <c r="C1034" s="7"/>
      <c r="D1034" s="7"/>
      <c r="E1034" s="7"/>
      <c r="F1034" s="7"/>
      <c r="G1034" s="7"/>
      <c r="H1034" s="75"/>
      <c r="I1034" s="75"/>
      <c r="J1034" s="61"/>
      <c r="K1034" s="9"/>
      <c r="L1034" s="59"/>
      <c r="M1034" s="7"/>
    </row>
    <row r="1035" spans="3:13" x14ac:dyDescent="0.35">
      <c r="C1035" s="7"/>
      <c r="D1035" s="9"/>
      <c r="E1035" s="81"/>
      <c r="F1035" s="7"/>
      <c r="G1035" s="7"/>
      <c r="H1035" s="75"/>
      <c r="I1035" s="75"/>
      <c r="J1035" s="61"/>
      <c r="K1035" s="9"/>
      <c r="L1035" s="59"/>
      <c r="M1035" s="7"/>
    </row>
    <row r="1036" spans="3:13" s="96" customFormat="1" x14ac:dyDescent="0.35">
      <c r="C1036" s="7"/>
      <c r="D1036" s="7"/>
      <c r="E1036" s="80"/>
      <c r="F1036" s="7"/>
      <c r="G1036" s="7"/>
      <c r="H1036" s="75"/>
      <c r="I1036" s="75"/>
      <c r="J1036" s="61"/>
      <c r="K1036" s="9"/>
      <c r="L1036" s="59"/>
      <c r="M1036" s="7"/>
    </row>
    <row r="1037" spans="3:13" x14ac:dyDescent="0.35">
      <c r="C1037" s="7"/>
      <c r="D1037" s="7"/>
      <c r="E1037" s="80"/>
      <c r="F1037" s="7"/>
      <c r="G1037" s="7"/>
      <c r="H1037" s="75"/>
      <c r="I1037" s="75"/>
      <c r="J1037" s="61"/>
      <c r="K1037" s="9"/>
      <c r="L1037" s="59"/>
      <c r="M1037" s="7"/>
    </row>
    <row r="1038" spans="3:13" x14ac:dyDescent="0.35">
      <c r="C1038" s="7"/>
      <c r="D1038" s="7"/>
      <c r="E1038" s="80"/>
      <c r="F1038" s="7"/>
      <c r="G1038" s="7"/>
      <c r="H1038" s="75"/>
      <c r="I1038" s="75"/>
      <c r="J1038" s="61"/>
      <c r="K1038" s="9"/>
      <c r="L1038" s="59"/>
      <c r="M1038" s="7"/>
    </row>
    <row r="1039" spans="3:13" x14ac:dyDescent="0.35">
      <c r="C1039" s="7"/>
      <c r="D1039" s="7"/>
      <c r="E1039" s="80"/>
      <c r="F1039" s="7"/>
      <c r="G1039" s="7"/>
      <c r="H1039" s="75"/>
      <c r="I1039" s="75"/>
      <c r="J1039" s="61"/>
      <c r="K1039" s="9"/>
      <c r="L1039" s="59"/>
      <c r="M1039" s="7"/>
    </row>
    <row r="1040" spans="3:13" x14ac:dyDescent="0.35">
      <c r="C1040" s="7"/>
      <c r="D1040" s="7"/>
      <c r="E1040" s="80"/>
      <c r="F1040" s="7"/>
      <c r="G1040" s="7"/>
      <c r="H1040" s="75"/>
      <c r="I1040" s="75"/>
      <c r="J1040" s="61"/>
      <c r="K1040" s="9"/>
      <c r="L1040" s="59"/>
      <c r="M1040" s="7"/>
    </row>
    <row r="1041" spans="3:13" x14ac:dyDescent="0.35">
      <c r="C1041" s="7"/>
      <c r="D1041" s="7"/>
      <c r="E1041" s="80"/>
      <c r="F1041" s="7"/>
      <c r="G1041" s="7"/>
      <c r="H1041" s="75"/>
      <c r="I1041" s="75"/>
      <c r="J1041" s="61"/>
      <c r="K1041" s="9"/>
      <c r="L1041" s="59"/>
      <c r="M1041" s="7"/>
    </row>
    <row r="1042" spans="3:13" x14ac:dyDescent="0.35">
      <c r="C1042" s="7"/>
      <c r="D1042" s="7"/>
      <c r="E1042" s="81"/>
      <c r="F1042" s="7"/>
      <c r="G1042" s="7"/>
      <c r="H1042" s="75"/>
      <c r="I1042" s="75"/>
      <c r="J1042" s="61"/>
      <c r="K1042" s="9"/>
      <c r="L1042" s="59"/>
      <c r="M1042" s="7"/>
    </row>
    <row r="1043" spans="3:13" x14ac:dyDescent="0.35">
      <c r="C1043" s="7"/>
      <c r="D1043" s="7"/>
      <c r="E1043" s="80"/>
      <c r="F1043" s="7"/>
      <c r="G1043" s="7"/>
      <c r="H1043" s="75"/>
      <c r="I1043" s="75"/>
      <c r="J1043" s="61"/>
      <c r="K1043" s="9"/>
      <c r="L1043" s="59"/>
      <c r="M1043" s="7"/>
    </row>
    <row r="1044" spans="3:13" x14ac:dyDescent="0.35">
      <c r="C1044" s="7"/>
      <c r="D1044" s="7"/>
      <c r="E1044" s="80"/>
      <c r="F1044" s="7"/>
      <c r="G1044" s="7"/>
      <c r="H1044" s="75"/>
      <c r="I1044" s="75"/>
      <c r="J1044" s="61"/>
      <c r="K1044" s="9"/>
      <c r="L1044" s="59"/>
      <c r="M1044" s="7"/>
    </row>
    <row r="1045" spans="3:13" x14ac:dyDescent="0.35">
      <c r="C1045" s="7"/>
      <c r="D1045" s="7"/>
      <c r="E1045" s="80"/>
      <c r="F1045" s="7"/>
      <c r="G1045" s="7"/>
      <c r="H1045" s="75"/>
      <c r="I1045" s="75"/>
      <c r="J1045" s="61"/>
      <c r="K1045" s="9"/>
      <c r="L1045" s="59"/>
      <c r="M1045" s="7"/>
    </row>
    <row r="1046" spans="3:13" x14ac:dyDescent="0.35">
      <c r="C1046" s="7"/>
      <c r="D1046" s="7"/>
      <c r="E1046" s="80"/>
      <c r="F1046" s="7"/>
      <c r="G1046" s="7"/>
      <c r="H1046" s="75"/>
      <c r="I1046" s="75"/>
      <c r="J1046" s="61"/>
      <c r="K1046" s="9"/>
      <c r="L1046" s="59"/>
      <c r="M1046" s="7"/>
    </row>
    <row r="1047" spans="3:13" x14ac:dyDescent="0.35">
      <c r="C1047" s="7"/>
      <c r="D1047" s="7"/>
      <c r="E1047" s="80"/>
      <c r="F1047" s="7"/>
      <c r="G1047" s="7"/>
      <c r="H1047" s="75"/>
      <c r="I1047" s="75"/>
      <c r="J1047" s="61"/>
      <c r="K1047" s="9"/>
      <c r="L1047" s="59"/>
      <c r="M1047" s="7"/>
    </row>
    <row r="1048" spans="3:13" x14ac:dyDescent="0.35">
      <c r="C1048" s="7"/>
      <c r="D1048" s="7"/>
      <c r="E1048" s="81"/>
      <c r="F1048" s="7"/>
      <c r="G1048" s="7"/>
      <c r="H1048" s="75"/>
      <c r="I1048" s="75"/>
      <c r="J1048" s="61"/>
      <c r="K1048" s="9"/>
      <c r="L1048" s="59"/>
      <c r="M1048" s="7"/>
    </row>
    <row r="1049" spans="3:13" x14ac:dyDescent="0.35">
      <c r="C1049" s="7"/>
      <c r="D1049" s="7"/>
      <c r="E1049" s="80"/>
      <c r="F1049" s="7"/>
      <c r="G1049" s="7"/>
      <c r="H1049" s="75"/>
      <c r="I1049" s="75"/>
      <c r="J1049" s="61"/>
      <c r="K1049" s="9"/>
      <c r="L1049" s="59"/>
      <c r="M1049" s="7"/>
    </row>
    <row r="1050" spans="3:13" x14ac:dyDescent="0.35">
      <c r="C1050" s="7"/>
      <c r="D1050" s="7"/>
      <c r="E1050" s="80"/>
      <c r="F1050" s="7"/>
      <c r="G1050" s="7"/>
      <c r="H1050" s="75"/>
      <c r="I1050" s="75"/>
      <c r="J1050" s="61"/>
      <c r="K1050" s="9"/>
      <c r="L1050" s="59"/>
      <c r="M1050" s="7"/>
    </row>
    <row r="1051" spans="3:13" x14ac:dyDescent="0.35">
      <c r="C1051" s="7"/>
      <c r="D1051" s="7"/>
      <c r="E1051" s="80"/>
      <c r="F1051" s="7"/>
      <c r="G1051" s="7"/>
      <c r="H1051" s="75"/>
      <c r="I1051" s="75"/>
      <c r="J1051" s="61"/>
      <c r="K1051" s="9"/>
      <c r="L1051" s="59"/>
      <c r="M1051" s="7"/>
    </row>
    <row r="1052" spans="3:13" x14ac:dyDescent="0.35">
      <c r="C1052" s="7"/>
      <c r="D1052" s="7"/>
      <c r="E1052" s="80"/>
      <c r="F1052" s="7"/>
      <c r="G1052" s="7"/>
      <c r="H1052" s="75"/>
      <c r="I1052" s="75"/>
      <c r="J1052" s="61"/>
      <c r="K1052" s="9"/>
      <c r="L1052" s="59"/>
      <c r="M1052" s="7"/>
    </row>
    <row r="1053" spans="3:13" x14ac:dyDescent="0.35">
      <c r="C1053" s="7"/>
      <c r="D1053" s="7"/>
      <c r="E1053" s="80"/>
      <c r="F1053" s="7"/>
      <c r="G1053" s="7"/>
      <c r="H1053" s="75"/>
      <c r="I1053" s="75"/>
      <c r="J1053" s="61"/>
      <c r="K1053" s="9"/>
      <c r="L1053" s="59"/>
      <c r="M1053" s="7"/>
    </row>
    <row r="1054" spans="3:13" x14ac:dyDescent="0.35">
      <c r="C1054" s="7"/>
      <c r="D1054" s="7"/>
      <c r="E1054" s="80"/>
      <c r="F1054" s="7"/>
      <c r="G1054" s="7"/>
      <c r="H1054" s="75"/>
      <c r="I1054" s="75"/>
      <c r="J1054" s="61"/>
      <c r="K1054" s="9"/>
      <c r="L1054" s="59"/>
      <c r="M1054" s="7"/>
    </row>
    <row r="1055" spans="3:13" x14ac:dyDescent="0.35">
      <c r="C1055" s="7"/>
      <c r="D1055" s="7"/>
      <c r="E1055" s="80"/>
      <c r="F1055" s="7"/>
      <c r="G1055" s="7"/>
      <c r="H1055" s="75"/>
      <c r="I1055" s="75"/>
      <c r="J1055" s="61"/>
      <c r="K1055" s="9"/>
      <c r="L1055" s="59"/>
      <c r="M1055" s="7"/>
    </row>
    <row r="1056" spans="3:13" x14ac:dyDescent="0.35">
      <c r="C1056" s="7"/>
      <c r="D1056" s="7"/>
      <c r="E1056" s="80"/>
      <c r="F1056" s="7"/>
      <c r="G1056" s="7"/>
      <c r="H1056" s="75"/>
      <c r="I1056" s="75"/>
      <c r="J1056" s="61"/>
      <c r="K1056" s="9"/>
      <c r="L1056" s="59"/>
      <c r="M1056" s="7"/>
    </row>
    <row r="1057" spans="3:13" x14ac:dyDescent="0.35">
      <c r="C1057" s="7"/>
      <c r="D1057" s="7"/>
      <c r="E1057" s="80"/>
      <c r="F1057" s="7"/>
      <c r="G1057" s="7"/>
      <c r="H1057" s="75"/>
      <c r="I1057" s="75"/>
      <c r="J1057" s="61"/>
      <c r="K1057" s="9"/>
      <c r="L1057" s="59"/>
      <c r="M1057" s="7"/>
    </row>
    <row r="1058" spans="3:13" x14ac:dyDescent="0.35">
      <c r="C1058" s="7"/>
      <c r="D1058" s="7"/>
      <c r="E1058" s="81"/>
      <c r="F1058" s="7"/>
      <c r="G1058" s="7"/>
      <c r="H1058" s="75"/>
      <c r="I1058" s="75"/>
      <c r="J1058" s="61"/>
      <c r="K1058" s="9"/>
      <c r="L1058" s="59"/>
      <c r="M1058" s="7"/>
    </row>
    <row r="1059" spans="3:13" x14ac:dyDescent="0.35">
      <c r="C1059" s="7"/>
      <c r="D1059" s="7"/>
      <c r="E1059" s="81"/>
      <c r="F1059" s="58"/>
      <c r="G1059" s="7"/>
      <c r="H1059" s="75"/>
      <c r="I1059" s="75"/>
      <c r="J1059" s="61"/>
      <c r="K1059" s="9"/>
      <c r="L1059" s="59"/>
      <c r="M1059" s="7"/>
    </row>
    <row r="1060" spans="3:13" x14ac:dyDescent="0.35">
      <c r="C1060" s="7"/>
      <c r="D1060" s="7"/>
      <c r="E1060" s="81"/>
      <c r="F1060" s="7"/>
      <c r="G1060" s="7"/>
      <c r="H1060" s="75"/>
      <c r="I1060" s="75"/>
      <c r="J1060" s="61"/>
      <c r="K1060" s="9"/>
      <c r="L1060" s="59"/>
      <c r="M1060" s="7"/>
    </row>
    <row r="1061" spans="3:13" s="11" customFormat="1" x14ac:dyDescent="0.35">
      <c r="C1061" s="58"/>
      <c r="D1061" s="58"/>
      <c r="E1061" s="81"/>
      <c r="F1061" s="7"/>
      <c r="G1061" s="58"/>
      <c r="H1061" s="78"/>
      <c r="I1061" s="78"/>
      <c r="J1061" s="61"/>
      <c r="K1061" s="59"/>
      <c r="L1061" s="59"/>
      <c r="M1061" s="58"/>
    </row>
    <row r="1062" spans="3:13" x14ac:dyDescent="0.35">
      <c r="C1062" s="7"/>
      <c r="D1062" s="7"/>
      <c r="E1062" s="81"/>
      <c r="F1062" s="7"/>
      <c r="G1062" s="7"/>
      <c r="H1062" s="75"/>
      <c r="I1062" s="75"/>
      <c r="J1062" s="61"/>
      <c r="K1062" s="9"/>
      <c r="L1062" s="59"/>
      <c r="M1062" s="7"/>
    </row>
    <row r="1063" spans="3:13" x14ac:dyDescent="0.35">
      <c r="C1063" s="7"/>
      <c r="D1063" s="7"/>
      <c r="E1063" s="80"/>
      <c r="F1063" s="7"/>
      <c r="G1063" s="7"/>
      <c r="H1063" s="75"/>
      <c r="I1063" s="75"/>
      <c r="J1063" s="61"/>
      <c r="K1063" s="9"/>
      <c r="L1063" s="59"/>
      <c r="M1063" s="7"/>
    </row>
    <row r="1064" spans="3:13" x14ac:dyDescent="0.35">
      <c r="C1064" s="7"/>
      <c r="D1064" s="7"/>
      <c r="E1064" s="80"/>
      <c r="F1064" s="7"/>
      <c r="G1064" s="7"/>
      <c r="H1064" s="75"/>
      <c r="I1064" s="75"/>
      <c r="J1064" s="61"/>
      <c r="K1064" s="9"/>
      <c r="L1064" s="59"/>
      <c r="M1064" s="7"/>
    </row>
    <row r="1065" spans="3:13" x14ac:dyDescent="0.35">
      <c r="C1065" s="7"/>
      <c r="D1065" s="7"/>
      <c r="E1065" s="80"/>
      <c r="F1065" s="7"/>
      <c r="G1065" s="7"/>
      <c r="H1065" s="75"/>
      <c r="I1065" s="75"/>
      <c r="J1065" s="61"/>
      <c r="K1065" s="9"/>
      <c r="L1065" s="59"/>
      <c r="M1065" s="7"/>
    </row>
    <row r="1066" spans="3:13" x14ac:dyDescent="0.35">
      <c r="C1066" s="7"/>
      <c r="D1066" s="7"/>
      <c r="E1066" s="80"/>
      <c r="F1066" s="7"/>
      <c r="G1066" s="7"/>
      <c r="H1066" s="75"/>
      <c r="I1066" s="75"/>
      <c r="J1066" s="61"/>
      <c r="K1066" s="9"/>
      <c r="L1066" s="59"/>
      <c r="M1066" s="7"/>
    </row>
    <row r="1067" spans="3:13" x14ac:dyDescent="0.35">
      <c r="C1067" s="7"/>
      <c r="D1067" s="7"/>
      <c r="E1067" s="80"/>
      <c r="F1067" s="7"/>
      <c r="G1067" s="7"/>
      <c r="H1067" s="75"/>
      <c r="I1067" s="75"/>
      <c r="J1067" s="61"/>
      <c r="K1067" s="9"/>
      <c r="L1067" s="59"/>
      <c r="M1067" s="7"/>
    </row>
    <row r="1068" spans="3:13" x14ac:dyDescent="0.35">
      <c r="C1068" s="7"/>
      <c r="D1068" s="7"/>
      <c r="E1068" s="80"/>
      <c r="F1068" s="7"/>
      <c r="G1068" s="7"/>
      <c r="H1068" s="75"/>
      <c r="I1068" s="75"/>
      <c r="J1068" s="61"/>
      <c r="K1068" s="9"/>
      <c r="L1068" s="59"/>
      <c r="M1068" s="7"/>
    </row>
    <row r="1069" spans="3:13" x14ac:dyDescent="0.35">
      <c r="C1069" s="7"/>
      <c r="D1069" s="7"/>
      <c r="E1069" s="80"/>
      <c r="F1069" s="7"/>
      <c r="G1069" s="7"/>
      <c r="H1069" s="75"/>
      <c r="I1069" s="75"/>
      <c r="J1069" s="61"/>
      <c r="K1069" s="9"/>
      <c r="L1069" s="59"/>
      <c r="M1069" s="7"/>
    </row>
    <row r="1070" spans="3:13" x14ac:dyDescent="0.35">
      <c r="C1070" s="7"/>
      <c r="D1070" s="7"/>
      <c r="E1070" s="81"/>
      <c r="F1070" s="7"/>
      <c r="G1070" s="7"/>
      <c r="H1070" s="75"/>
      <c r="I1070" s="75"/>
      <c r="J1070" s="61"/>
      <c r="K1070" s="9"/>
      <c r="L1070" s="59"/>
      <c r="M1070" s="7"/>
    </row>
    <row r="1071" spans="3:13" x14ac:dyDescent="0.35">
      <c r="C1071" s="7"/>
      <c r="D1071" s="7"/>
      <c r="E1071" s="81"/>
      <c r="F1071" s="7"/>
      <c r="G1071" s="7"/>
      <c r="H1071" s="75"/>
      <c r="I1071" s="75"/>
      <c r="J1071" s="61"/>
      <c r="K1071" s="9"/>
      <c r="L1071" s="59"/>
      <c r="M1071" s="7"/>
    </row>
    <row r="1072" spans="3:13" x14ac:dyDescent="0.35">
      <c r="C1072" s="7"/>
      <c r="D1072" s="7"/>
      <c r="E1072" s="80"/>
      <c r="F1072" s="7"/>
      <c r="G1072" s="7"/>
      <c r="H1072" s="75"/>
      <c r="I1072" s="75"/>
      <c r="J1072" s="61"/>
      <c r="K1072" s="9"/>
      <c r="L1072" s="59"/>
      <c r="M1072" s="7"/>
    </row>
    <row r="1073" spans="3:13" x14ac:dyDescent="0.35">
      <c r="C1073" s="7"/>
      <c r="D1073" s="7"/>
      <c r="E1073" s="80"/>
      <c r="F1073" s="7"/>
      <c r="G1073" s="7"/>
      <c r="H1073" s="75"/>
      <c r="I1073" s="75"/>
      <c r="J1073" s="61"/>
      <c r="K1073" s="9"/>
      <c r="L1073" s="59"/>
      <c r="M1073" s="7"/>
    </row>
    <row r="1074" spans="3:13" x14ac:dyDescent="0.35">
      <c r="C1074" s="7"/>
      <c r="D1074" s="7"/>
      <c r="E1074" s="80"/>
      <c r="F1074" s="7"/>
      <c r="G1074" s="7"/>
      <c r="H1074" s="75"/>
      <c r="I1074" s="75"/>
      <c r="J1074" s="61"/>
      <c r="K1074" s="9"/>
      <c r="L1074" s="59"/>
      <c r="M1074" s="7"/>
    </row>
    <row r="1075" spans="3:13" x14ac:dyDescent="0.35">
      <c r="C1075" s="7"/>
      <c r="D1075" s="7"/>
      <c r="E1075" s="80"/>
      <c r="F1075" s="7"/>
      <c r="G1075" s="7"/>
      <c r="H1075" s="75"/>
      <c r="I1075" s="75"/>
      <c r="J1075" s="61"/>
      <c r="K1075" s="9"/>
      <c r="L1075" s="59"/>
      <c r="M1075" s="7"/>
    </row>
    <row r="1076" spans="3:13" x14ac:dyDescent="0.35">
      <c r="C1076" s="7"/>
      <c r="D1076" s="7"/>
      <c r="E1076" s="81"/>
      <c r="F1076" s="7"/>
      <c r="G1076" s="7"/>
      <c r="H1076" s="75"/>
      <c r="I1076" s="75"/>
      <c r="J1076" s="61"/>
      <c r="K1076" s="9"/>
      <c r="L1076" s="59"/>
      <c r="M1076" s="7"/>
    </row>
    <row r="1077" spans="3:13" x14ac:dyDescent="0.35">
      <c r="C1077" s="7"/>
      <c r="D1077" s="7"/>
      <c r="E1077" s="80"/>
      <c r="F1077" s="7"/>
      <c r="G1077" s="7"/>
      <c r="H1077" s="75"/>
      <c r="I1077" s="75"/>
      <c r="J1077" s="61"/>
      <c r="K1077" s="9"/>
      <c r="L1077" s="59"/>
      <c r="M1077" s="7"/>
    </row>
    <row r="1078" spans="3:13" x14ac:dyDescent="0.35">
      <c r="C1078" s="7"/>
      <c r="D1078" s="7"/>
      <c r="E1078" s="80"/>
      <c r="F1078" s="7"/>
      <c r="G1078" s="7"/>
      <c r="H1078" s="75"/>
      <c r="I1078" s="75"/>
      <c r="J1078" s="61"/>
      <c r="K1078" s="9"/>
      <c r="L1078" s="59"/>
      <c r="M1078" s="7"/>
    </row>
    <row r="1079" spans="3:13" x14ac:dyDescent="0.35">
      <c r="C1079" s="7"/>
      <c r="D1079" s="7"/>
      <c r="E1079" s="80"/>
      <c r="F1079" s="7"/>
      <c r="G1079" s="7"/>
      <c r="H1079" s="75"/>
      <c r="I1079" s="75"/>
      <c r="J1079" s="61"/>
      <c r="K1079" s="9"/>
      <c r="L1079" s="59"/>
      <c r="M1079" s="7"/>
    </row>
    <row r="1080" spans="3:13" x14ac:dyDescent="0.35">
      <c r="C1080" s="7"/>
      <c r="D1080" s="7"/>
      <c r="E1080" s="80"/>
      <c r="F1080" s="7"/>
      <c r="G1080" s="7"/>
      <c r="H1080" s="75"/>
      <c r="I1080" s="75"/>
      <c r="J1080" s="61"/>
      <c r="K1080" s="9"/>
      <c r="L1080" s="59"/>
      <c r="M1080" s="7"/>
    </row>
    <row r="1081" spans="3:13" x14ac:dyDescent="0.35">
      <c r="C1081" s="7"/>
      <c r="D1081" s="7"/>
      <c r="E1081" s="80"/>
      <c r="F1081" s="7"/>
      <c r="G1081" s="7"/>
      <c r="H1081" s="75"/>
      <c r="I1081" s="75"/>
      <c r="J1081" s="61"/>
      <c r="K1081" s="9"/>
      <c r="L1081" s="59"/>
      <c r="M1081" s="7"/>
    </row>
    <row r="1082" spans="3:13" x14ac:dyDescent="0.35">
      <c r="C1082" s="7"/>
      <c r="D1082" s="7"/>
      <c r="E1082" s="80"/>
      <c r="F1082" s="7"/>
      <c r="G1082" s="7"/>
      <c r="H1082" s="75"/>
      <c r="I1082" s="75"/>
      <c r="J1082" s="61"/>
      <c r="K1082" s="9"/>
      <c r="L1082" s="59"/>
      <c r="M1082" s="7"/>
    </row>
    <row r="1083" spans="3:13" x14ac:dyDescent="0.35">
      <c r="C1083" s="7"/>
      <c r="D1083" s="7"/>
      <c r="E1083" s="80"/>
      <c r="F1083" s="7"/>
      <c r="G1083" s="7"/>
      <c r="H1083" s="75"/>
      <c r="I1083" s="75"/>
      <c r="J1083" s="61"/>
      <c r="K1083" s="9"/>
      <c r="L1083" s="59"/>
      <c r="M1083" s="7"/>
    </row>
    <row r="1084" spans="3:13" x14ac:dyDescent="0.35">
      <c r="C1084" s="7"/>
      <c r="D1084" s="7"/>
      <c r="E1084" s="80"/>
      <c r="F1084" s="7"/>
      <c r="G1084" s="7"/>
      <c r="H1084" s="75"/>
      <c r="I1084" s="75"/>
      <c r="J1084" s="61"/>
      <c r="K1084" s="9"/>
      <c r="L1084" s="59"/>
      <c r="M1084" s="7"/>
    </row>
    <row r="1085" spans="3:13" x14ac:dyDescent="0.35">
      <c r="C1085" s="7"/>
      <c r="D1085" s="7"/>
      <c r="E1085" s="80"/>
      <c r="F1085" s="7"/>
      <c r="G1085" s="7"/>
      <c r="H1085" s="75"/>
      <c r="I1085" s="75"/>
      <c r="J1085" s="61"/>
      <c r="K1085" s="9"/>
      <c r="L1085" s="59"/>
      <c r="M1085" s="7"/>
    </row>
    <row r="1086" spans="3:13" x14ac:dyDescent="0.35">
      <c r="C1086" s="7"/>
      <c r="D1086" s="7"/>
      <c r="E1086" s="80"/>
      <c r="F1086" s="7"/>
      <c r="G1086" s="7"/>
      <c r="H1086" s="75"/>
      <c r="I1086" s="75"/>
      <c r="J1086" s="61"/>
      <c r="K1086" s="9"/>
      <c r="L1086" s="59"/>
      <c r="M1086" s="7"/>
    </row>
    <row r="1087" spans="3:13" x14ac:dyDescent="0.35">
      <c r="C1087" s="7"/>
      <c r="D1087" s="7"/>
      <c r="E1087" s="7"/>
      <c r="F1087" s="7"/>
      <c r="G1087" s="7"/>
      <c r="H1087" s="75"/>
      <c r="I1087" s="75"/>
      <c r="J1087" s="61"/>
      <c r="K1087" s="9"/>
      <c r="L1087" s="59"/>
      <c r="M1087" s="7"/>
    </row>
    <row r="1088" spans="3:13" x14ac:dyDescent="0.35">
      <c r="C1088" s="7"/>
      <c r="D1088" s="7"/>
      <c r="E1088" s="80"/>
      <c r="F1088" s="7"/>
      <c r="G1088" s="7"/>
      <c r="H1088" s="75"/>
      <c r="I1088" s="75"/>
      <c r="J1088" s="61"/>
      <c r="K1088" s="9"/>
      <c r="L1088" s="59"/>
      <c r="M1088" s="7"/>
    </row>
    <row r="1089" spans="3:13" x14ac:dyDescent="0.35">
      <c r="C1089" s="7"/>
      <c r="D1089" s="7"/>
      <c r="E1089" s="80"/>
      <c r="F1089" s="7"/>
      <c r="G1089" s="7"/>
      <c r="H1089" s="75"/>
      <c r="I1089" s="75"/>
      <c r="J1089" s="61"/>
      <c r="K1089" s="9"/>
      <c r="L1089" s="59"/>
      <c r="M1089" s="7"/>
    </row>
    <row r="1090" spans="3:13" x14ac:dyDescent="0.35">
      <c r="C1090" s="7"/>
      <c r="D1090" s="7"/>
      <c r="E1090" s="80"/>
      <c r="F1090" s="7"/>
      <c r="G1090" s="7"/>
      <c r="H1090" s="75"/>
      <c r="I1090" s="75"/>
      <c r="J1090" s="61"/>
      <c r="K1090" s="9"/>
      <c r="L1090" s="59"/>
      <c r="M1090" s="7"/>
    </row>
    <row r="1091" spans="3:13" x14ac:dyDescent="0.35">
      <c r="C1091" s="7"/>
      <c r="D1091" s="7"/>
      <c r="E1091" s="80"/>
      <c r="F1091" s="7"/>
      <c r="G1091" s="7"/>
      <c r="H1091" s="75"/>
      <c r="I1091" s="75"/>
      <c r="J1091" s="61"/>
      <c r="K1091" s="9"/>
      <c r="L1091" s="59"/>
      <c r="M1091" s="7"/>
    </row>
    <row r="1092" spans="3:13" x14ac:dyDescent="0.35">
      <c r="C1092" s="7"/>
      <c r="D1092" s="7"/>
      <c r="E1092" s="80"/>
      <c r="F1092" s="7"/>
      <c r="G1092" s="7"/>
      <c r="H1092" s="75"/>
      <c r="I1092" s="75"/>
      <c r="J1092" s="61"/>
      <c r="K1092" s="9"/>
      <c r="L1092" s="59"/>
      <c r="M1092" s="7"/>
    </row>
    <row r="1093" spans="3:13" x14ac:dyDescent="0.35">
      <c r="C1093" s="7"/>
      <c r="D1093" s="7"/>
      <c r="E1093" s="80"/>
      <c r="F1093" s="7"/>
      <c r="G1093" s="7"/>
      <c r="H1093" s="75"/>
      <c r="I1093" s="75"/>
      <c r="J1093" s="61"/>
      <c r="K1093" s="9"/>
      <c r="L1093" s="59"/>
      <c r="M1093" s="7"/>
    </row>
    <row r="1094" spans="3:13" s="96" customFormat="1" x14ac:dyDescent="0.35">
      <c r="C1094" s="7"/>
      <c r="D1094" s="7"/>
      <c r="E1094" s="81"/>
      <c r="F1094" s="7"/>
      <c r="G1094" s="7"/>
      <c r="H1094" s="75"/>
      <c r="I1094" s="75"/>
      <c r="J1094" s="61"/>
      <c r="K1094" s="9"/>
      <c r="L1094" s="59"/>
      <c r="M1094" s="7"/>
    </row>
    <row r="1095" spans="3:13" x14ac:dyDescent="0.35">
      <c r="C1095" s="7"/>
      <c r="D1095" s="7"/>
      <c r="E1095" s="80"/>
      <c r="F1095" s="7"/>
      <c r="G1095" s="7"/>
      <c r="H1095" s="75"/>
      <c r="I1095" s="75"/>
      <c r="J1095" s="61"/>
      <c r="K1095" s="9"/>
      <c r="L1095" s="59"/>
      <c r="M1095" s="7"/>
    </row>
    <row r="1096" spans="3:13" x14ac:dyDescent="0.35">
      <c r="C1096" s="7"/>
      <c r="D1096" s="7"/>
      <c r="E1096" s="80"/>
      <c r="F1096" s="7"/>
      <c r="G1096" s="7"/>
      <c r="H1096" s="75"/>
      <c r="I1096" s="75"/>
      <c r="J1096" s="61"/>
      <c r="K1096" s="9"/>
      <c r="L1096" s="59"/>
      <c r="M1096" s="7"/>
    </row>
    <row r="1097" spans="3:13" x14ac:dyDescent="0.35">
      <c r="C1097" s="7"/>
      <c r="D1097" s="7"/>
      <c r="E1097" s="80"/>
      <c r="F1097" s="7"/>
      <c r="G1097" s="7"/>
      <c r="H1097" s="75"/>
      <c r="I1097" s="75"/>
      <c r="J1097" s="61"/>
      <c r="K1097" s="9"/>
      <c r="L1097" s="59"/>
      <c r="M1097" s="7"/>
    </row>
    <row r="1098" spans="3:13" x14ac:dyDescent="0.35">
      <c r="C1098" s="7"/>
      <c r="D1098" s="7"/>
      <c r="E1098" s="80"/>
      <c r="F1098" s="7"/>
      <c r="G1098" s="7"/>
      <c r="H1098" s="75"/>
      <c r="I1098" s="75"/>
      <c r="J1098" s="61"/>
      <c r="K1098" s="9"/>
      <c r="L1098" s="59"/>
      <c r="M1098" s="7"/>
    </row>
    <row r="1099" spans="3:13" x14ac:dyDescent="0.35">
      <c r="C1099" s="7"/>
      <c r="D1099" s="7"/>
      <c r="E1099" s="80"/>
      <c r="F1099" s="7"/>
      <c r="G1099" s="7"/>
      <c r="H1099" s="75"/>
      <c r="I1099" s="75"/>
      <c r="J1099" s="61"/>
      <c r="K1099" s="9"/>
      <c r="L1099" s="59"/>
      <c r="M1099" s="7"/>
    </row>
    <row r="1100" spans="3:13" x14ac:dyDescent="0.35">
      <c r="C1100" s="7"/>
      <c r="D1100" s="7"/>
      <c r="E1100" s="80"/>
      <c r="F1100" s="7"/>
      <c r="G1100" s="7"/>
      <c r="H1100" s="75"/>
      <c r="I1100" s="75"/>
      <c r="J1100" s="61"/>
      <c r="K1100" s="9"/>
      <c r="L1100" s="59"/>
      <c r="M1100" s="7"/>
    </row>
    <row r="1101" spans="3:13" x14ac:dyDescent="0.35">
      <c r="C1101" s="7"/>
      <c r="D1101" s="7"/>
      <c r="E1101" s="80"/>
      <c r="F1101" s="7"/>
      <c r="G1101" s="7"/>
      <c r="H1101" s="75"/>
      <c r="I1101" s="75"/>
      <c r="J1101" s="61"/>
      <c r="K1101" s="9"/>
      <c r="L1101" s="59"/>
      <c r="M1101" s="7"/>
    </row>
    <row r="1102" spans="3:13" x14ac:dyDescent="0.35">
      <c r="C1102" s="7"/>
      <c r="D1102" s="7"/>
      <c r="E1102" s="80"/>
      <c r="F1102" s="7"/>
      <c r="G1102" s="7"/>
      <c r="H1102" s="75"/>
      <c r="I1102" s="75"/>
      <c r="J1102" s="61"/>
      <c r="K1102" s="9"/>
      <c r="L1102" s="59"/>
      <c r="M1102" s="7"/>
    </row>
    <row r="1103" spans="3:13" x14ac:dyDescent="0.35">
      <c r="C1103" s="7"/>
      <c r="D1103" s="7"/>
      <c r="E1103" s="80"/>
      <c r="F1103" s="7"/>
      <c r="G1103" s="7"/>
      <c r="H1103" s="75"/>
      <c r="I1103" s="75"/>
      <c r="J1103" s="61"/>
      <c r="K1103" s="9"/>
      <c r="L1103" s="59"/>
      <c r="M1103" s="7"/>
    </row>
    <row r="1104" spans="3:13" x14ac:dyDescent="0.35">
      <c r="C1104" s="7"/>
      <c r="D1104" s="7"/>
      <c r="E1104" s="80"/>
      <c r="F1104" s="7"/>
      <c r="G1104" s="7"/>
      <c r="H1104" s="75"/>
      <c r="I1104" s="75"/>
      <c r="J1104" s="61"/>
      <c r="K1104" s="9"/>
      <c r="L1104" s="59"/>
      <c r="M1104" s="7"/>
    </row>
    <row r="1105" spans="3:13" x14ac:dyDescent="0.35">
      <c r="C1105" s="7"/>
      <c r="D1105" s="7"/>
      <c r="E1105" s="80"/>
      <c r="F1105" s="7"/>
      <c r="G1105" s="7"/>
      <c r="H1105" s="75"/>
      <c r="I1105" s="75"/>
      <c r="J1105" s="61"/>
      <c r="K1105" s="9"/>
      <c r="L1105" s="59"/>
      <c r="M1105" s="7"/>
    </row>
    <row r="1106" spans="3:13" x14ac:dyDescent="0.35">
      <c r="C1106" s="7"/>
      <c r="D1106" s="7"/>
      <c r="E1106" s="80"/>
      <c r="F1106" s="7"/>
      <c r="G1106" s="7"/>
      <c r="H1106" s="75"/>
      <c r="I1106" s="75"/>
      <c r="J1106" s="61"/>
      <c r="K1106" s="9"/>
      <c r="L1106" s="59"/>
      <c r="M1106" s="7"/>
    </row>
    <row r="1107" spans="3:13" x14ac:dyDescent="0.35">
      <c r="C1107" s="7"/>
      <c r="D1107" s="7"/>
      <c r="E1107" s="80"/>
      <c r="F1107" s="7"/>
      <c r="G1107" s="7"/>
      <c r="H1107" s="75"/>
      <c r="I1107" s="75"/>
      <c r="J1107" s="61"/>
      <c r="K1107" s="9"/>
      <c r="L1107" s="59"/>
      <c r="M1107" s="7"/>
    </row>
    <row r="1108" spans="3:13" x14ac:dyDescent="0.35">
      <c r="C1108" s="7"/>
      <c r="D1108" s="7"/>
      <c r="E1108" s="80"/>
      <c r="F1108" s="7"/>
      <c r="G1108" s="7"/>
      <c r="H1108" s="75"/>
      <c r="I1108" s="75"/>
      <c r="J1108" s="61"/>
      <c r="K1108" s="9"/>
      <c r="L1108" s="59"/>
      <c r="M1108" s="7"/>
    </row>
    <row r="1109" spans="3:13" x14ac:dyDescent="0.35">
      <c r="C1109" s="7"/>
      <c r="D1109" s="7"/>
      <c r="E1109" s="80"/>
      <c r="F1109" s="7"/>
      <c r="G1109" s="7"/>
      <c r="H1109" s="75"/>
      <c r="I1109" s="75"/>
      <c r="J1109" s="61"/>
      <c r="K1109" s="9"/>
      <c r="L1109" s="59"/>
      <c r="M1109" s="7"/>
    </row>
    <row r="1110" spans="3:13" x14ac:dyDescent="0.35">
      <c r="C1110" s="7"/>
      <c r="D1110" s="7"/>
      <c r="E1110" s="80"/>
      <c r="F1110" s="7"/>
      <c r="G1110" s="7"/>
      <c r="H1110" s="75"/>
      <c r="I1110" s="75"/>
      <c r="J1110" s="61"/>
      <c r="K1110" s="9"/>
      <c r="L1110" s="59"/>
      <c r="M1110" s="7"/>
    </row>
    <row r="1111" spans="3:13" x14ac:dyDescent="0.35">
      <c r="C1111" s="7"/>
      <c r="D1111" s="7"/>
      <c r="E1111" s="80"/>
      <c r="F1111" s="7"/>
      <c r="G1111" s="7"/>
      <c r="H1111" s="75"/>
      <c r="I1111" s="75"/>
      <c r="J1111" s="61"/>
      <c r="K1111" s="9"/>
      <c r="L1111" s="59"/>
      <c r="M1111" s="7"/>
    </row>
    <row r="1112" spans="3:13" x14ac:dyDescent="0.35">
      <c r="C1112" s="7"/>
      <c r="D1112" s="7"/>
      <c r="E1112" s="81"/>
      <c r="F1112" s="7"/>
      <c r="G1112" s="7"/>
      <c r="H1112" s="75"/>
      <c r="I1112" s="75"/>
      <c r="J1112" s="61"/>
      <c r="K1112" s="9"/>
      <c r="L1112" s="59"/>
      <c r="M1112" s="7"/>
    </row>
    <row r="1113" spans="3:13" x14ac:dyDescent="0.35">
      <c r="C1113" s="7"/>
      <c r="D1113" s="7"/>
      <c r="E1113" s="81"/>
      <c r="F1113" s="7"/>
      <c r="G1113" s="7"/>
      <c r="H1113" s="75"/>
      <c r="I1113" s="75"/>
      <c r="J1113" s="61"/>
      <c r="K1113" s="9"/>
      <c r="L1113" s="59"/>
      <c r="M1113" s="7"/>
    </row>
    <row r="1114" spans="3:13" x14ac:dyDescent="0.35">
      <c r="C1114" s="7"/>
      <c r="D1114" s="7"/>
      <c r="E1114" s="81"/>
      <c r="F1114" s="7"/>
      <c r="G1114" s="7"/>
      <c r="H1114" s="75"/>
      <c r="I1114" s="75"/>
      <c r="J1114" s="61"/>
      <c r="K1114" s="9"/>
      <c r="L1114" s="59"/>
      <c r="M1114" s="7"/>
    </row>
    <row r="1115" spans="3:13" x14ac:dyDescent="0.35">
      <c r="C1115" s="7"/>
      <c r="D1115" s="7"/>
      <c r="E1115" s="80"/>
      <c r="F1115" s="7"/>
      <c r="G1115" s="7"/>
      <c r="H1115" s="75"/>
      <c r="I1115" s="75"/>
      <c r="J1115" s="61"/>
      <c r="K1115" s="9"/>
      <c r="L1115" s="59"/>
      <c r="M1115" s="7"/>
    </row>
    <row r="1116" spans="3:13" x14ac:dyDescent="0.35">
      <c r="C1116" s="7"/>
      <c r="D1116" s="7"/>
      <c r="E1116" s="80"/>
      <c r="F1116" s="58"/>
      <c r="G1116" s="7"/>
      <c r="H1116" s="75"/>
      <c r="I1116" s="75"/>
      <c r="J1116" s="61"/>
      <c r="K1116" s="9"/>
      <c r="L1116" s="59"/>
      <c r="M1116" s="7"/>
    </row>
    <row r="1117" spans="3:13" x14ac:dyDescent="0.35">
      <c r="C1117" s="7"/>
      <c r="D1117" s="7"/>
      <c r="E1117" s="81"/>
      <c r="F1117" s="7"/>
      <c r="G1117" s="7"/>
      <c r="H1117" s="75"/>
      <c r="I1117" s="75"/>
      <c r="J1117" s="61"/>
      <c r="K1117" s="9"/>
      <c r="L1117" s="59"/>
      <c r="M1117" s="7"/>
    </row>
    <row r="1118" spans="3:13" s="11" customFormat="1" x14ac:dyDescent="0.35">
      <c r="C1118" s="58"/>
      <c r="D1118" s="58"/>
      <c r="E1118" s="80"/>
      <c r="F1118" s="7"/>
      <c r="G1118" s="58"/>
      <c r="H1118" s="78"/>
      <c r="I1118" s="78"/>
      <c r="J1118" s="61"/>
      <c r="K1118" s="59"/>
      <c r="L1118" s="59"/>
      <c r="M1118" s="58"/>
    </row>
    <row r="1119" spans="3:13" x14ac:dyDescent="0.35">
      <c r="C1119" s="7"/>
      <c r="D1119" s="7"/>
      <c r="E1119" s="80"/>
      <c r="F1119" s="7"/>
      <c r="G1119" s="7"/>
      <c r="H1119" s="75"/>
      <c r="I1119" s="75"/>
      <c r="J1119" s="61"/>
      <c r="K1119" s="9"/>
      <c r="L1119" s="59"/>
      <c r="M1119" s="7"/>
    </row>
    <row r="1120" spans="3:13" x14ac:dyDescent="0.35">
      <c r="C1120" s="7"/>
      <c r="D1120" s="7"/>
      <c r="E1120" s="80"/>
      <c r="F1120" s="7"/>
      <c r="G1120" s="7"/>
      <c r="H1120" s="75"/>
      <c r="I1120" s="75"/>
      <c r="J1120" s="61"/>
      <c r="K1120" s="9"/>
      <c r="L1120" s="59"/>
      <c r="M1120" s="7"/>
    </row>
    <row r="1121" spans="3:13" x14ac:dyDescent="0.35">
      <c r="C1121" s="7"/>
      <c r="D1121" s="7"/>
      <c r="E1121" s="80"/>
      <c r="F1121" s="7"/>
      <c r="G1121" s="7"/>
      <c r="H1121" s="75"/>
      <c r="I1121" s="75"/>
      <c r="J1121" s="61"/>
      <c r="K1121" s="9"/>
      <c r="L1121" s="59"/>
      <c r="M1121" s="7"/>
    </row>
    <row r="1122" spans="3:13" x14ac:dyDescent="0.35">
      <c r="C1122" s="7"/>
      <c r="D1122" s="7"/>
      <c r="E1122" s="81"/>
      <c r="F1122" s="7"/>
      <c r="G1122" s="7"/>
      <c r="H1122" s="75"/>
      <c r="I1122" s="75"/>
      <c r="J1122" s="61"/>
      <c r="K1122" s="9"/>
      <c r="L1122" s="59"/>
      <c r="M1122" s="7"/>
    </row>
    <row r="1123" spans="3:13" x14ac:dyDescent="0.35">
      <c r="C1123" s="7"/>
      <c r="D1123" s="7"/>
      <c r="E1123" s="81"/>
      <c r="F1123" s="7"/>
      <c r="G1123" s="7"/>
      <c r="H1123" s="75"/>
      <c r="I1123" s="75"/>
      <c r="J1123" s="61"/>
      <c r="K1123" s="9"/>
      <c r="L1123" s="59"/>
      <c r="M1123" s="7"/>
    </row>
    <row r="1124" spans="3:13" x14ac:dyDescent="0.35">
      <c r="C1124" s="7"/>
      <c r="D1124" s="7"/>
      <c r="E1124" s="80"/>
      <c r="F1124" s="7"/>
      <c r="G1124" s="7"/>
      <c r="H1124" s="75"/>
      <c r="I1124" s="75"/>
      <c r="J1124" s="61"/>
      <c r="K1124" s="9"/>
      <c r="L1124" s="59"/>
      <c r="M1124" s="7"/>
    </row>
    <row r="1125" spans="3:13" x14ac:dyDescent="0.35">
      <c r="C1125" s="7"/>
      <c r="D1125" s="7"/>
      <c r="E1125" s="80"/>
      <c r="F1125" s="7"/>
      <c r="G1125" s="7"/>
      <c r="H1125" s="75"/>
      <c r="I1125" s="75"/>
      <c r="J1125" s="61"/>
      <c r="K1125" s="9"/>
      <c r="L1125" s="59"/>
      <c r="M1125" s="7"/>
    </row>
    <row r="1126" spans="3:13" x14ac:dyDescent="0.35">
      <c r="C1126" s="7"/>
      <c r="D1126" s="7"/>
      <c r="E1126" s="80"/>
      <c r="F1126" s="58"/>
      <c r="G1126" s="7"/>
      <c r="H1126" s="75"/>
      <c r="I1126" s="75"/>
      <c r="J1126" s="61"/>
      <c r="K1126" s="9"/>
      <c r="L1126" s="59"/>
      <c r="M1126" s="7"/>
    </row>
    <row r="1127" spans="3:13" x14ac:dyDescent="0.35">
      <c r="C1127" s="7"/>
      <c r="D1127" s="7"/>
      <c r="E1127" s="81"/>
      <c r="F1127" s="7"/>
      <c r="G1127" s="7"/>
      <c r="H1127" s="75"/>
      <c r="I1127" s="75"/>
      <c r="J1127" s="61"/>
      <c r="K1127" s="9"/>
      <c r="L1127" s="59"/>
      <c r="M1127" s="7"/>
    </row>
    <row r="1128" spans="3:13" s="11" customFormat="1" x14ac:dyDescent="0.35">
      <c r="C1128" s="58"/>
      <c r="D1128" s="58"/>
      <c r="E1128" s="81"/>
      <c r="F1128" s="7"/>
      <c r="G1128" s="58"/>
      <c r="H1128" s="78"/>
      <c r="I1128" s="78"/>
      <c r="J1128" s="61"/>
      <c r="K1128" s="59"/>
      <c r="L1128" s="59"/>
      <c r="M1128" s="58"/>
    </row>
    <row r="1129" spans="3:13" x14ac:dyDescent="0.35">
      <c r="C1129" s="7"/>
      <c r="D1129" s="7"/>
      <c r="E1129" s="81"/>
      <c r="F1129" s="7"/>
      <c r="G1129" s="7"/>
      <c r="H1129" s="75"/>
      <c r="I1129" s="75"/>
      <c r="J1129" s="61"/>
      <c r="K1129" s="9"/>
      <c r="L1129" s="59"/>
      <c r="M1129" s="7"/>
    </row>
    <row r="1130" spans="3:13" x14ac:dyDescent="0.35">
      <c r="C1130" s="7"/>
      <c r="D1130" s="7"/>
      <c r="E1130" s="81"/>
      <c r="F1130" s="7"/>
      <c r="G1130" s="7"/>
      <c r="H1130" s="75"/>
      <c r="I1130" s="75"/>
      <c r="J1130" s="61"/>
      <c r="K1130" s="9"/>
      <c r="L1130" s="59"/>
      <c r="M1130" s="7"/>
    </row>
    <row r="1131" spans="3:13" x14ac:dyDescent="0.35">
      <c r="C1131" s="7"/>
      <c r="D1131" s="7"/>
      <c r="E1131" s="81"/>
      <c r="F1131" s="7"/>
      <c r="G1131" s="7"/>
      <c r="H1131" s="75"/>
      <c r="I1131" s="75"/>
      <c r="J1131" s="61"/>
      <c r="K1131" s="9"/>
      <c r="L1131" s="59"/>
      <c r="M1131" s="7"/>
    </row>
    <row r="1132" spans="3:13" x14ac:dyDescent="0.35">
      <c r="C1132" s="7"/>
      <c r="D1132" s="7"/>
      <c r="E1132" s="80"/>
      <c r="F1132" s="7"/>
      <c r="G1132" s="7"/>
      <c r="H1132" s="75"/>
      <c r="I1132" s="75"/>
      <c r="J1132" s="61"/>
      <c r="K1132" s="9"/>
      <c r="L1132" s="59"/>
      <c r="M1132" s="7"/>
    </row>
    <row r="1133" spans="3:13" x14ac:dyDescent="0.35">
      <c r="C1133" s="7"/>
      <c r="D1133" s="7"/>
      <c r="E1133" s="80"/>
      <c r="F1133" s="7"/>
      <c r="G1133" s="7"/>
      <c r="H1133" s="75"/>
      <c r="I1133" s="75"/>
      <c r="J1133" s="61"/>
      <c r="K1133" s="9"/>
      <c r="L1133" s="59"/>
      <c r="M1133" s="7"/>
    </row>
    <row r="1134" spans="3:13" x14ac:dyDescent="0.35">
      <c r="C1134" s="7"/>
      <c r="D1134" s="7"/>
      <c r="E1134" s="80"/>
      <c r="F1134" s="58"/>
      <c r="G1134" s="7"/>
      <c r="H1134" s="75"/>
      <c r="I1134" s="75"/>
      <c r="J1134" s="61"/>
      <c r="K1134" s="9"/>
      <c r="L1134" s="59"/>
      <c r="M1134" s="7"/>
    </row>
    <row r="1135" spans="3:13" x14ac:dyDescent="0.35">
      <c r="C1135" s="7"/>
      <c r="D1135" s="7"/>
      <c r="E1135" s="81"/>
      <c r="F1135" s="7"/>
      <c r="G1135" s="7"/>
      <c r="H1135" s="75"/>
      <c r="I1135" s="75"/>
      <c r="J1135" s="61"/>
      <c r="K1135" s="9"/>
      <c r="L1135" s="59"/>
      <c r="M1135" s="7"/>
    </row>
    <row r="1136" spans="3:13" s="11" customFormat="1" x14ac:dyDescent="0.35">
      <c r="C1136" s="58"/>
      <c r="D1136" s="58"/>
      <c r="E1136" s="80"/>
      <c r="F1136" s="7"/>
      <c r="G1136" s="58"/>
      <c r="H1136" s="78"/>
      <c r="I1136" s="78"/>
      <c r="J1136" s="61"/>
      <c r="K1136" s="59"/>
      <c r="L1136" s="59"/>
      <c r="M1136" s="58"/>
    </row>
    <row r="1137" spans="3:13" x14ac:dyDescent="0.35">
      <c r="C1137" s="7"/>
      <c r="D1137" s="7"/>
      <c r="E1137" s="80"/>
      <c r="F1137" s="7"/>
      <c r="G1137" s="7"/>
      <c r="H1137" s="75"/>
      <c r="I1137" s="75"/>
      <c r="J1137" s="61"/>
      <c r="K1137" s="9"/>
      <c r="L1137" s="59"/>
      <c r="M1137" s="7"/>
    </row>
    <row r="1138" spans="3:13" x14ac:dyDescent="0.35">
      <c r="C1138" s="7"/>
      <c r="D1138" s="7"/>
      <c r="E1138" s="80"/>
      <c r="F1138" s="7"/>
      <c r="G1138" s="7"/>
      <c r="H1138" s="75"/>
      <c r="I1138" s="75"/>
      <c r="J1138" s="61"/>
      <c r="K1138" s="9"/>
      <c r="L1138" s="59"/>
      <c r="M1138" s="7"/>
    </row>
    <row r="1139" spans="3:13" x14ac:dyDescent="0.35">
      <c r="C1139" s="7"/>
      <c r="D1139" s="7"/>
      <c r="E1139" s="80"/>
      <c r="F1139" s="7"/>
      <c r="G1139" s="7"/>
      <c r="H1139" s="75"/>
      <c r="I1139" s="75"/>
      <c r="J1139" s="61"/>
      <c r="K1139" s="9"/>
      <c r="L1139" s="59"/>
      <c r="M1139" s="7"/>
    </row>
    <row r="1140" spans="3:13" x14ac:dyDescent="0.35">
      <c r="C1140" s="7"/>
      <c r="D1140" s="7"/>
      <c r="E1140" s="7"/>
      <c r="F1140" s="7"/>
      <c r="G1140" s="7"/>
      <c r="H1140" s="75"/>
      <c r="I1140" s="75"/>
      <c r="J1140" s="61"/>
      <c r="K1140" s="9"/>
      <c r="L1140" s="59"/>
      <c r="M1140" s="7"/>
    </row>
    <row r="1141" spans="3:13" x14ac:dyDescent="0.35">
      <c r="C1141" s="7"/>
      <c r="D1141" s="7"/>
      <c r="E1141" s="7"/>
      <c r="F1141" s="7"/>
      <c r="G1141" s="7"/>
      <c r="H1141" s="75"/>
      <c r="I1141" s="75"/>
      <c r="J1141" s="61"/>
      <c r="K1141" s="9"/>
      <c r="L1141" s="59"/>
      <c r="M1141" s="7"/>
    </row>
    <row r="1142" spans="3:13" x14ac:dyDescent="0.35">
      <c r="C1142" s="7"/>
      <c r="D1142" s="7"/>
      <c r="E1142" s="80"/>
      <c r="F1142" s="7"/>
      <c r="G1142" s="7"/>
      <c r="H1142" s="75"/>
      <c r="I1142" s="75"/>
      <c r="J1142" s="61"/>
      <c r="K1142" s="9"/>
      <c r="L1142" s="59"/>
      <c r="M1142" s="7"/>
    </row>
    <row r="1143" spans="3:13" x14ac:dyDescent="0.35">
      <c r="C1143" s="7"/>
      <c r="D1143" s="7"/>
      <c r="E1143" s="81"/>
      <c r="F1143" s="7"/>
      <c r="G1143" s="7"/>
      <c r="H1143" s="75"/>
      <c r="I1143" s="75"/>
      <c r="J1143" s="61"/>
      <c r="K1143" s="9"/>
      <c r="L1143" s="59"/>
      <c r="M1143" s="7"/>
    </row>
    <row r="1144" spans="3:13" x14ac:dyDescent="0.35">
      <c r="C1144" s="7"/>
      <c r="D1144" s="7"/>
      <c r="E1144" s="80"/>
      <c r="F1144" s="7"/>
      <c r="G1144" s="7"/>
      <c r="H1144" s="75"/>
      <c r="I1144" s="75"/>
      <c r="J1144" s="61"/>
      <c r="K1144" s="9"/>
      <c r="L1144" s="59"/>
      <c r="M1144" s="7"/>
    </row>
    <row r="1145" spans="3:13" x14ac:dyDescent="0.35">
      <c r="C1145" s="7"/>
      <c r="D1145" s="7"/>
      <c r="E1145" s="80"/>
      <c r="F1145" s="7"/>
      <c r="G1145" s="7"/>
      <c r="H1145" s="75"/>
      <c r="I1145" s="75"/>
      <c r="J1145" s="61"/>
      <c r="K1145" s="9"/>
      <c r="L1145" s="59"/>
      <c r="M1145" s="7"/>
    </row>
    <row r="1146" spans="3:13" x14ac:dyDescent="0.35">
      <c r="C1146" s="7"/>
      <c r="D1146" s="7"/>
      <c r="E1146" s="80"/>
      <c r="F1146" s="7"/>
      <c r="G1146" s="7"/>
      <c r="H1146" s="75"/>
      <c r="I1146" s="75"/>
      <c r="J1146" s="61"/>
      <c r="K1146" s="9"/>
      <c r="L1146" s="59"/>
      <c r="M1146" s="7"/>
    </row>
    <row r="1147" spans="3:13" x14ac:dyDescent="0.35">
      <c r="C1147" s="7"/>
      <c r="D1147" s="7"/>
      <c r="E1147" s="7"/>
      <c r="F1147" s="7"/>
      <c r="G1147" s="7"/>
      <c r="H1147" s="75"/>
      <c r="I1147" s="75"/>
      <c r="J1147" s="61"/>
      <c r="K1147" s="9"/>
      <c r="L1147" s="59"/>
      <c r="M1147" s="7"/>
    </row>
    <row r="1148" spans="3:13" x14ac:dyDescent="0.35">
      <c r="C1148" s="7"/>
      <c r="D1148" s="7"/>
      <c r="E1148" s="7"/>
      <c r="F1148" s="7"/>
      <c r="G1148" s="7"/>
      <c r="H1148" s="75"/>
      <c r="I1148" s="75"/>
      <c r="J1148" s="61"/>
      <c r="K1148" s="9"/>
      <c r="L1148" s="59"/>
      <c r="M1148" s="7"/>
    </row>
    <row r="1149" spans="3:13" x14ac:dyDescent="0.35">
      <c r="C1149" s="7"/>
      <c r="D1149" s="7"/>
      <c r="E1149" s="7"/>
      <c r="F1149" s="58"/>
      <c r="G1149" s="7"/>
      <c r="H1149" s="75"/>
      <c r="I1149" s="75"/>
      <c r="J1149" s="61"/>
      <c r="K1149" s="9"/>
      <c r="L1149" s="59"/>
      <c r="M1149" s="7"/>
    </row>
    <row r="1150" spans="3:13" x14ac:dyDescent="0.35">
      <c r="C1150" s="7"/>
      <c r="D1150" s="7"/>
      <c r="E1150" s="81"/>
      <c r="F1150" s="7"/>
      <c r="G1150" s="7"/>
      <c r="H1150" s="75"/>
      <c r="I1150" s="75"/>
      <c r="J1150" s="61"/>
      <c r="K1150" s="9"/>
      <c r="L1150" s="59"/>
      <c r="M1150" s="7"/>
    </row>
    <row r="1151" spans="3:13" s="11" customFormat="1" x14ac:dyDescent="0.35">
      <c r="C1151" s="58"/>
      <c r="D1151" s="58"/>
      <c r="E1151" s="80"/>
      <c r="F1151" s="58"/>
      <c r="G1151" s="58"/>
      <c r="H1151" s="78"/>
      <c r="I1151" s="78"/>
      <c r="J1151" s="61"/>
      <c r="K1151" s="59"/>
      <c r="L1151" s="59"/>
      <c r="M1151" s="58"/>
    </row>
    <row r="1152" spans="3:13" x14ac:dyDescent="0.35">
      <c r="C1152" s="7"/>
      <c r="D1152" s="7"/>
      <c r="E1152" s="81"/>
      <c r="F1152" s="7"/>
      <c r="G1152" s="7"/>
      <c r="H1152" s="75"/>
      <c r="I1152" s="75"/>
      <c r="J1152" s="61"/>
      <c r="K1152" s="9"/>
      <c r="L1152" s="59"/>
      <c r="M1152" s="7"/>
    </row>
    <row r="1153" spans="3:13" s="11" customFormat="1" x14ac:dyDescent="0.35">
      <c r="C1153" s="58"/>
      <c r="D1153" s="58"/>
      <c r="E1153" s="80"/>
      <c r="F1153" s="7"/>
      <c r="G1153" s="58"/>
      <c r="H1153" s="78"/>
      <c r="I1153" s="75"/>
      <c r="J1153" s="61"/>
      <c r="K1153" s="59"/>
      <c r="L1153" s="59"/>
      <c r="M1153" s="7"/>
    </row>
    <row r="1154" spans="3:13" x14ac:dyDescent="0.35">
      <c r="C1154" s="7"/>
      <c r="D1154" s="7"/>
      <c r="E1154" s="80"/>
      <c r="F1154" s="7"/>
      <c r="G1154" s="7"/>
      <c r="H1154" s="75"/>
      <c r="I1154" s="75"/>
      <c r="J1154" s="61"/>
      <c r="K1154" s="9"/>
      <c r="L1154" s="59"/>
      <c r="M1154" s="7"/>
    </row>
    <row r="1155" spans="3:13" x14ac:dyDescent="0.35">
      <c r="C1155" s="7"/>
      <c r="D1155" s="7"/>
      <c r="E1155" s="81"/>
      <c r="F1155" s="7"/>
      <c r="G1155" s="7"/>
      <c r="H1155" s="75"/>
      <c r="I1155" s="75"/>
      <c r="J1155" s="61"/>
      <c r="K1155" s="9"/>
      <c r="L1155" s="59"/>
      <c r="M1155" s="7"/>
    </row>
    <row r="1156" spans="3:13" x14ac:dyDescent="0.35">
      <c r="C1156" s="7"/>
      <c r="D1156" s="7"/>
      <c r="E1156" s="81"/>
      <c r="F1156" s="7"/>
      <c r="G1156" s="7"/>
      <c r="H1156" s="75"/>
      <c r="I1156" s="75"/>
      <c r="J1156" s="61"/>
      <c r="K1156" s="9"/>
      <c r="L1156" s="59"/>
      <c r="M1156" s="7"/>
    </row>
    <row r="1157" spans="3:13" x14ac:dyDescent="0.35">
      <c r="C1157" s="7"/>
      <c r="D1157" s="7"/>
      <c r="E1157" s="80"/>
      <c r="F1157" s="7"/>
      <c r="G1157" s="7"/>
      <c r="H1157" s="75"/>
      <c r="I1157" s="75"/>
      <c r="J1157" s="61"/>
      <c r="K1157" s="9"/>
      <c r="L1157" s="59"/>
      <c r="M1157" s="7"/>
    </row>
    <row r="1158" spans="3:13" x14ac:dyDescent="0.35">
      <c r="C1158" s="7"/>
      <c r="D1158" s="7"/>
      <c r="E1158" s="80"/>
      <c r="F1158" s="7"/>
      <c r="G1158" s="7"/>
      <c r="H1158" s="75"/>
      <c r="I1158" s="75"/>
      <c r="J1158" s="61"/>
      <c r="K1158" s="9"/>
      <c r="L1158" s="59"/>
      <c r="M1158" s="7"/>
    </row>
    <row r="1159" spans="3:13" x14ac:dyDescent="0.35">
      <c r="C1159" s="7"/>
      <c r="D1159" s="7"/>
      <c r="E1159" s="81"/>
      <c r="F1159" s="7"/>
      <c r="G1159" s="7"/>
      <c r="H1159" s="75"/>
      <c r="I1159" s="75"/>
      <c r="J1159" s="61"/>
      <c r="K1159" s="9"/>
      <c r="L1159" s="59"/>
      <c r="M1159" s="7"/>
    </row>
    <row r="1160" spans="3:13" x14ac:dyDescent="0.35">
      <c r="C1160" s="7"/>
      <c r="D1160" s="7"/>
      <c r="E1160" s="80"/>
      <c r="F1160" s="7"/>
      <c r="G1160" s="7"/>
      <c r="H1160" s="75"/>
      <c r="I1160" s="75"/>
      <c r="J1160" s="61"/>
      <c r="K1160" s="9"/>
      <c r="L1160" s="59"/>
      <c r="M1160" s="7"/>
    </row>
    <row r="1161" spans="3:13" x14ac:dyDescent="0.35">
      <c r="C1161" s="7"/>
      <c r="D1161" s="7"/>
      <c r="E1161" s="80"/>
      <c r="F1161" s="7"/>
      <c r="G1161" s="7"/>
      <c r="H1161" s="75"/>
      <c r="I1161" s="75"/>
      <c r="J1161" s="61"/>
      <c r="K1161" s="9"/>
      <c r="L1161" s="59"/>
      <c r="M1161" s="7"/>
    </row>
    <row r="1162" spans="3:13" x14ac:dyDescent="0.35">
      <c r="C1162" s="7"/>
      <c r="D1162" s="7"/>
      <c r="E1162" s="80"/>
      <c r="F1162" s="7"/>
      <c r="G1162" s="7"/>
      <c r="H1162" s="75"/>
      <c r="I1162" s="75"/>
      <c r="J1162" s="61"/>
      <c r="K1162" s="9"/>
      <c r="L1162" s="59"/>
      <c r="M1162" s="7"/>
    </row>
    <row r="1163" spans="3:13" x14ac:dyDescent="0.35">
      <c r="C1163" s="7"/>
      <c r="D1163" s="7"/>
      <c r="E1163" s="81"/>
      <c r="F1163" s="7"/>
      <c r="G1163" s="7"/>
      <c r="H1163" s="75"/>
      <c r="I1163" s="75"/>
      <c r="J1163" s="61"/>
      <c r="K1163" s="9"/>
      <c r="L1163" s="59"/>
      <c r="M1163" s="7"/>
    </row>
    <row r="1164" spans="3:13" x14ac:dyDescent="0.35">
      <c r="C1164" s="7"/>
      <c r="D1164" s="7"/>
      <c r="E1164" s="80"/>
      <c r="F1164" s="7"/>
      <c r="G1164" s="7"/>
      <c r="H1164" s="75"/>
      <c r="I1164" s="75"/>
      <c r="J1164" s="61"/>
      <c r="K1164" s="9"/>
      <c r="L1164" s="59"/>
      <c r="M1164" s="7"/>
    </row>
    <row r="1165" spans="3:13" x14ac:dyDescent="0.35">
      <c r="C1165" s="7"/>
      <c r="D1165" s="7"/>
      <c r="E1165" s="80"/>
      <c r="F1165" s="7"/>
      <c r="G1165" s="7"/>
      <c r="H1165" s="75"/>
      <c r="I1165" s="75"/>
      <c r="J1165" s="61"/>
      <c r="K1165" s="9"/>
      <c r="L1165" s="59"/>
      <c r="M1165" s="7"/>
    </row>
    <row r="1166" spans="3:13" x14ac:dyDescent="0.35">
      <c r="C1166" s="7"/>
      <c r="D1166" s="7"/>
      <c r="E1166" s="80"/>
      <c r="F1166" s="7"/>
      <c r="G1166" s="7"/>
      <c r="H1166" s="75"/>
      <c r="I1166" s="75"/>
      <c r="J1166" s="61"/>
      <c r="K1166" s="9"/>
      <c r="L1166" s="59"/>
      <c r="M1166" s="7"/>
    </row>
    <row r="1167" spans="3:13" x14ac:dyDescent="0.35">
      <c r="C1167" s="7"/>
      <c r="D1167" s="7"/>
      <c r="E1167" s="81"/>
      <c r="F1167" s="7"/>
      <c r="G1167" s="7"/>
      <c r="H1167" s="75"/>
      <c r="I1167" s="75"/>
      <c r="J1167" s="61"/>
      <c r="K1167" s="9"/>
      <c r="L1167" s="59"/>
      <c r="M1167" s="7"/>
    </row>
    <row r="1168" spans="3:13" x14ac:dyDescent="0.35">
      <c r="C1168" s="7"/>
      <c r="D1168" s="7"/>
      <c r="E1168" s="80"/>
      <c r="F1168" s="7"/>
      <c r="G1168" s="7"/>
      <c r="H1168" s="75"/>
      <c r="I1168" s="75"/>
      <c r="J1168" s="61"/>
      <c r="K1168" s="9"/>
      <c r="L1168" s="59"/>
      <c r="M1168" s="7"/>
    </row>
    <row r="1169" spans="3:13" x14ac:dyDescent="0.35">
      <c r="C1169" s="7"/>
      <c r="D1169" s="7"/>
      <c r="E1169" s="80"/>
      <c r="F1169" s="7"/>
      <c r="G1169" s="7"/>
      <c r="H1169" s="75"/>
      <c r="I1169" s="75"/>
      <c r="J1169" s="61"/>
      <c r="K1169" s="9"/>
      <c r="L1169" s="59"/>
      <c r="M1169" s="7"/>
    </row>
    <row r="1170" spans="3:13" x14ac:dyDescent="0.35">
      <c r="C1170" s="7"/>
      <c r="D1170" s="7"/>
      <c r="E1170" s="81"/>
      <c r="F1170" s="58"/>
      <c r="G1170" s="7"/>
      <c r="H1170" s="75"/>
      <c r="I1170" s="75"/>
      <c r="J1170" s="61"/>
      <c r="K1170" s="9"/>
      <c r="L1170" s="59"/>
      <c r="M1170" s="7"/>
    </row>
    <row r="1171" spans="3:13" x14ac:dyDescent="0.35">
      <c r="C1171" s="7"/>
      <c r="D1171" s="7"/>
      <c r="E1171" s="81"/>
      <c r="F1171" s="7"/>
      <c r="G1171" s="7"/>
      <c r="H1171" s="75"/>
      <c r="I1171" s="75"/>
      <c r="J1171" s="61"/>
      <c r="K1171" s="9"/>
      <c r="L1171" s="59"/>
      <c r="M1171" s="7"/>
    </row>
    <row r="1172" spans="3:13" s="11" customFormat="1" x14ac:dyDescent="0.35">
      <c r="C1172" s="58"/>
      <c r="D1172" s="58"/>
      <c r="E1172" s="81"/>
      <c r="F1172" s="7"/>
      <c r="G1172" s="58"/>
      <c r="H1172" s="78"/>
      <c r="I1172" s="78"/>
      <c r="J1172" s="61"/>
      <c r="K1172" s="59"/>
      <c r="L1172" s="59"/>
      <c r="M1172" s="58"/>
    </row>
    <row r="1173" spans="3:13" x14ac:dyDescent="0.35">
      <c r="C1173" s="7"/>
      <c r="D1173" s="7"/>
      <c r="E1173" s="80"/>
      <c r="F1173" s="7"/>
      <c r="G1173" s="7"/>
      <c r="H1173" s="75"/>
      <c r="I1173" s="75"/>
      <c r="J1173" s="61"/>
      <c r="K1173" s="9"/>
      <c r="L1173" s="59"/>
      <c r="M1173" s="7"/>
    </row>
    <row r="1174" spans="3:13" x14ac:dyDescent="0.35">
      <c r="C1174" s="7"/>
      <c r="D1174" s="7"/>
      <c r="E1174" s="80"/>
      <c r="F1174" s="7"/>
      <c r="G1174" s="7"/>
      <c r="H1174" s="75"/>
      <c r="I1174" s="75"/>
      <c r="J1174" s="61"/>
      <c r="K1174" s="9"/>
      <c r="L1174" s="59"/>
      <c r="M1174" s="7"/>
    </row>
    <row r="1175" spans="3:13" x14ac:dyDescent="0.35">
      <c r="C1175" s="7"/>
      <c r="D1175" s="7"/>
      <c r="E1175" s="80"/>
      <c r="F1175" s="7"/>
      <c r="G1175" s="7"/>
      <c r="H1175" s="75"/>
      <c r="I1175" s="75"/>
      <c r="J1175" s="61"/>
      <c r="K1175" s="9"/>
      <c r="L1175" s="59"/>
      <c r="M1175" s="7"/>
    </row>
    <row r="1176" spans="3:13" x14ac:dyDescent="0.35">
      <c r="C1176" s="7"/>
      <c r="D1176" s="7"/>
      <c r="E1176" s="80"/>
      <c r="F1176" s="7"/>
      <c r="G1176" s="7"/>
      <c r="H1176" s="75"/>
      <c r="I1176" s="75"/>
      <c r="J1176" s="61"/>
      <c r="K1176" s="9"/>
      <c r="L1176" s="59"/>
      <c r="M1176" s="7"/>
    </row>
    <row r="1177" spans="3:13" x14ac:dyDescent="0.35">
      <c r="C1177" s="7"/>
      <c r="D1177" s="7"/>
      <c r="E1177" s="81"/>
      <c r="F1177" s="7"/>
      <c r="G1177" s="7"/>
      <c r="H1177" s="75"/>
      <c r="I1177" s="75"/>
      <c r="J1177" s="61"/>
      <c r="K1177" s="9"/>
      <c r="L1177" s="59"/>
      <c r="M1177" s="7"/>
    </row>
    <row r="1178" spans="3:13" x14ac:dyDescent="0.35">
      <c r="C1178" s="7"/>
      <c r="D1178" s="7"/>
      <c r="E1178" s="80"/>
      <c r="F1178" s="7"/>
      <c r="G1178" s="7"/>
      <c r="H1178" s="75"/>
      <c r="I1178" s="75"/>
      <c r="J1178" s="61"/>
      <c r="K1178" s="9"/>
      <c r="L1178" s="59"/>
      <c r="M1178" s="7"/>
    </row>
    <row r="1179" spans="3:13" x14ac:dyDescent="0.35">
      <c r="C1179" s="7"/>
      <c r="D1179" s="7"/>
      <c r="E1179" s="81"/>
      <c r="F1179" s="7"/>
      <c r="G1179" s="7"/>
      <c r="H1179" s="75"/>
      <c r="I1179" s="75"/>
      <c r="J1179" s="61"/>
      <c r="K1179" s="9"/>
      <c r="L1179" s="59"/>
      <c r="M1179" s="7"/>
    </row>
    <row r="1180" spans="3:13" x14ac:dyDescent="0.35">
      <c r="C1180" s="7"/>
      <c r="D1180" s="7"/>
      <c r="E1180" s="80"/>
      <c r="F1180" s="86"/>
      <c r="G1180" s="7"/>
      <c r="H1180" s="75"/>
      <c r="I1180" s="75"/>
      <c r="J1180" s="61"/>
      <c r="K1180" s="9"/>
      <c r="L1180" s="59"/>
      <c r="M1180" s="7"/>
    </row>
    <row r="1181" spans="3:13" x14ac:dyDescent="0.35">
      <c r="C1181" s="7"/>
      <c r="D1181" s="7"/>
      <c r="E1181" s="143"/>
      <c r="F1181" s="7"/>
      <c r="G1181" s="7"/>
      <c r="H1181" s="75"/>
      <c r="I1181" s="75"/>
      <c r="J1181" s="61"/>
      <c r="K1181" s="9"/>
      <c r="L1181" s="59"/>
      <c r="M1181" s="7"/>
    </row>
    <row r="1182" spans="3:13" s="90" customFormat="1" x14ac:dyDescent="0.35">
      <c r="C1182" s="86"/>
      <c r="D1182" s="86"/>
      <c r="E1182" s="80"/>
      <c r="F1182" s="7"/>
      <c r="G1182" s="86"/>
      <c r="H1182" s="87"/>
      <c r="I1182" s="87"/>
      <c r="J1182" s="88"/>
      <c r="K1182" s="89"/>
      <c r="L1182" s="89"/>
      <c r="M1182" s="86"/>
    </row>
    <row r="1183" spans="3:13" x14ac:dyDescent="0.35">
      <c r="C1183" s="7"/>
      <c r="D1183" s="7"/>
      <c r="E1183" s="81"/>
      <c r="F1183" s="7"/>
      <c r="G1183" s="7"/>
      <c r="H1183" s="75"/>
      <c r="I1183" s="75"/>
      <c r="J1183" s="61"/>
      <c r="K1183" s="9"/>
      <c r="L1183" s="59"/>
      <c r="M1183" s="7"/>
    </row>
    <row r="1184" spans="3:13" x14ac:dyDescent="0.35">
      <c r="C1184" s="7"/>
      <c r="D1184" s="7"/>
      <c r="E1184" s="81"/>
      <c r="F1184" s="7"/>
      <c r="G1184" s="7"/>
      <c r="H1184" s="75"/>
      <c r="I1184" s="75"/>
      <c r="J1184" s="61"/>
      <c r="K1184" s="9"/>
      <c r="L1184" s="59"/>
      <c r="M1184" s="7"/>
    </row>
    <row r="1185" spans="3:13" x14ac:dyDescent="0.35">
      <c r="C1185" s="7"/>
      <c r="D1185" s="7"/>
      <c r="E1185" s="81"/>
      <c r="F1185" s="86"/>
      <c r="G1185" s="7"/>
      <c r="H1185" s="75"/>
      <c r="I1185" s="75"/>
      <c r="J1185" s="61"/>
      <c r="K1185" s="9"/>
      <c r="L1185" s="59"/>
      <c r="M1185" s="7"/>
    </row>
    <row r="1186" spans="3:13" x14ac:dyDescent="0.35">
      <c r="C1186" s="7"/>
      <c r="D1186" s="7"/>
      <c r="E1186" s="143"/>
      <c r="F1186" s="7"/>
      <c r="G1186" s="7"/>
      <c r="H1186" s="75"/>
      <c r="I1186" s="75"/>
      <c r="J1186" s="61"/>
      <c r="K1186" s="9"/>
      <c r="L1186" s="59"/>
      <c r="M1186" s="7"/>
    </row>
    <row r="1187" spans="3:13" s="90" customFormat="1" x14ac:dyDescent="0.35">
      <c r="C1187" s="86"/>
      <c r="D1187" s="86"/>
      <c r="E1187" s="81"/>
      <c r="F1187" s="58"/>
      <c r="G1187" s="86"/>
      <c r="H1187" s="87"/>
      <c r="I1187" s="87"/>
      <c r="J1187" s="88"/>
      <c r="K1187" s="89"/>
      <c r="L1187" s="89"/>
      <c r="M1187" s="86"/>
    </row>
    <row r="1188" spans="3:13" x14ac:dyDescent="0.35">
      <c r="C1188" s="7"/>
      <c r="D1188" s="7"/>
      <c r="E1188" s="58"/>
      <c r="F1188" s="58"/>
      <c r="G1188" s="7"/>
      <c r="H1188" s="75"/>
      <c r="I1188" s="75"/>
      <c r="J1188" s="61"/>
      <c r="K1188" s="9"/>
      <c r="L1188" s="59"/>
      <c r="M1188" s="7"/>
    </row>
    <row r="1189" spans="3:13" s="11" customFormat="1" x14ac:dyDescent="0.35">
      <c r="C1189" s="58"/>
      <c r="D1189" s="58"/>
      <c r="E1189" s="58"/>
      <c r="F1189" s="58"/>
      <c r="G1189" s="58"/>
      <c r="H1189" s="78"/>
      <c r="I1189" s="78"/>
      <c r="J1189" s="61"/>
      <c r="K1189" s="59"/>
      <c r="L1189" s="59"/>
      <c r="M1189" s="58"/>
    </row>
    <row r="1190" spans="3:13" s="11" customFormat="1" x14ac:dyDescent="0.35">
      <c r="C1190" s="58"/>
      <c r="D1190" s="58"/>
      <c r="E1190" s="58"/>
      <c r="F1190" s="7"/>
      <c r="G1190" s="58"/>
      <c r="H1190" s="78"/>
      <c r="I1190" s="78"/>
      <c r="J1190" s="61"/>
      <c r="K1190" s="59"/>
      <c r="L1190" s="59"/>
      <c r="M1190" s="58"/>
    </row>
    <row r="1191" spans="3:13" s="11" customFormat="1" x14ac:dyDescent="0.35">
      <c r="C1191" s="58"/>
      <c r="D1191" s="58"/>
      <c r="E1191" s="80"/>
      <c r="F1191" s="7"/>
      <c r="G1191" s="58"/>
      <c r="H1191" s="78"/>
      <c r="I1191" s="78"/>
      <c r="J1191" s="61"/>
      <c r="K1191" s="59"/>
      <c r="L1191" s="59"/>
      <c r="M1191" s="58"/>
    </row>
    <row r="1192" spans="3:13" x14ac:dyDescent="0.35">
      <c r="C1192" s="7"/>
      <c r="D1192" s="7"/>
      <c r="E1192" s="7"/>
      <c r="F1192" s="7"/>
      <c r="G1192" s="7"/>
      <c r="H1192" s="75"/>
      <c r="I1192" s="75"/>
      <c r="J1192" s="61"/>
      <c r="K1192" s="9"/>
      <c r="L1192" s="59"/>
      <c r="M1192" s="7"/>
    </row>
    <row r="1193" spans="3:13" x14ac:dyDescent="0.35">
      <c r="C1193" s="7"/>
      <c r="D1193" s="7"/>
      <c r="E1193" s="7"/>
      <c r="F1193" s="7"/>
      <c r="G1193" s="7"/>
      <c r="H1193" s="75"/>
      <c r="I1193" s="75"/>
      <c r="J1193" s="61"/>
      <c r="K1193" s="9"/>
      <c r="L1193" s="59"/>
      <c r="M1193" s="7"/>
    </row>
    <row r="1194" spans="3:13" x14ac:dyDescent="0.35">
      <c r="C1194" s="7"/>
      <c r="D1194" s="7"/>
      <c r="E1194" s="80"/>
      <c r="F1194" s="7"/>
      <c r="G1194" s="7"/>
      <c r="H1194" s="75"/>
      <c r="I1194" s="75"/>
      <c r="J1194" s="61"/>
      <c r="K1194" s="9"/>
      <c r="L1194" s="59"/>
      <c r="M1194" s="7"/>
    </row>
    <row r="1195" spans="3:13" x14ac:dyDescent="0.35">
      <c r="C1195" s="7"/>
      <c r="D1195" s="7"/>
      <c r="E1195" s="80"/>
      <c r="F1195" s="7"/>
      <c r="G1195" s="7"/>
      <c r="H1195" s="75"/>
      <c r="I1195" s="75"/>
      <c r="J1195" s="61"/>
      <c r="K1195" s="9"/>
      <c r="L1195" s="59"/>
      <c r="M1195" s="7"/>
    </row>
    <row r="1196" spans="3:13" x14ac:dyDescent="0.35">
      <c r="C1196" s="7"/>
      <c r="D1196" s="7"/>
      <c r="E1196" s="7"/>
      <c r="F1196" s="7"/>
      <c r="G1196" s="7"/>
      <c r="H1196" s="75"/>
      <c r="I1196" s="75"/>
      <c r="J1196" s="61"/>
      <c r="K1196" s="9"/>
      <c r="L1196" s="59"/>
      <c r="M1196" s="7"/>
    </row>
    <row r="1197" spans="3:13" x14ac:dyDescent="0.35">
      <c r="C1197" s="7"/>
      <c r="D1197" s="7"/>
      <c r="E1197" s="81"/>
      <c r="F1197" s="7"/>
      <c r="G1197" s="7"/>
      <c r="H1197" s="75"/>
      <c r="I1197" s="75"/>
      <c r="J1197" s="61"/>
      <c r="K1197" s="9"/>
      <c r="L1197" s="59"/>
      <c r="M1197" s="7"/>
    </row>
    <row r="1198" spans="3:13" x14ac:dyDescent="0.35">
      <c r="C1198" s="7"/>
      <c r="D1198" s="7"/>
      <c r="E1198" s="81"/>
      <c r="F1198" s="7"/>
      <c r="G1198" s="7"/>
      <c r="H1198" s="75"/>
      <c r="I1198" s="75"/>
      <c r="J1198" s="61"/>
      <c r="K1198" s="9"/>
      <c r="L1198" s="59"/>
      <c r="M1198" s="7"/>
    </row>
    <row r="1199" spans="3:13" x14ac:dyDescent="0.35">
      <c r="C1199" s="7"/>
      <c r="D1199" s="7"/>
      <c r="E1199" s="7"/>
      <c r="F1199" s="7"/>
      <c r="G1199" s="7"/>
      <c r="H1199" s="75"/>
      <c r="I1199" s="75"/>
      <c r="J1199" s="61"/>
      <c r="K1199" s="9"/>
      <c r="L1199" s="59"/>
      <c r="M1199" s="7"/>
    </row>
    <row r="1200" spans="3:13" x14ac:dyDescent="0.35">
      <c r="C1200" s="7"/>
      <c r="D1200" s="7"/>
      <c r="E1200" s="7"/>
      <c r="F1200" s="7"/>
      <c r="G1200" s="7"/>
      <c r="H1200" s="75"/>
      <c r="I1200" s="75"/>
      <c r="J1200" s="61"/>
      <c r="K1200" s="9"/>
      <c r="L1200" s="59"/>
      <c r="M1200" s="7"/>
    </row>
    <row r="1201" spans="3:13" x14ac:dyDescent="0.35">
      <c r="C1201" s="7"/>
      <c r="D1201" s="7"/>
      <c r="E1201" s="81"/>
      <c r="F1201" s="7"/>
      <c r="G1201" s="7"/>
      <c r="H1201" s="75"/>
      <c r="I1201" s="75"/>
      <c r="J1201" s="61"/>
      <c r="K1201" s="9"/>
      <c r="L1201" s="59"/>
      <c r="M1201" s="7"/>
    </row>
    <row r="1202" spans="3:13" x14ac:dyDescent="0.35">
      <c r="C1202" s="7"/>
      <c r="D1202" s="7"/>
      <c r="E1202" s="80"/>
      <c r="F1202" s="7"/>
      <c r="G1202" s="7"/>
      <c r="H1202" s="75"/>
      <c r="I1202" s="75"/>
      <c r="J1202" s="61"/>
      <c r="K1202" s="9"/>
      <c r="L1202" s="59"/>
      <c r="M1202" s="7"/>
    </row>
    <row r="1203" spans="3:13" x14ac:dyDescent="0.35">
      <c r="C1203" s="7"/>
      <c r="D1203" s="7"/>
      <c r="E1203" s="80"/>
      <c r="F1203" s="7"/>
      <c r="G1203" s="7"/>
      <c r="H1203" s="75"/>
      <c r="I1203" s="75"/>
      <c r="J1203" s="61"/>
      <c r="K1203" s="9"/>
      <c r="L1203" s="59"/>
      <c r="M1203" s="7"/>
    </row>
    <row r="1204" spans="3:13" x14ac:dyDescent="0.35">
      <c r="C1204" s="7"/>
      <c r="D1204" s="7"/>
      <c r="E1204" s="80"/>
      <c r="F1204" s="7"/>
      <c r="G1204" s="7"/>
      <c r="H1204" s="75"/>
      <c r="I1204" s="75"/>
      <c r="J1204" s="61"/>
      <c r="K1204" s="9"/>
      <c r="L1204" s="59"/>
      <c r="M1204" s="7"/>
    </row>
    <row r="1205" spans="3:13" x14ac:dyDescent="0.35">
      <c r="C1205" s="7"/>
      <c r="D1205" s="7"/>
      <c r="E1205" s="80"/>
      <c r="F1205" s="7"/>
      <c r="G1205" s="7"/>
      <c r="H1205" s="75"/>
      <c r="I1205" s="75"/>
      <c r="J1205" s="61"/>
      <c r="K1205" s="9"/>
      <c r="L1205" s="59"/>
      <c r="M1205" s="7"/>
    </row>
    <row r="1206" spans="3:13" s="107" customFormat="1" x14ac:dyDescent="0.35">
      <c r="C1206" s="7"/>
      <c r="D1206" s="7"/>
      <c r="E1206" s="7"/>
      <c r="F1206" s="7"/>
      <c r="G1206" s="7"/>
      <c r="H1206" s="75"/>
      <c r="I1206" s="75"/>
      <c r="J1206" s="61"/>
      <c r="K1206" s="9"/>
      <c r="L1206" s="59"/>
      <c r="M1206" s="7"/>
    </row>
    <row r="1207" spans="3:13" s="107" customFormat="1" x14ac:dyDescent="0.35">
      <c r="C1207" s="7"/>
      <c r="D1207" s="7"/>
      <c r="E1207" s="81"/>
      <c r="F1207" s="7"/>
      <c r="G1207" s="7"/>
      <c r="H1207" s="75"/>
      <c r="I1207" s="75"/>
      <c r="J1207" s="61"/>
      <c r="K1207" s="9"/>
      <c r="L1207" s="59"/>
      <c r="M1207" s="7"/>
    </row>
    <row r="1208" spans="3:13" s="107" customFormat="1" x14ac:dyDescent="0.35">
      <c r="C1208" s="7"/>
      <c r="D1208" s="7"/>
      <c r="E1208" s="7"/>
      <c r="F1208" s="7"/>
      <c r="G1208" s="7"/>
      <c r="H1208" s="75"/>
      <c r="I1208" s="75"/>
      <c r="J1208" s="61"/>
      <c r="K1208" s="9"/>
      <c r="L1208" s="59"/>
      <c r="M1208" s="7"/>
    </row>
    <row r="1209" spans="3:13" s="107" customFormat="1" x14ac:dyDescent="0.35">
      <c r="C1209" s="7"/>
      <c r="D1209" s="7"/>
      <c r="E1209" s="80"/>
      <c r="F1209" s="7"/>
      <c r="G1209" s="7"/>
      <c r="H1209" s="75"/>
      <c r="I1209" s="75"/>
      <c r="J1209" s="61"/>
      <c r="K1209" s="9"/>
      <c r="L1209" s="59"/>
      <c r="M1209" s="7"/>
    </row>
    <row r="1210" spans="3:13" x14ac:dyDescent="0.35">
      <c r="C1210" s="7"/>
      <c r="D1210" s="7"/>
      <c r="E1210" s="80"/>
      <c r="F1210" s="7"/>
      <c r="G1210" s="7"/>
      <c r="H1210" s="75"/>
      <c r="I1210" s="75"/>
      <c r="J1210" s="61"/>
      <c r="K1210" s="9"/>
      <c r="L1210" s="59"/>
      <c r="M1210" s="7"/>
    </row>
    <row r="1211" spans="3:13" x14ac:dyDescent="0.35">
      <c r="C1211" s="7"/>
      <c r="D1211" s="7"/>
      <c r="E1211" s="80"/>
      <c r="F1211" s="7"/>
      <c r="G1211" s="7"/>
      <c r="H1211" s="75"/>
      <c r="I1211" s="75"/>
      <c r="J1211" s="61"/>
      <c r="K1211" s="9"/>
      <c r="L1211" s="59"/>
      <c r="M1211" s="7"/>
    </row>
    <row r="1212" spans="3:13" x14ac:dyDescent="0.35">
      <c r="C1212" s="7"/>
      <c r="D1212" s="7"/>
      <c r="E1212" s="80"/>
      <c r="F1212" s="7"/>
      <c r="G1212" s="7"/>
      <c r="H1212" s="75"/>
      <c r="I1212" s="75"/>
      <c r="J1212" s="61"/>
      <c r="K1212" s="9"/>
      <c r="L1212" s="59"/>
      <c r="M1212" s="7"/>
    </row>
    <row r="1213" spans="3:13" x14ac:dyDescent="0.35">
      <c r="C1213" s="7"/>
      <c r="D1213" s="7"/>
      <c r="E1213" s="7"/>
      <c r="F1213" s="7"/>
      <c r="G1213" s="7"/>
      <c r="H1213" s="75"/>
      <c r="I1213" s="75"/>
      <c r="J1213" s="61"/>
      <c r="K1213" s="9"/>
      <c r="L1213" s="59"/>
      <c r="M1213" s="7"/>
    </row>
    <row r="1214" spans="3:13" x14ac:dyDescent="0.35">
      <c r="C1214" s="7"/>
      <c r="D1214" s="7"/>
      <c r="E1214" s="7"/>
      <c r="F1214" s="7"/>
      <c r="G1214" s="7"/>
      <c r="H1214" s="75"/>
      <c r="I1214" s="75"/>
      <c r="J1214" s="61"/>
      <c r="K1214" s="9"/>
      <c r="L1214" s="59"/>
      <c r="M1214" s="7"/>
    </row>
    <row r="1215" spans="3:13" x14ac:dyDescent="0.35">
      <c r="C1215" s="7"/>
      <c r="D1215" s="7"/>
      <c r="E1215" s="7"/>
      <c r="F1215" s="7"/>
      <c r="G1215" s="7"/>
      <c r="H1215" s="75"/>
      <c r="I1215" s="75"/>
      <c r="J1215" s="61"/>
      <c r="K1215" s="9"/>
      <c r="L1215" s="59"/>
      <c r="M1215" s="7"/>
    </row>
    <row r="1216" spans="3:13" x14ac:dyDescent="0.35">
      <c r="C1216" s="7"/>
      <c r="D1216" s="7"/>
      <c r="E1216" s="7"/>
      <c r="F1216" s="7"/>
      <c r="G1216" s="7"/>
      <c r="H1216" s="75"/>
      <c r="I1216" s="75"/>
      <c r="J1216" s="61"/>
      <c r="K1216" s="9"/>
      <c r="L1216" s="59"/>
      <c r="M1216" s="7"/>
    </row>
    <row r="1217" spans="3:13" x14ac:dyDescent="0.35">
      <c r="C1217" s="7"/>
      <c r="D1217" s="7"/>
      <c r="E1217" s="80"/>
      <c r="F1217" s="7"/>
      <c r="G1217" s="7"/>
      <c r="H1217" s="75"/>
      <c r="I1217" s="75"/>
      <c r="J1217" s="61"/>
      <c r="K1217" s="9"/>
      <c r="L1217" s="59"/>
      <c r="M1217" s="7"/>
    </row>
    <row r="1218" spans="3:13" x14ac:dyDescent="0.35">
      <c r="C1218" s="7"/>
      <c r="D1218" s="7"/>
      <c r="E1218" s="80"/>
      <c r="F1218" s="7"/>
      <c r="G1218" s="7"/>
      <c r="H1218" s="75"/>
      <c r="I1218" s="75"/>
      <c r="J1218" s="61"/>
      <c r="K1218" s="9"/>
      <c r="L1218" s="59"/>
      <c r="M1218" s="7"/>
    </row>
    <row r="1219" spans="3:13" x14ac:dyDescent="0.35">
      <c r="C1219" s="7"/>
      <c r="D1219" s="7"/>
      <c r="E1219" s="80"/>
      <c r="F1219" s="7"/>
      <c r="G1219" s="7"/>
      <c r="H1219" s="75"/>
      <c r="I1219" s="75"/>
      <c r="J1219" s="61"/>
      <c r="K1219" s="9"/>
      <c r="L1219" s="59"/>
      <c r="M1219" s="7"/>
    </row>
    <row r="1220" spans="3:13" x14ac:dyDescent="0.35">
      <c r="C1220" s="7"/>
      <c r="D1220" s="7"/>
      <c r="E1220" s="80"/>
      <c r="F1220" s="7"/>
      <c r="G1220" s="7"/>
      <c r="H1220" s="75"/>
      <c r="I1220" s="75"/>
      <c r="J1220" s="61"/>
      <c r="K1220" s="9"/>
      <c r="L1220" s="59"/>
      <c r="M1220" s="7"/>
    </row>
    <row r="1221" spans="3:13" x14ac:dyDescent="0.35">
      <c r="C1221" s="7"/>
      <c r="D1221" s="7"/>
      <c r="E1221" s="80"/>
      <c r="F1221" s="7"/>
      <c r="G1221" s="7"/>
      <c r="H1221" s="75"/>
      <c r="I1221" s="75"/>
      <c r="J1221" s="61"/>
      <c r="K1221" s="9"/>
      <c r="L1221" s="59"/>
      <c r="M1221" s="7"/>
    </row>
    <row r="1222" spans="3:13" x14ac:dyDescent="0.35">
      <c r="C1222" s="7"/>
      <c r="D1222" s="7"/>
      <c r="E1222" s="81"/>
      <c r="F1222" s="7"/>
      <c r="G1222" s="7"/>
      <c r="H1222" s="75"/>
      <c r="I1222" s="75"/>
      <c r="J1222" s="61"/>
      <c r="K1222" s="9"/>
      <c r="L1222" s="59"/>
      <c r="M1222" s="7"/>
    </row>
    <row r="1223" spans="3:13" x14ac:dyDescent="0.35">
      <c r="C1223" s="7"/>
      <c r="D1223" s="7"/>
      <c r="E1223" s="7"/>
      <c r="F1223" s="7"/>
      <c r="G1223" s="7"/>
      <c r="H1223" s="75"/>
      <c r="I1223" s="75"/>
      <c r="J1223" s="61"/>
      <c r="K1223" s="9"/>
      <c r="L1223" s="59"/>
      <c r="M1223" s="7"/>
    </row>
    <row r="1224" spans="3:13" x14ac:dyDescent="0.35">
      <c r="C1224" s="7"/>
      <c r="D1224" s="7"/>
      <c r="E1224" s="7"/>
      <c r="F1224" s="7"/>
      <c r="G1224" s="7"/>
      <c r="H1224" s="75"/>
      <c r="I1224" s="75"/>
      <c r="J1224" s="61"/>
      <c r="K1224" s="9"/>
      <c r="L1224" s="59"/>
      <c r="M1224" s="7"/>
    </row>
    <row r="1225" spans="3:13" x14ac:dyDescent="0.35">
      <c r="C1225" s="7"/>
      <c r="D1225" s="7"/>
      <c r="E1225" s="7"/>
      <c r="F1225" s="7"/>
      <c r="G1225" s="7"/>
      <c r="H1225" s="75"/>
      <c r="I1225" s="75"/>
      <c r="J1225" s="61"/>
      <c r="K1225" s="9"/>
      <c r="L1225" s="59"/>
      <c r="M1225" s="7"/>
    </row>
    <row r="1226" spans="3:13" x14ac:dyDescent="0.35">
      <c r="C1226" s="7"/>
      <c r="D1226" s="7"/>
      <c r="E1226" s="7"/>
      <c r="F1226" s="58"/>
      <c r="G1226" s="7"/>
      <c r="H1226" s="75"/>
      <c r="I1226" s="75"/>
      <c r="J1226" s="61"/>
      <c r="K1226" s="9"/>
      <c r="L1226" s="59"/>
      <c r="M1226" s="7"/>
    </row>
    <row r="1227" spans="3:13" x14ac:dyDescent="0.35">
      <c r="C1227" s="7"/>
      <c r="D1227" s="7"/>
      <c r="E1227" s="81"/>
      <c r="F1227" s="58"/>
      <c r="G1227" s="7"/>
      <c r="H1227" s="75"/>
      <c r="I1227" s="75"/>
      <c r="J1227" s="61"/>
      <c r="K1227" s="9"/>
      <c r="L1227" s="59"/>
      <c r="M1227" s="7"/>
    </row>
    <row r="1228" spans="3:13" s="11" customFormat="1" x14ac:dyDescent="0.35">
      <c r="C1228" s="58"/>
      <c r="D1228" s="58"/>
      <c r="E1228" s="81"/>
      <c r="F1228" s="58"/>
      <c r="G1228" s="58"/>
      <c r="H1228" s="78"/>
      <c r="I1228" s="78"/>
      <c r="J1228" s="61"/>
      <c r="K1228" s="59"/>
      <c r="L1228" s="59"/>
      <c r="M1228" s="58"/>
    </row>
    <row r="1229" spans="3:13" s="11" customFormat="1" x14ac:dyDescent="0.35">
      <c r="C1229" s="58"/>
      <c r="D1229" s="58"/>
      <c r="E1229" s="81"/>
      <c r="F1229" s="7"/>
      <c r="G1229" s="58"/>
      <c r="H1229" s="78"/>
      <c r="I1229" s="78"/>
      <c r="J1229" s="61"/>
      <c r="K1229" s="59"/>
      <c r="L1229" s="59"/>
      <c r="M1229" s="58"/>
    </row>
    <row r="1230" spans="3:13" s="11" customFormat="1" x14ac:dyDescent="0.35">
      <c r="C1230" s="58"/>
      <c r="D1230" s="58"/>
      <c r="E1230" s="80"/>
      <c r="F1230" s="7"/>
      <c r="G1230" s="58"/>
      <c r="H1230" s="78"/>
      <c r="I1230" s="75"/>
      <c r="J1230" s="61"/>
      <c r="K1230" s="59"/>
      <c r="L1230" s="59"/>
      <c r="M1230" s="7"/>
    </row>
    <row r="1231" spans="3:13" x14ac:dyDescent="0.35">
      <c r="C1231" s="7"/>
      <c r="D1231" s="7"/>
      <c r="E1231" s="81"/>
      <c r="F1231" s="7"/>
      <c r="G1231" s="7"/>
      <c r="H1231" s="75"/>
      <c r="I1231" s="75"/>
      <c r="J1231" s="61"/>
      <c r="K1231" s="9"/>
      <c r="L1231" s="59"/>
      <c r="M1231" s="7"/>
    </row>
    <row r="1232" spans="3:13" x14ac:dyDescent="0.35">
      <c r="C1232" s="7"/>
      <c r="D1232" s="7"/>
      <c r="E1232" s="81"/>
      <c r="F1232" s="7"/>
      <c r="G1232" s="7"/>
      <c r="H1232" s="75"/>
      <c r="I1232" s="75"/>
      <c r="J1232" s="61"/>
      <c r="K1232" s="9"/>
      <c r="L1232" s="59"/>
      <c r="M1232" s="7"/>
    </row>
    <row r="1233" spans="3:13" x14ac:dyDescent="0.35">
      <c r="C1233" s="7"/>
      <c r="D1233" s="7"/>
      <c r="E1233" s="80"/>
      <c r="F1233" s="7"/>
      <c r="G1233" s="7"/>
      <c r="H1233" s="75"/>
      <c r="I1233" s="75"/>
      <c r="J1233" s="61"/>
      <c r="K1233" s="9"/>
      <c r="L1233" s="59"/>
      <c r="M1233" s="7"/>
    </row>
    <row r="1234" spans="3:13" x14ac:dyDescent="0.35">
      <c r="C1234" s="7"/>
      <c r="D1234" s="7"/>
      <c r="E1234" s="7"/>
      <c r="F1234" s="7"/>
      <c r="G1234" s="7"/>
      <c r="H1234" s="75"/>
      <c r="I1234" s="75"/>
      <c r="J1234" s="61"/>
      <c r="K1234" s="9"/>
      <c r="L1234" s="59"/>
      <c r="M1234" s="7"/>
    </row>
    <row r="1235" spans="3:13" x14ac:dyDescent="0.35">
      <c r="C1235" s="7"/>
      <c r="D1235" s="7"/>
      <c r="E1235" s="7"/>
      <c r="F1235" s="7"/>
      <c r="G1235" s="7"/>
      <c r="H1235" s="75"/>
      <c r="I1235" s="75"/>
      <c r="J1235" s="61"/>
      <c r="K1235" s="9"/>
      <c r="L1235" s="59"/>
      <c r="M1235" s="7"/>
    </row>
    <row r="1236" spans="3:13" x14ac:dyDescent="0.35">
      <c r="C1236" s="7"/>
      <c r="D1236" s="7"/>
      <c r="E1236" s="7"/>
      <c r="F1236" s="7"/>
      <c r="G1236" s="7"/>
      <c r="H1236" s="75"/>
      <c r="I1236" s="75"/>
      <c r="J1236" s="61"/>
      <c r="K1236" s="9"/>
      <c r="L1236" s="59"/>
      <c r="M1236" s="7"/>
    </row>
    <row r="1237" spans="3:13" x14ac:dyDescent="0.35">
      <c r="C1237" s="7"/>
      <c r="D1237" s="7"/>
      <c r="E1237" s="7"/>
      <c r="F1237" s="7"/>
      <c r="G1237" s="7"/>
      <c r="H1237" s="75"/>
      <c r="I1237" s="75"/>
      <c r="J1237" s="61"/>
      <c r="K1237" s="9"/>
      <c r="L1237" s="59"/>
      <c r="M1237" s="7"/>
    </row>
    <row r="1238" spans="3:13" x14ac:dyDescent="0.35">
      <c r="C1238" s="7"/>
      <c r="D1238" s="7"/>
      <c r="E1238" s="7"/>
      <c r="F1238" s="7"/>
      <c r="G1238" s="7"/>
      <c r="H1238" s="75"/>
      <c r="I1238" s="75"/>
      <c r="J1238" s="61"/>
      <c r="K1238" s="9"/>
      <c r="L1238" s="59"/>
      <c r="M1238" s="7"/>
    </row>
    <row r="1239" spans="3:13" x14ac:dyDescent="0.35">
      <c r="C1239" s="7"/>
      <c r="D1239" s="7"/>
      <c r="E1239" s="7"/>
      <c r="F1239" s="7"/>
      <c r="G1239" s="7"/>
      <c r="H1239" s="75"/>
      <c r="I1239" s="75"/>
      <c r="J1239" s="61"/>
      <c r="K1239" s="9"/>
      <c r="L1239" s="59"/>
      <c r="M1239" s="7"/>
    </row>
    <row r="1240" spans="3:13" x14ac:dyDescent="0.35">
      <c r="C1240" s="7"/>
      <c r="D1240" s="7"/>
      <c r="E1240" s="81"/>
      <c r="F1240" s="7"/>
      <c r="G1240" s="7"/>
      <c r="H1240" s="75"/>
      <c r="I1240" s="75"/>
      <c r="J1240" s="61"/>
      <c r="K1240" s="9"/>
      <c r="L1240" s="59"/>
      <c r="M1240" s="7"/>
    </row>
    <row r="1241" spans="3:13" x14ac:dyDescent="0.35">
      <c r="C1241" s="7"/>
      <c r="D1241" s="7"/>
      <c r="E1241" s="7"/>
      <c r="F1241" s="7"/>
      <c r="G1241" s="7"/>
      <c r="H1241" s="75"/>
      <c r="I1241" s="75"/>
      <c r="J1241" s="61"/>
      <c r="K1241" s="9"/>
      <c r="L1241" s="59"/>
      <c r="M1241" s="7"/>
    </row>
    <row r="1242" spans="3:13" x14ac:dyDescent="0.35">
      <c r="C1242" s="7"/>
      <c r="D1242" s="7"/>
      <c r="E1242" s="7"/>
      <c r="F1242" s="58"/>
      <c r="G1242" s="7"/>
      <c r="H1242" s="75"/>
      <c r="I1242" s="75"/>
      <c r="J1242" s="61"/>
      <c r="K1242" s="9"/>
      <c r="L1242" s="59"/>
      <c r="M1242" s="7"/>
    </row>
    <row r="1243" spans="3:13" x14ac:dyDescent="0.35">
      <c r="C1243" s="7"/>
      <c r="D1243" s="7"/>
      <c r="E1243" s="81"/>
      <c r="F1243" s="7"/>
      <c r="G1243" s="7"/>
      <c r="H1243" s="75"/>
      <c r="I1243" s="75"/>
      <c r="J1243" s="61"/>
      <c r="K1243" s="9"/>
      <c r="L1243" s="59"/>
      <c r="M1243" s="7"/>
    </row>
    <row r="1244" spans="3:13" s="11" customFormat="1" x14ac:dyDescent="0.35">
      <c r="C1244" s="58"/>
      <c r="D1244" s="58"/>
      <c r="E1244" s="7"/>
      <c r="F1244" s="7"/>
      <c r="G1244" s="58"/>
      <c r="H1244" s="78"/>
      <c r="I1244" s="78"/>
      <c r="J1244" s="61"/>
      <c r="K1244" s="59"/>
      <c r="L1244" s="59"/>
      <c r="M1244" s="58"/>
    </row>
    <row r="1245" spans="3:13" x14ac:dyDescent="0.35">
      <c r="C1245" s="7"/>
      <c r="D1245" s="7"/>
      <c r="E1245" s="81"/>
      <c r="F1245" s="7"/>
      <c r="G1245" s="7"/>
      <c r="H1245" s="75"/>
      <c r="I1245" s="75"/>
      <c r="J1245" s="61"/>
      <c r="K1245" s="9"/>
      <c r="L1245" s="59"/>
      <c r="M1245" s="7"/>
    </row>
    <row r="1246" spans="3:13" x14ac:dyDescent="0.35">
      <c r="C1246" s="7"/>
      <c r="D1246" s="7"/>
      <c r="E1246" s="7"/>
      <c r="F1246" s="7"/>
      <c r="G1246" s="7"/>
      <c r="H1246" s="75"/>
      <c r="I1246" s="75"/>
      <c r="J1246" s="61"/>
      <c r="K1246" s="9"/>
      <c r="L1246" s="59"/>
      <c r="M1246" s="7"/>
    </row>
    <row r="1247" spans="3:13" x14ac:dyDescent="0.35">
      <c r="C1247" s="7"/>
      <c r="D1247" s="7"/>
      <c r="E1247" s="7"/>
      <c r="F1247" s="7"/>
      <c r="G1247" s="7"/>
      <c r="H1247" s="75"/>
      <c r="I1247" s="75"/>
      <c r="J1247" s="61"/>
      <c r="K1247" s="9"/>
      <c r="L1247" s="59"/>
      <c r="M1247" s="7"/>
    </row>
    <row r="1248" spans="3:13" x14ac:dyDescent="0.35">
      <c r="C1248" s="7"/>
      <c r="D1248" s="7"/>
      <c r="E1248" s="7"/>
      <c r="F1248" s="7"/>
      <c r="G1248" s="7"/>
      <c r="H1248" s="75"/>
      <c r="I1248" s="75"/>
      <c r="J1248" s="61"/>
      <c r="K1248" s="9"/>
      <c r="L1248" s="59"/>
      <c r="M1248" s="7"/>
    </row>
    <row r="1249" spans="3:13" x14ac:dyDescent="0.35">
      <c r="C1249" s="7"/>
      <c r="D1249" s="7"/>
      <c r="E1249" s="7"/>
      <c r="F1249" s="7"/>
      <c r="G1249" s="7"/>
      <c r="H1249" s="75"/>
      <c r="I1249" s="75"/>
      <c r="J1249" s="61"/>
      <c r="K1249" s="9"/>
      <c r="L1249" s="59"/>
      <c r="M1249" s="7"/>
    </row>
    <row r="1250" spans="3:13" x14ac:dyDescent="0.35">
      <c r="C1250" s="7"/>
      <c r="D1250" s="7"/>
      <c r="E1250" s="7"/>
      <c r="F1250" s="7"/>
      <c r="G1250" s="7"/>
      <c r="H1250" s="75"/>
      <c r="I1250" s="75"/>
      <c r="J1250" s="61"/>
      <c r="K1250" s="9"/>
      <c r="L1250" s="59"/>
      <c r="M1250" s="7"/>
    </row>
    <row r="1251" spans="3:13" x14ac:dyDescent="0.35">
      <c r="C1251" s="7"/>
      <c r="D1251" s="7"/>
      <c r="E1251" s="80"/>
      <c r="F1251" s="7"/>
      <c r="G1251" s="7"/>
      <c r="H1251" s="75"/>
      <c r="I1251" s="75"/>
      <c r="J1251" s="61"/>
      <c r="K1251" s="9"/>
      <c r="L1251" s="59"/>
      <c r="M1251" s="7"/>
    </row>
    <row r="1252" spans="3:13" x14ac:dyDescent="0.35">
      <c r="C1252" s="7"/>
      <c r="D1252" s="7"/>
      <c r="E1252" s="81"/>
      <c r="F1252" s="7"/>
      <c r="G1252" s="7"/>
      <c r="H1252" s="75"/>
      <c r="I1252" s="75"/>
      <c r="J1252" s="61"/>
      <c r="K1252" s="9"/>
      <c r="L1252" s="59"/>
      <c r="M1252" s="7"/>
    </row>
    <row r="1253" spans="3:13" x14ac:dyDescent="0.35">
      <c r="C1253" s="7"/>
      <c r="D1253" s="7"/>
      <c r="E1253" s="81"/>
      <c r="F1253" s="7"/>
      <c r="G1253" s="7"/>
      <c r="H1253" s="75"/>
      <c r="I1253" s="75"/>
      <c r="J1253" s="61"/>
      <c r="K1253" s="9"/>
      <c r="L1253" s="59"/>
      <c r="M1253" s="7"/>
    </row>
    <row r="1254" spans="3:13" x14ac:dyDescent="0.35">
      <c r="C1254" s="7"/>
      <c r="D1254" s="7"/>
      <c r="E1254" s="7"/>
      <c r="F1254" s="58"/>
      <c r="G1254" s="7"/>
      <c r="H1254" s="75"/>
      <c r="I1254" s="75"/>
      <c r="J1254" s="61"/>
      <c r="K1254" s="9"/>
      <c r="L1254" s="59"/>
      <c r="M1254" s="7"/>
    </row>
    <row r="1255" spans="3:13" x14ac:dyDescent="0.35">
      <c r="C1255" s="7"/>
      <c r="D1255" s="7"/>
      <c r="E1255" s="81"/>
      <c r="F1255" s="7"/>
      <c r="G1255" s="7"/>
      <c r="H1255" s="75"/>
      <c r="I1255" s="75"/>
      <c r="J1255" s="61"/>
      <c r="K1255" s="9"/>
      <c r="L1255" s="59"/>
      <c r="M1255" s="7"/>
    </row>
    <row r="1256" spans="3:13" s="11" customFormat="1" x14ac:dyDescent="0.35">
      <c r="C1256" s="58"/>
      <c r="D1256" s="58"/>
      <c r="E1256" s="81"/>
      <c r="F1256" s="7"/>
      <c r="G1256" s="58"/>
      <c r="H1256" s="78"/>
      <c r="I1256" s="75"/>
      <c r="J1256" s="61"/>
      <c r="K1256" s="59"/>
      <c r="L1256" s="59"/>
      <c r="M1256" s="58"/>
    </row>
    <row r="1257" spans="3:13" x14ac:dyDescent="0.35">
      <c r="C1257" s="7"/>
      <c r="D1257" s="7"/>
      <c r="E1257" s="7"/>
      <c r="F1257" s="7"/>
      <c r="G1257" s="7"/>
      <c r="H1257" s="75"/>
      <c r="I1257" s="75"/>
      <c r="J1257" s="61"/>
      <c r="K1257" s="9"/>
      <c r="L1257" s="59"/>
      <c r="M1257" s="7"/>
    </row>
    <row r="1258" spans="3:13" x14ac:dyDescent="0.35">
      <c r="C1258" s="7"/>
      <c r="D1258" s="7"/>
      <c r="E1258" s="7"/>
      <c r="F1258" s="7"/>
      <c r="G1258" s="7"/>
      <c r="H1258" s="75"/>
      <c r="I1258" s="75"/>
      <c r="J1258" s="61"/>
      <c r="K1258" s="9"/>
      <c r="L1258" s="59"/>
      <c r="M1258" s="7"/>
    </row>
    <row r="1259" spans="3:13" x14ac:dyDescent="0.35">
      <c r="C1259" s="7"/>
      <c r="D1259" s="7"/>
      <c r="E1259" s="81"/>
      <c r="F1259" s="7"/>
      <c r="G1259" s="7"/>
      <c r="H1259" s="75"/>
      <c r="I1259" s="75"/>
      <c r="J1259" s="61"/>
      <c r="K1259" s="9"/>
      <c r="L1259" s="59"/>
      <c r="M1259" s="7"/>
    </row>
    <row r="1260" spans="3:13" x14ac:dyDescent="0.35">
      <c r="C1260" s="7"/>
      <c r="D1260" s="7"/>
      <c r="E1260" s="81"/>
      <c r="F1260" s="7"/>
      <c r="G1260" s="7"/>
      <c r="H1260" s="75"/>
      <c r="I1260" s="75"/>
      <c r="J1260" s="61"/>
      <c r="K1260" s="9"/>
      <c r="L1260" s="59"/>
      <c r="M1260" s="7"/>
    </row>
    <row r="1261" spans="3:13" x14ac:dyDescent="0.35">
      <c r="C1261" s="7"/>
      <c r="D1261" s="7"/>
      <c r="E1261" s="80"/>
      <c r="F1261" s="7"/>
      <c r="G1261" s="7"/>
      <c r="H1261" s="75"/>
      <c r="I1261" s="75"/>
      <c r="J1261" s="61"/>
      <c r="K1261" s="9"/>
      <c r="L1261" s="59"/>
      <c r="M1261" s="7"/>
    </row>
    <row r="1262" spans="3:13" x14ac:dyDescent="0.35">
      <c r="C1262" s="7"/>
      <c r="D1262" s="7"/>
      <c r="E1262" s="81"/>
      <c r="F1262" s="7"/>
      <c r="G1262" s="7"/>
      <c r="H1262" s="75"/>
      <c r="I1262" s="75"/>
      <c r="J1262" s="61"/>
      <c r="K1262" s="9"/>
      <c r="L1262" s="59"/>
      <c r="M1262" s="7"/>
    </row>
    <row r="1263" spans="3:13" x14ac:dyDescent="0.35">
      <c r="C1263" s="7"/>
      <c r="D1263" s="7"/>
      <c r="E1263" s="7"/>
      <c r="F1263" s="7"/>
      <c r="G1263" s="7"/>
      <c r="H1263" s="75"/>
      <c r="I1263" s="75"/>
      <c r="J1263" s="61"/>
      <c r="K1263" s="9"/>
      <c r="L1263" s="59"/>
      <c r="M1263" s="7"/>
    </row>
    <row r="1264" spans="3:13" x14ac:dyDescent="0.35">
      <c r="C1264" s="7"/>
      <c r="D1264" s="7"/>
      <c r="E1264" s="80"/>
      <c r="F1264" s="7"/>
      <c r="G1264" s="7"/>
      <c r="H1264" s="75"/>
      <c r="I1264" s="75"/>
      <c r="J1264" s="61"/>
      <c r="K1264" s="9"/>
      <c r="L1264" s="59"/>
      <c r="M1264" s="7"/>
    </row>
    <row r="1265" spans="3:13" x14ac:dyDescent="0.35">
      <c r="C1265" s="7"/>
      <c r="D1265" s="7"/>
      <c r="E1265" s="81"/>
      <c r="F1265" s="7"/>
      <c r="G1265" s="7"/>
      <c r="H1265" s="75"/>
      <c r="I1265" s="75"/>
      <c r="J1265" s="61"/>
      <c r="K1265" s="9"/>
      <c r="L1265" s="59"/>
      <c r="M1265" s="7"/>
    </row>
    <row r="1266" spans="3:13" x14ac:dyDescent="0.35">
      <c r="C1266" s="7"/>
      <c r="D1266" s="7"/>
      <c r="E1266" s="81"/>
      <c r="F1266" s="7"/>
      <c r="G1266" s="7"/>
      <c r="H1266" s="75"/>
      <c r="I1266" s="75"/>
      <c r="J1266" s="61"/>
      <c r="K1266" s="9"/>
      <c r="L1266" s="59"/>
      <c r="M1266" s="7"/>
    </row>
    <row r="1267" spans="3:13" x14ac:dyDescent="0.35">
      <c r="C1267" s="7"/>
      <c r="D1267" s="7"/>
      <c r="E1267" s="81"/>
      <c r="F1267" s="7"/>
      <c r="G1267" s="7"/>
      <c r="H1267" s="75"/>
      <c r="I1267" s="75"/>
      <c r="J1267" s="61"/>
      <c r="K1267" s="9"/>
      <c r="L1267" s="59"/>
      <c r="M1267" s="7"/>
    </row>
    <row r="1268" spans="3:13" x14ac:dyDescent="0.35">
      <c r="C1268" s="7"/>
      <c r="D1268" s="7"/>
      <c r="E1268" s="80"/>
      <c r="F1268" s="7"/>
      <c r="G1268" s="7"/>
      <c r="H1268" s="75"/>
      <c r="I1268" s="75"/>
      <c r="J1268" s="61"/>
      <c r="K1268" s="9"/>
      <c r="L1268" s="59"/>
      <c r="M1268" s="7"/>
    </row>
    <row r="1269" spans="3:13" x14ac:dyDescent="0.35">
      <c r="C1269" s="7"/>
      <c r="D1269" s="7"/>
      <c r="E1269" s="80"/>
      <c r="F1269" s="7"/>
      <c r="G1269" s="7"/>
      <c r="H1269" s="75"/>
      <c r="I1269" s="75"/>
      <c r="J1269" s="61"/>
      <c r="K1269" s="9"/>
      <c r="L1269" s="59"/>
      <c r="M1269" s="7"/>
    </row>
    <row r="1270" spans="3:13" x14ac:dyDescent="0.35">
      <c r="C1270" s="7"/>
      <c r="D1270" s="7"/>
      <c r="E1270" s="80"/>
      <c r="F1270" s="7"/>
      <c r="G1270" s="7"/>
      <c r="H1270" s="75"/>
      <c r="I1270" s="75"/>
      <c r="J1270" s="61"/>
      <c r="K1270" s="9"/>
      <c r="L1270" s="59"/>
      <c r="M1270" s="7"/>
    </row>
    <row r="1271" spans="3:13" x14ac:dyDescent="0.35">
      <c r="C1271" s="7"/>
      <c r="D1271" s="7"/>
      <c r="E1271" s="7"/>
      <c r="F1271" s="7"/>
      <c r="G1271" s="7"/>
      <c r="H1271" s="75"/>
      <c r="I1271" s="75"/>
      <c r="J1271" s="61"/>
      <c r="K1271" s="9"/>
      <c r="L1271" s="59"/>
      <c r="M1271" s="7"/>
    </row>
    <row r="1272" spans="3:13" x14ac:dyDescent="0.35">
      <c r="C1272" s="7"/>
      <c r="D1272" s="7"/>
      <c r="E1272" s="80"/>
      <c r="F1272" s="7"/>
      <c r="G1272" s="7"/>
      <c r="H1272" s="75"/>
      <c r="I1272" s="75"/>
      <c r="J1272" s="61"/>
      <c r="K1272" s="9"/>
      <c r="L1272" s="59"/>
      <c r="M1272" s="7"/>
    </row>
    <row r="1273" spans="3:13" x14ac:dyDescent="0.35">
      <c r="C1273" s="7"/>
      <c r="D1273" s="7"/>
      <c r="E1273" s="80"/>
      <c r="F1273" s="58"/>
      <c r="G1273" s="7"/>
      <c r="H1273" s="75"/>
      <c r="I1273" s="75"/>
      <c r="J1273" s="61"/>
      <c r="K1273" s="9"/>
      <c r="L1273" s="59"/>
      <c r="M1273" s="58">
        <v>3</v>
      </c>
    </row>
    <row r="1274" spans="3:13" x14ac:dyDescent="0.35">
      <c r="C1274" s="7"/>
      <c r="D1274" s="7"/>
      <c r="E1274" s="81"/>
      <c r="F1274" s="58"/>
      <c r="G1274" s="7"/>
      <c r="H1274" s="75"/>
      <c r="I1274" s="75"/>
      <c r="J1274" s="61"/>
      <c r="K1274" s="9"/>
      <c r="L1274" s="59"/>
      <c r="M1274" s="58">
        <v>3</v>
      </c>
    </row>
    <row r="1275" spans="3:13" s="11" customFormat="1" x14ac:dyDescent="0.35">
      <c r="C1275" s="58"/>
      <c r="D1275" s="58"/>
      <c r="F1275" s="58"/>
      <c r="G1275" s="58"/>
      <c r="H1275" s="78"/>
      <c r="I1275" s="75"/>
      <c r="J1275" s="61"/>
      <c r="K1275" s="59"/>
      <c r="L1275" s="59"/>
      <c r="M1275" s="7"/>
    </row>
    <row r="1276" spans="3:13" s="11" customFormat="1" x14ac:dyDescent="0.35">
      <c r="C1276" s="58"/>
      <c r="D1276" s="58"/>
      <c r="E1276" s="58"/>
      <c r="F1276" s="58"/>
      <c r="G1276" s="58"/>
      <c r="H1276" s="78"/>
      <c r="I1276" s="75"/>
      <c r="J1276" s="61"/>
      <c r="K1276" s="59"/>
      <c r="L1276" s="59"/>
      <c r="M1276" s="7"/>
    </row>
    <row r="1277" spans="3:13" s="11" customFormat="1" x14ac:dyDescent="0.35">
      <c r="C1277" s="58"/>
      <c r="D1277" s="58"/>
      <c r="E1277" s="58"/>
      <c r="F1277" s="58"/>
      <c r="G1277" s="58"/>
      <c r="H1277" s="78"/>
      <c r="I1277" s="78"/>
      <c r="J1277" s="61"/>
      <c r="K1277" s="59"/>
      <c r="L1277" s="59"/>
      <c r="M1277" s="58"/>
    </row>
    <row r="1278" spans="3:13" s="11" customFormat="1" x14ac:dyDescent="0.35">
      <c r="C1278" s="58"/>
      <c r="D1278" s="58"/>
      <c r="E1278" s="81"/>
      <c r="F1278" s="58"/>
      <c r="G1278" s="58"/>
      <c r="H1278" s="78"/>
      <c r="I1278" s="78"/>
      <c r="J1278" s="61"/>
      <c r="K1278" s="59"/>
      <c r="L1278" s="59"/>
      <c r="M1278" s="58"/>
    </row>
    <row r="1279" spans="3:13" s="11" customFormat="1" x14ac:dyDescent="0.35">
      <c r="C1279" s="58"/>
      <c r="D1279" s="58"/>
      <c r="E1279" s="58"/>
      <c r="F1279" s="58"/>
      <c r="G1279" s="58"/>
      <c r="H1279" s="78"/>
      <c r="I1279" s="75"/>
      <c r="J1279" s="61"/>
      <c r="K1279" s="59"/>
      <c r="L1279" s="59"/>
      <c r="M1279" s="58"/>
    </row>
    <row r="1280" spans="3:13" s="11" customFormat="1" x14ac:dyDescent="0.35">
      <c r="C1280" s="58"/>
      <c r="D1280" s="58"/>
      <c r="E1280" s="81"/>
      <c r="F1280" s="58"/>
      <c r="G1280" s="58"/>
      <c r="H1280" s="78"/>
      <c r="I1280" s="75"/>
      <c r="J1280" s="61"/>
      <c r="K1280" s="59"/>
      <c r="L1280" s="59"/>
      <c r="M1280" s="58"/>
    </row>
    <row r="1281" spans="3:13" s="11" customFormat="1" x14ac:dyDescent="0.35">
      <c r="C1281" s="58"/>
      <c r="D1281" s="58"/>
      <c r="E1281" s="81"/>
      <c r="F1281" s="58"/>
      <c r="G1281" s="58"/>
      <c r="H1281" s="78"/>
      <c r="I1281" s="75"/>
      <c r="J1281" s="61"/>
      <c r="K1281" s="59"/>
      <c r="L1281" s="59"/>
      <c r="M1281" s="7"/>
    </row>
    <row r="1282" spans="3:13" s="11" customFormat="1" x14ac:dyDescent="0.35">
      <c r="C1282" s="58"/>
      <c r="D1282" s="58"/>
      <c r="E1282" s="108"/>
      <c r="F1282" s="58"/>
      <c r="G1282" s="58"/>
      <c r="H1282" s="78"/>
      <c r="I1282" s="75"/>
      <c r="J1282" s="61"/>
      <c r="K1282" s="59"/>
      <c r="L1282" s="59"/>
      <c r="M1282" s="7"/>
    </row>
    <row r="1283" spans="3:13" x14ac:dyDescent="0.35">
      <c r="C1283" s="58"/>
      <c r="D1283" s="58"/>
      <c r="E1283" s="58"/>
      <c r="F1283" s="144"/>
      <c r="G1283" s="58"/>
      <c r="H1283" s="63"/>
      <c r="I1283" s="75"/>
      <c r="J1283" s="61"/>
      <c r="K1283" s="59"/>
      <c r="L1283" s="59"/>
      <c r="M1283" s="58">
        <v>3</v>
      </c>
    </row>
    <row r="1284" spans="3:13" x14ac:dyDescent="0.35">
      <c r="C1284" s="58"/>
      <c r="D1284" s="58"/>
      <c r="E1284" s="144"/>
      <c r="F1284" s="58"/>
      <c r="G1284" s="58"/>
      <c r="H1284" s="63"/>
      <c r="I1284" s="75"/>
      <c r="J1284" s="61"/>
      <c r="K1284" s="59"/>
      <c r="L1284" s="59"/>
      <c r="M1284" s="58">
        <v>3</v>
      </c>
    </row>
    <row r="1285" spans="3:13" x14ac:dyDescent="0.35">
      <c r="C1285" s="144"/>
      <c r="D1285" s="144"/>
      <c r="E1285" s="81"/>
      <c r="F1285" s="58"/>
      <c r="G1285" s="144"/>
      <c r="H1285" s="145"/>
      <c r="I1285" s="146"/>
      <c r="J1285" s="145"/>
      <c r="K1285" s="147"/>
      <c r="L1285" s="59"/>
      <c r="M1285" s="58">
        <v>3</v>
      </c>
    </row>
    <row r="1286" spans="3:13" x14ac:dyDescent="0.35">
      <c r="C1286" s="58"/>
      <c r="D1286" s="58"/>
      <c r="E1286" s="58"/>
      <c r="F1286" s="58"/>
      <c r="G1286" s="58"/>
      <c r="H1286" s="63"/>
      <c r="I1286" s="75"/>
      <c r="J1286" s="61"/>
      <c r="K1286" s="59"/>
      <c r="L1286" s="59"/>
      <c r="M1286" s="58">
        <v>3</v>
      </c>
    </row>
    <row r="1287" spans="3:13" x14ac:dyDescent="0.35">
      <c r="C1287" s="58"/>
      <c r="D1287" s="58"/>
      <c r="E1287" s="58"/>
      <c r="F1287" s="58"/>
      <c r="G1287" s="58"/>
      <c r="H1287" s="63"/>
      <c r="I1287" s="75"/>
      <c r="J1287" s="61"/>
      <c r="K1287" s="59"/>
      <c r="L1287" s="59"/>
      <c r="M1287" s="58">
        <v>3</v>
      </c>
    </row>
    <row r="1288" spans="3:13" x14ac:dyDescent="0.35">
      <c r="C1288" s="58"/>
      <c r="D1288" s="58"/>
      <c r="E1288" s="81"/>
      <c r="F1288" s="58"/>
      <c r="G1288" s="58"/>
      <c r="H1288" s="63"/>
      <c r="I1288" s="75"/>
      <c r="J1288" s="61"/>
      <c r="K1288" s="59"/>
      <c r="L1288" s="59"/>
      <c r="M1288" s="58">
        <v>3</v>
      </c>
    </row>
    <row r="1289" spans="3:13" x14ac:dyDescent="0.35">
      <c r="C1289" s="58"/>
      <c r="D1289" s="58"/>
      <c r="E1289" s="81"/>
      <c r="F1289" s="7"/>
      <c r="G1289" s="58"/>
      <c r="H1289" s="63"/>
      <c r="I1289" s="75"/>
      <c r="J1289" s="61"/>
      <c r="K1289" s="59"/>
      <c r="L1289" s="59"/>
      <c r="M1289" s="58">
        <v>3</v>
      </c>
    </row>
    <row r="1290" spans="3:13" x14ac:dyDescent="0.35">
      <c r="C1290" s="58"/>
      <c r="D1290" s="58"/>
      <c r="E1290" s="80"/>
      <c r="F1290" s="7"/>
      <c r="G1290" s="58"/>
      <c r="H1290" s="63"/>
      <c r="I1290" s="75"/>
      <c r="J1290" s="61"/>
      <c r="K1290" s="59"/>
      <c r="L1290" s="59"/>
      <c r="M1290" s="58">
        <v>3</v>
      </c>
    </row>
    <row r="1291" spans="3:13" x14ac:dyDescent="0.35">
      <c r="C1291" s="58"/>
      <c r="D1291" s="58"/>
      <c r="E1291" s="7"/>
      <c r="F1291" s="7"/>
      <c r="G1291" s="7"/>
      <c r="H1291" s="63"/>
      <c r="I1291" s="75"/>
      <c r="J1291" s="61"/>
      <c r="K1291" s="59"/>
      <c r="L1291" s="59"/>
      <c r="M1291" s="58">
        <v>3</v>
      </c>
    </row>
    <row r="1292" spans="3:13" x14ac:dyDescent="0.35">
      <c r="C1292" s="58"/>
      <c r="D1292" s="58"/>
      <c r="E1292" s="7"/>
      <c r="F1292" s="7"/>
      <c r="G1292" s="7"/>
      <c r="H1292" s="63"/>
      <c r="I1292" s="75"/>
      <c r="J1292" s="61"/>
      <c r="K1292" s="59"/>
      <c r="L1292" s="59"/>
      <c r="M1292" s="58">
        <v>3</v>
      </c>
    </row>
    <row r="1293" spans="3:13" x14ac:dyDescent="0.35">
      <c r="C1293" s="58"/>
      <c r="D1293" s="7"/>
      <c r="E1293" s="7"/>
      <c r="F1293" s="7"/>
      <c r="G1293" s="7"/>
      <c r="H1293" s="63"/>
      <c r="I1293" s="75"/>
      <c r="J1293" s="61"/>
      <c r="K1293" s="9"/>
      <c r="L1293" s="59"/>
      <c r="M1293" s="58">
        <v>3</v>
      </c>
    </row>
    <row r="1294" spans="3:13" x14ac:dyDescent="0.35">
      <c r="C1294" s="58"/>
      <c r="D1294" s="7"/>
      <c r="E1294" s="7"/>
      <c r="F1294" s="7"/>
      <c r="G1294" s="7"/>
      <c r="H1294" s="63"/>
      <c r="I1294" s="75"/>
      <c r="J1294" s="61"/>
      <c r="K1294" s="9"/>
      <c r="L1294" s="59"/>
      <c r="M1294" s="58">
        <v>3</v>
      </c>
    </row>
    <row r="1295" spans="3:13" x14ac:dyDescent="0.35">
      <c r="C1295" s="58"/>
      <c r="D1295" s="58"/>
      <c r="E1295" s="7"/>
      <c r="F1295" s="7"/>
      <c r="G1295" s="7"/>
      <c r="H1295" s="63"/>
      <c r="I1295" s="75"/>
      <c r="J1295" s="61"/>
      <c r="K1295" s="9"/>
      <c r="L1295" s="59"/>
      <c r="M1295" s="58">
        <v>3</v>
      </c>
    </row>
    <row r="1296" spans="3:13" x14ac:dyDescent="0.35">
      <c r="C1296" s="58"/>
      <c r="D1296" s="58"/>
      <c r="E1296" s="7"/>
      <c r="F1296" s="7"/>
      <c r="G1296" s="7"/>
      <c r="H1296" s="63"/>
      <c r="I1296" s="75"/>
      <c r="J1296" s="61"/>
      <c r="K1296" s="9"/>
      <c r="L1296" s="59"/>
      <c r="M1296" s="58">
        <v>3</v>
      </c>
    </row>
    <row r="1297" spans="3:13" x14ac:dyDescent="0.35">
      <c r="C1297" s="58"/>
      <c r="D1297" s="58"/>
      <c r="E1297" s="7"/>
      <c r="F1297" s="7"/>
      <c r="G1297" s="7"/>
      <c r="H1297" s="63"/>
      <c r="I1297" s="75"/>
      <c r="J1297" s="61"/>
      <c r="K1297" s="9"/>
      <c r="L1297" s="59"/>
      <c r="M1297" s="58">
        <v>3</v>
      </c>
    </row>
    <row r="1298" spans="3:13" x14ac:dyDescent="0.35">
      <c r="C1298" s="58"/>
      <c r="D1298" s="58"/>
      <c r="E1298" s="7"/>
      <c r="F1298" s="7"/>
      <c r="G1298" s="7"/>
      <c r="H1298" s="63"/>
      <c r="I1298" s="75"/>
      <c r="J1298" s="61"/>
      <c r="K1298" s="9"/>
      <c r="L1298" s="59"/>
      <c r="M1298" s="58">
        <v>3</v>
      </c>
    </row>
    <row r="1299" spans="3:13" x14ac:dyDescent="0.35">
      <c r="C1299" s="58"/>
      <c r="D1299" s="7"/>
      <c r="E1299" s="7"/>
      <c r="F1299" s="7"/>
      <c r="G1299" s="7"/>
      <c r="H1299" s="63"/>
      <c r="I1299" s="75"/>
      <c r="J1299" s="61"/>
      <c r="K1299" s="9"/>
      <c r="L1299" s="59"/>
      <c r="M1299" s="58">
        <v>3</v>
      </c>
    </row>
    <row r="1300" spans="3:13" x14ac:dyDescent="0.35">
      <c r="C1300" s="58"/>
      <c r="D1300" s="58"/>
      <c r="E1300" s="80"/>
      <c r="F1300" s="7"/>
      <c r="G1300" s="7"/>
      <c r="H1300" s="63"/>
      <c r="I1300" s="75"/>
      <c r="J1300" s="61"/>
      <c r="K1300" s="9"/>
      <c r="L1300" s="59"/>
      <c r="M1300" s="58">
        <v>3</v>
      </c>
    </row>
    <row r="1301" spans="3:13" x14ac:dyDescent="0.35">
      <c r="C1301" s="58"/>
      <c r="D1301" s="58"/>
      <c r="E1301" s="80"/>
      <c r="F1301" s="7"/>
      <c r="G1301" s="7"/>
      <c r="H1301" s="63"/>
      <c r="I1301" s="75"/>
      <c r="J1301" s="61"/>
      <c r="K1301" s="9"/>
      <c r="L1301" s="59"/>
      <c r="M1301" s="58">
        <v>3</v>
      </c>
    </row>
    <row r="1302" spans="3:13" x14ac:dyDescent="0.35">
      <c r="C1302" s="58"/>
      <c r="D1302" s="58"/>
      <c r="E1302" s="80"/>
      <c r="F1302" s="7"/>
      <c r="G1302" s="7"/>
      <c r="H1302" s="63"/>
      <c r="I1302" s="75"/>
      <c r="J1302" s="61"/>
      <c r="K1302" s="9"/>
      <c r="L1302" s="59"/>
      <c r="M1302" s="58">
        <v>3</v>
      </c>
    </row>
    <row r="1303" spans="3:13" x14ac:dyDescent="0.35">
      <c r="C1303" s="58"/>
      <c r="D1303" s="58"/>
      <c r="E1303" s="80"/>
      <c r="F1303" s="7"/>
      <c r="G1303" s="7"/>
      <c r="H1303" s="63"/>
      <c r="I1303" s="75"/>
      <c r="J1303" s="61"/>
      <c r="K1303" s="9"/>
      <c r="L1303" s="59"/>
      <c r="M1303" s="58">
        <v>3</v>
      </c>
    </row>
    <row r="1304" spans="3:13" x14ac:dyDescent="0.35">
      <c r="C1304" s="58"/>
      <c r="D1304" s="58"/>
      <c r="E1304" s="7"/>
      <c r="F1304" s="7"/>
      <c r="G1304" s="7"/>
      <c r="H1304" s="63"/>
      <c r="I1304" s="75"/>
      <c r="J1304" s="61"/>
      <c r="K1304" s="9"/>
      <c r="L1304" s="59"/>
      <c r="M1304" s="58">
        <v>3</v>
      </c>
    </row>
    <row r="1305" spans="3:13" x14ac:dyDescent="0.35">
      <c r="C1305" s="58"/>
      <c r="D1305" s="58"/>
      <c r="E1305" s="7"/>
      <c r="F1305" s="7"/>
      <c r="G1305" s="7"/>
      <c r="H1305" s="63"/>
      <c r="I1305" s="75"/>
      <c r="J1305" s="61"/>
      <c r="K1305" s="9"/>
      <c r="L1305" s="59"/>
      <c r="M1305" s="58">
        <v>3</v>
      </c>
    </row>
    <row r="1306" spans="3:13" x14ac:dyDescent="0.35">
      <c r="C1306" s="58"/>
      <c r="D1306" s="58"/>
      <c r="E1306" s="7"/>
      <c r="F1306" s="7"/>
      <c r="G1306" s="7"/>
      <c r="H1306" s="63"/>
      <c r="I1306" s="75"/>
      <c r="J1306" s="61"/>
      <c r="K1306" s="9"/>
      <c r="L1306" s="59"/>
      <c r="M1306" s="58">
        <v>3</v>
      </c>
    </row>
    <row r="1307" spans="3:13" x14ac:dyDescent="0.35">
      <c r="C1307" s="58"/>
      <c r="D1307" s="58"/>
      <c r="E1307" s="7"/>
      <c r="F1307" s="7"/>
      <c r="G1307" s="7"/>
      <c r="H1307" s="63"/>
      <c r="I1307" s="75"/>
      <c r="J1307" s="61"/>
      <c r="K1307" s="9"/>
      <c r="L1307" s="59"/>
      <c r="M1307" s="58">
        <v>3</v>
      </c>
    </row>
    <row r="1308" spans="3:13" x14ac:dyDescent="0.35">
      <c r="C1308" s="58"/>
      <c r="D1308" s="58"/>
      <c r="E1308" s="7"/>
      <c r="F1308" s="7"/>
      <c r="G1308" s="7"/>
      <c r="H1308" s="63"/>
      <c r="I1308" s="75"/>
      <c r="J1308" s="61"/>
      <c r="K1308" s="9"/>
      <c r="L1308" s="59"/>
      <c r="M1308" s="58">
        <v>3</v>
      </c>
    </row>
    <row r="1309" spans="3:13" x14ac:dyDescent="0.35">
      <c r="C1309" s="58"/>
      <c r="D1309" s="58"/>
      <c r="E1309" s="7"/>
      <c r="F1309" s="7"/>
      <c r="G1309" s="7"/>
      <c r="H1309" s="75"/>
      <c r="I1309" s="75"/>
      <c r="J1309" s="61"/>
      <c r="K1309" s="9"/>
      <c r="L1309" s="59"/>
      <c r="M1309" s="58">
        <v>3</v>
      </c>
    </row>
    <row r="1310" spans="3:13" x14ac:dyDescent="0.35">
      <c r="C1310" s="58"/>
      <c r="D1310" s="58"/>
      <c r="E1310" s="7"/>
      <c r="F1310" s="7"/>
      <c r="G1310" s="7"/>
      <c r="H1310" s="63"/>
      <c r="I1310" s="75"/>
      <c r="J1310" s="61"/>
      <c r="K1310" s="9"/>
      <c r="L1310" s="59"/>
      <c r="M1310" s="58">
        <v>3</v>
      </c>
    </row>
    <row r="1311" spans="3:13" x14ac:dyDescent="0.35">
      <c r="C1311" s="58"/>
      <c r="D1311" s="7"/>
      <c r="E1311" s="7"/>
      <c r="F1311" s="7"/>
      <c r="G1311" s="7"/>
      <c r="H1311" s="63"/>
      <c r="I1311" s="75"/>
      <c r="J1311" s="61"/>
      <c r="K1311" s="9"/>
      <c r="L1311" s="59"/>
      <c r="M1311" s="58">
        <v>3</v>
      </c>
    </row>
    <row r="1312" spans="3:13" s="107" customFormat="1" x14ac:dyDescent="0.35">
      <c r="C1312" s="58"/>
      <c r="D1312" s="58"/>
      <c r="E1312" s="7"/>
      <c r="F1312" s="58"/>
      <c r="G1312" s="7"/>
      <c r="H1312" s="63"/>
      <c r="I1312" s="75"/>
      <c r="J1312" s="61"/>
      <c r="K1312" s="9"/>
      <c r="L1312" s="59"/>
      <c r="M1312" s="58">
        <v>3</v>
      </c>
    </row>
    <row r="1313" spans="3:13" x14ac:dyDescent="0.35">
      <c r="C1313" s="58"/>
      <c r="D1313" s="58"/>
      <c r="E1313" s="81"/>
      <c r="F1313" s="58"/>
      <c r="G1313" s="7"/>
      <c r="H1313" s="63"/>
      <c r="I1313" s="75"/>
      <c r="J1313" s="61"/>
      <c r="K1313" s="9"/>
      <c r="L1313" s="59"/>
      <c r="M1313" s="58">
        <v>3</v>
      </c>
    </row>
    <row r="1314" spans="3:13" x14ac:dyDescent="0.35">
      <c r="C1314" s="58"/>
      <c r="D1314" s="58"/>
      <c r="E1314" s="81"/>
      <c r="F1314" s="58"/>
      <c r="G1314" s="58"/>
      <c r="H1314" s="78"/>
      <c r="I1314" s="75"/>
      <c r="J1314" s="61"/>
      <c r="K1314" s="59"/>
      <c r="L1314" s="59"/>
      <c r="M1314" s="58">
        <v>3</v>
      </c>
    </row>
    <row r="1315" spans="3:13" x14ac:dyDescent="0.35">
      <c r="C1315" s="58"/>
      <c r="D1315" s="58"/>
      <c r="E1315" s="58"/>
      <c r="F1315" s="58"/>
      <c r="G1315" s="58"/>
      <c r="H1315" s="78"/>
      <c r="I1315" s="75"/>
      <c r="J1315" s="61"/>
      <c r="K1315" s="59"/>
      <c r="L1315" s="59"/>
      <c r="M1315" s="58">
        <v>3</v>
      </c>
    </row>
    <row r="1316" spans="3:13" s="11" customFormat="1" x14ac:dyDescent="0.35">
      <c r="C1316" s="58"/>
      <c r="D1316" s="58"/>
      <c r="E1316" s="81"/>
      <c r="F1316" s="58"/>
      <c r="G1316" s="58"/>
      <c r="H1316" s="78"/>
      <c r="I1316" s="78"/>
      <c r="J1316" s="61"/>
      <c r="K1316" s="59"/>
      <c r="L1316" s="59"/>
      <c r="M1316" s="58">
        <v>3</v>
      </c>
    </row>
    <row r="1317" spans="3:13" s="11" customFormat="1" x14ac:dyDescent="0.35">
      <c r="C1317" s="58"/>
      <c r="D1317" s="58"/>
      <c r="E1317" s="58"/>
      <c r="F1317" s="58"/>
      <c r="G1317" s="58"/>
      <c r="H1317" s="78"/>
      <c r="I1317" s="78"/>
      <c r="J1317" s="61"/>
      <c r="K1317" s="59"/>
      <c r="L1317" s="59"/>
      <c r="M1317" s="58">
        <v>3</v>
      </c>
    </row>
    <row r="1318" spans="3:13" s="11" customFormat="1" x14ac:dyDescent="0.35">
      <c r="C1318" s="144"/>
      <c r="D1318" s="58"/>
      <c r="E1318" s="81"/>
      <c r="F1318" s="7"/>
      <c r="G1318" s="58"/>
      <c r="H1318" s="78"/>
      <c r="I1318" s="78"/>
      <c r="J1318" s="61"/>
      <c r="K1318" s="59"/>
      <c r="L1318" s="59"/>
      <c r="M1318" s="58">
        <v>3</v>
      </c>
    </row>
    <row r="1319" spans="3:13" s="11" customFormat="1" x14ac:dyDescent="0.35">
      <c r="C1319" s="58"/>
      <c r="D1319" s="58"/>
      <c r="E1319" s="7"/>
      <c r="F1319" s="58"/>
      <c r="G1319" s="58"/>
      <c r="H1319" s="78"/>
      <c r="I1319" s="78"/>
      <c r="J1319" s="61"/>
      <c r="K1319" s="59"/>
      <c r="L1319" s="59"/>
      <c r="M1319" s="58">
        <v>3</v>
      </c>
    </row>
    <row r="1320" spans="3:13" x14ac:dyDescent="0.35">
      <c r="C1320" s="58"/>
      <c r="D1320" s="7"/>
      <c r="E1320" s="81"/>
      <c r="F1320" s="58"/>
      <c r="G1320" s="7"/>
      <c r="H1320" s="75"/>
      <c r="I1320" s="75"/>
      <c r="J1320" s="61"/>
      <c r="K1320" s="9"/>
      <c r="L1320" s="59"/>
      <c r="M1320" s="58">
        <v>3</v>
      </c>
    </row>
    <row r="1321" spans="3:13" x14ac:dyDescent="0.35">
      <c r="C1321" s="58"/>
      <c r="D1321" s="58"/>
      <c r="E1321" s="58"/>
      <c r="F1321" s="58"/>
      <c r="G1321" s="58"/>
      <c r="H1321" s="78"/>
      <c r="I1321" s="75"/>
      <c r="J1321" s="61"/>
      <c r="K1321" s="59"/>
      <c r="L1321" s="59"/>
      <c r="M1321" s="58">
        <v>3</v>
      </c>
    </row>
    <row r="1322" spans="3:13" s="11" customFormat="1" x14ac:dyDescent="0.35">
      <c r="C1322" s="58"/>
      <c r="D1322" s="58"/>
      <c r="E1322" s="81"/>
      <c r="F1322" s="58"/>
      <c r="G1322" s="58"/>
      <c r="H1322" s="78"/>
      <c r="I1322" s="78"/>
      <c r="J1322" s="61"/>
      <c r="K1322" s="59"/>
      <c r="L1322" s="59"/>
      <c r="M1322" s="58">
        <v>3</v>
      </c>
    </row>
    <row r="1323" spans="3:13" s="11" customFormat="1" x14ac:dyDescent="0.35">
      <c r="C1323" s="58"/>
      <c r="D1323" s="58"/>
      <c r="E1323" s="81"/>
      <c r="F1323" s="7"/>
      <c r="G1323" s="58"/>
      <c r="H1323" s="78"/>
      <c r="I1323" s="78"/>
      <c r="J1323" s="61"/>
      <c r="K1323" s="59"/>
      <c r="L1323" s="59"/>
      <c r="M1323" s="58">
        <v>3</v>
      </c>
    </row>
    <row r="1324" spans="3:13" s="11" customFormat="1" x14ac:dyDescent="0.35">
      <c r="C1324" s="58"/>
      <c r="D1324" s="58"/>
      <c r="E1324" s="80"/>
      <c r="F1324" s="58"/>
      <c r="G1324" s="58"/>
      <c r="H1324" s="78"/>
      <c r="I1324" s="78"/>
      <c r="J1324" s="61"/>
      <c r="K1324" s="59"/>
      <c r="L1324" s="59"/>
      <c r="M1324" s="58">
        <v>3</v>
      </c>
    </row>
    <row r="1325" spans="3:13" x14ac:dyDescent="0.35">
      <c r="C1325" s="58"/>
      <c r="D1325" s="7"/>
      <c r="E1325" s="81"/>
      <c r="F1325" s="7"/>
      <c r="G1325" s="7"/>
      <c r="H1325" s="75"/>
      <c r="I1325" s="75"/>
      <c r="J1325" s="61"/>
      <c r="K1325" s="9"/>
      <c r="L1325" s="59"/>
      <c r="M1325" s="58">
        <v>3</v>
      </c>
    </row>
    <row r="1326" spans="3:13" s="11" customFormat="1" x14ac:dyDescent="0.35">
      <c r="C1326" s="58"/>
      <c r="D1326" s="58"/>
      <c r="E1326" s="80"/>
      <c r="F1326" s="58"/>
      <c r="G1326" s="58"/>
      <c r="H1326" s="78"/>
      <c r="I1326" s="75"/>
      <c r="J1326" s="61"/>
      <c r="K1326" s="59"/>
      <c r="L1326" s="59"/>
      <c r="M1326" s="58">
        <v>3</v>
      </c>
    </row>
    <row r="1327" spans="3:13" x14ac:dyDescent="0.35">
      <c r="C1327" s="58"/>
      <c r="D1327" s="7"/>
      <c r="E1327" s="81"/>
      <c r="F1327" s="58"/>
      <c r="G1327" s="7"/>
      <c r="H1327" s="75"/>
      <c r="I1327" s="75"/>
      <c r="J1327" s="61"/>
      <c r="K1327" s="9"/>
      <c r="L1327" s="59"/>
      <c r="M1327" s="58">
        <v>3</v>
      </c>
    </row>
    <row r="1328" spans="3:13" s="11" customFormat="1" x14ac:dyDescent="0.35">
      <c r="C1328" s="58"/>
      <c r="D1328" s="58"/>
      <c r="E1328" s="81"/>
      <c r="F1328" s="58"/>
      <c r="G1328" s="58"/>
      <c r="H1328" s="78"/>
      <c r="I1328" s="75"/>
      <c r="J1328" s="61"/>
      <c r="K1328" s="59"/>
      <c r="L1328" s="59"/>
      <c r="M1328" s="58">
        <v>3</v>
      </c>
    </row>
    <row r="1329" spans="3:13" s="11" customFormat="1" x14ac:dyDescent="0.35">
      <c r="C1329" s="58"/>
      <c r="D1329" s="58"/>
      <c r="E1329" s="81"/>
      <c r="F1329" s="58"/>
      <c r="G1329" s="58"/>
      <c r="H1329" s="78"/>
      <c r="I1329" s="78"/>
      <c r="J1329" s="61"/>
      <c r="K1329" s="59"/>
      <c r="L1329" s="59"/>
      <c r="M1329" s="58">
        <v>3</v>
      </c>
    </row>
    <row r="1330" spans="3:13" s="11" customFormat="1" x14ac:dyDescent="0.35">
      <c r="C1330" s="58"/>
      <c r="D1330" s="58"/>
      <c r="E1330" s="81"/>
      <c r="F1330" s="58"/>
      <c r="G1330" s="58"/>
      <c r="H1330" s="78"/>
      <c r="I1330" s="78"/>
      <c r="J1330" s="61"/>
      <c r="K1330" s="59"/>
      <c r="L1330" s="59"/>
      <c r="M1330" s="58">
        <v>3</v>
      </c>
    </row>
    <row r="1331" spans="3:13" s="11" customFormat="1" x14ac:dyDescent="0.35">
      <c r="C1331" s="58"/>
      <c r="D1331" s="58"/>
      <c r="E1331" s="81"/>
      <c r="F1331" s="58"/>
      <c r="G1331" s="58"/>
      <c r="H1331" s="78"/>
      <c r="I1331" s="78"/>
      <c r="J1331" s="61"/>
      <c r="K1331" s="59"/>
      <c r="L1331" s="59"/>
      <c r="M1331" s="58">
        <v>3</v>
      </c>
    </row>
    <row r="1332" spans="3:13" s="11" customFormat="1" x14ac:dyDescent="0.35">
      <c r="C1332" s="58"/>
      <c r="D1332" s="58"/>
      <c r="E1332" s="58"/>
      <c r="F1332" s="58"/>
      <c r="G1332" s="58"/>
      <c r="H1332" s="78"/>
      <c r="I1332" s="78"/>
      <c r="J1332" s="61"/>
      <c r="K1332" s="59"/>
      <c r="L1332" s="59"/>
      <c r="M1332" s="58">
        <v>3</v>
      </c>
    </row>
    <row r="1333" spans="3:13" s="11" customFormat="1" x14ac:dyDescent="0.35">
      <c r="C1333" s="58"/>
      <c r="D1333" s="58"/>
      <c r="E1333" s="58"/>
      <c r="F1333" s="7"/>
      <c r="G1333" s="58"/>
      <c r="H1333" s="78"/>
      <c r="I1333" s="78"/>
      <c r="J1333" s="61"/>
      <c r="K1333" s="59"/>
      <c r="L1333" s="59"/>
      <c r="M1333" s="58">
        <v>3</v>
      </c>
    </row>
    <row r="1334" spans="3:13" s="11" customFormat="1" x14ac:dyDescent="0.35">
      <c r="C1334" s="58"/>
      <c r="D1334" s="58"/>
      <c r="E1334" s="80"/>
      <c r="F1334" s="7"/>
      <c r="G1334" s="58"/>
      <c r="H1334" s="78"/>
      <c r="I1334" s="78"/>
      <c r="J1334" s="61"/>
      <c r="K1334" s="59"/>
      <c r="L1334" s="59"/>
      <c r="M1334" s="58">
        <v>3</v>
      </c>
    </row>
    <row r="1335" spans="3:13" x14ac:dyDescent="0.35">
      <c r="C1335" s="58"/>
      <c r="D1335" s="7"/>
      <c r="E1335" s="80"/>
      <c r="F1335" s="7"/>
      <c r="G1335" s="7"/>
      <c r="H1335" s="75"/>
      <c r="I1335" s="75"/>
      <c r="J1335" s="61"/>
      <c r="K1335" s="9"/>
      <c r="L1335" s="59"/>
      <c r="M1335" s="58">
        <v>3</v>
      </c>
    </row>
    <row r="1336" spans="3:13" x14ac:dyDescent="0.35">
      <c r="C1336" s="58"/>
      <c r="D1336" s="7"/>
      <c r="E1336" s="80"/>
      <c r="F1336" s="7"/>
      <c r="G1336" s="7"/>
      <c r="H1336" s="75"/>
      <c r="I1336" s="75"/>
      <c r="J1336" s="61"/>
      <c r="K1336" s="9"/>
      <c r="L1336" s="59"/>
      <c r="M1336" s="58">
        <v>3</v>
      </c>
    </row>
    <row r="1337" spans="3:13" x14ac:dyDescent="0.35">
      <c r="C1337" s="58"/>
      <c r="D1337" s="7"/>
      <c r="E1337" s="80"/>
      <c r="F1337" s="7"/>
      <c r="G1337" s="7"/>
      <c r="H1337" s="75"/>
      <c r="I1337" s="75"/>
      <c r="J1337" s="61"/>
      <c r="K1337" s="9"/>
      <c r="L1337" s="59"/>
      <c r="M1337" s="58">
        <v>3</v>
      </c>
    </row>
    <row r="1338" spans="3:13" x14ac:dyDescent="0.35">
      <c r="C1338" s="58"/>
      <c r="D1338" s="7"/>
      <c r="E1338" s="80"/>
      <c r="F1338" s="7"/>
      <c r="G1338" s="7"/>
      <c r="H1338" s="75"/>
      <c r="I1338" s="75"/>
      <c r="J1338" s="61"/>
      <c r="K1338" s="9"/>
      <c r="L1338" s="59"/>
      <c r="M1338" s="58">
        <v>3</v>
      </c>
    </row>
    <row r="1339" spans="3:13" x14ac:dyDescent="0.35">
      <c r="C1339" s="58"/>
      <c r="D1339" s="7"/>
      <c r="E1339" s="80"/>
      <c r="F1339" s="7"/>
      <c r="G1339" s="7"/>
      <c r="H1339" s="75"/>
      <c r="I1339" s="75"/>
      <c r="J1339" s="61"/>
      <c r="K1339" s="9"/>
      <c r="L1339" s="59"/>
      <c r="M1339" s="58">
        <v>3</v>
      </c>
    </row>
    <row r="1340" spans="3:13" x14ac:dyDescent="0.35">
      <c r="C1340" s="58"/>
      <c r="D1340" s="7"/>
      <c r="E1340" s="80"/>
      <c r="F1340" s="7"/>
      <c r="G1340" s="7"/>
      <c r="H1340" s="75"/>
      <c r="I1340" s="75"/>
      <c r="J1340" s="61"/>
      <c r="K1340" s="9"/>
      <c r="L1340" s="59"/>
      <c r="M1340" s="58">
        <v>3</v>
      </c>
    </row>
    <row r="1341" spans="3:13" x14ac:dyDescent="0.35">
      <c r="C1341" s="58"/>
      <c r="D1341" s="7"/>
      <c r="E1341" s="80"/>
      <c r="F1341" s="58"/>
      <c r="G1341" s="7"/>
      <c r="H1341" s="75"/>
      <c r="I1341" s="75"/>
      <c r="J1341" s="61"/>
      <c r="K1341" s="9"/>
      <c r="L1341" s="59"/>
      <c r="M1341" s="58">
        <v>3</v>
      </c>
    </row>
    <row r="1342" spans="3:13" x14ac:dyDescent="0.35">
      <c r="C1342" s="58"/>
      <c r="D1342" s="7"/>
      <c r="E1342" s="81"/>
      <c r="F1342" s="7"/>
      <c r="G1342" s="7"/>
      <c r="H1342" s="75"/>
      <c r="I1342" s="75"/>
      <c r="J1342" s="61"/>
      <c r="K1342" s="9"/>
      <c r="L1342" s="59"/>
      <c r="M1342" s="58">
        <v>3</v>
      </c>
    </row>
    <row r="1343" spans="3:13" x14ac:dyDescent="0.35">
      <c r="C1343" s="58"/>
      <c r="D1343" s="58"/>
      <c r="E1343" s="80"/>
      <c r="F1343" s="58"/>
      <c r="G1343" s="58"/>
      <c r="H1343" s="78"/>
      <c r="I1343" s="78"/>
      <c r="J1343" s="61"/>
      <c r="K1343" s="59"/>
      <c r="L1343" s="59"/>
      <c r="M1343" s="58">
        <v>3</v>
      </c>
    </row>
    <row r="1344" spans="3:13" x14ac:dyDescent="0.35">
      <c r="C1344" s="58"/>
      <c r="D1344" s="7"/>
      <c r="E1344" s="81"/>
      <c r="F1344" s="58"/>
      <c r="G1344" s="7"/>
      <c r="H1344" s="75"/>
      <c r="I1344" s="75"/>
      <c r="J1344" s="61"/>
      <c r="K1344" s="9"/>
      <c r="L1344" s="59"/>
      <c r="M1344" s="58">
        <v>3</v>
      </c>
    </row>
    <row r="1345" spans="3:13" x14ac:dyDescent="0.35">
      <c r="C1345" s="58"/>
      <c r="D1345" s="58"/>
      <c r="E1345" s="81"/>
      <c r="F1345" s="58"/>
      <c r="G1345" s="58"/>
      <c r="H1345" s="78"/>
      <c r="I1345" s="78"/>
      <c r="J1345" s="61"/>
      <c r="K1345" s="59"/>
      <c r="L1345" s="59"/>
      <c r="M1345" s="58">
        <v>3</v>
      </c>
    </row>
    <row r="1346" spans="3:13" x14ac:dyDescent="0.35">
      <c r="C1346" s="58"/>
      <c r="D1346" s="58"/>
      <c r="E1346" s="81"/>
      <c r="F1346" s="58"/>
      <c r="G1346" s="58"/>
      <c r="H1346" s="78"/>
      <c r="I1346" s="78"/>
      <c r="J1346" s="61"/>
      <c r="K1346" s="59"/>
      <c r="L1346" s="59"/>
      <c r="M1346" s="58"/>
    </row>
    <row r="1347" spans="3:13" x14ac:dyDescent="0.35">
      <c r="C1347" s="58"/>
      <c r="D1347" s="58"/>
      <c r="E1347" s="81"/>
      <c r="F1347" s="58"/>
      <c r="G1347" s="58"/>
      <c r="H1347" s="78"/>
      <c r="I1347" s="78"/>
      <c r="J1347" s="61"/>
      <c r="K1347" s="59"/>
      <c r="L1347" s="59"/>
      <c r="M1347" s="58"/>
    </row>
    <row r="1348" spans="3:13" x14ac:dyDescent="0.35">
      <c r="C1348" s="58"/>
      <c r="D1348" s="58"/>
      <c r="E1348" s="81"/>
      <c r="F1348" s="58"/>
      <c r="G1348" s="58"/>
      <c r="H1348" s="78"/>
      <c r="I1348" s="78"/>
      <c r="J1348" s="61"/>
      <c r="K1348" s="59"/>
      <c r="L1348" s="59"/>
      <c r="M1348" s="58"/>
    </row>
    <row r="1349" spans="3:13" x14ac:dyDescent="0.35">
      <c r="C1349" s="58"/>
      <c r="D1349" s="58"/>
      <c r="E1349" s="81"/>
      <c r="F1349" s="58"/>
      <c r="G1349" s="58"/>
      <c r="H1349" s="78"/>
      <c r="I1349" s="78"/>
      <c r="J1349" s="61"/>
      <c r="K1349" s="59"/>
      <c r="L1349" s="59"/>
      <c r="M1349" s="58"/>
    </row>
    <row r="1350" spans="3:13" x14ac:dyDescent="0.35">
      <c r="C1350" s="58"/>
      <c r="D1350" s="58"/>
      <c r="E1350" s="81"/>
      <c r="F1350" s="62"/>
      <c r="G1350" s="58"/>
      <c r="H1350" s="78"/>
      <c r="I1350" s="78"/>
      <c r="J1350" s="61"/>
      <c r="K1350" s="59"/>
      <c r="L1350" s="59"/>
      <c r="M1350" s="58"/>
    </row>
    <row r="1351" spans="3:13" x14ac:dyDescent="0.35">
      <c r="C1351" s="58"/>
      <c r="D1351" s="58"/>
      <c r="E1351" s="94"/>
      <c r="F1351" s="58"/>
      <c r="G1351" s="58"/>
      <c r="H1351" s="78"/>
      <c r="I1351" s="78"/>
      <c r="J1351" s="61"/>
      <c r="K1351" s="59"/>
      <c r="L1351" s="59"/>
      <c r="M1351" s="58"/>
    </row>
    <row r="1352" spans="3:13" s="6" customFormat="1" x14ac:dyDescent="0.35">
      <c r="C1352" s="62"/>
      <c r="D1352" s="62"/>
      <c r="E1352" s="81"/>
      <c r="F1352" s="58"/>
      <c r="G1352" s="62"/>
      <c r="H1352" s="92"/>
      <c r="I1352" s="92"/>
      <c r="J1352" s="64"/>
      <c r="K1352" s="65"/>
      <c r="L1352" s="65"/>
      <c r="M1352" s="58"/>
    </row>
    <row r="1353" spans="3:13" x14ac:dyDescent="0.35">
      <c r="C1353" s="58"/>
      <c r="D1353" s="58"/>
      <c r="E1353" s="81"/>
      <c r="F1353" s="58"/>
      <c r="G1353" s="58"/>
      <c r="H1353" s="78"/>
      <c r="I1353" s="78"/>
      <c r="J1353" s="61"/>
      <c r="K1353" s="59"/>
      <c r="L1353" s="59"/>
      <c r="M1353" s="58"/>
    </row>
    <row r="1354" spans="3:13" x14ac:dyDescent="0.35">
      <c r="C1354" s="58"/>
      <c r="D1354" s="58"/>
      <c r="E1354" s="81"/>
      <c r="F1354" s="58"/>
      <c r="G1354" s="58"/>
      <c r="H1354" s="78"/>
      <c r="I1354" s="78"/>
      <c r="J1354" s="61"/>
      <c r="K1354" s="59"/>
      <c r="L1354" s="59"/>
      <c r="M1354" s="58"/>
    </row>
    <row r="1355" spans="3:13" x14ac:dyDescent="0.35">
      <c r="C1355" s="58"/>
      <c r="D1355" s="58"/>
      <c r="E1355" s="81"/>
      <c r="F1355" s="58"/>
      <c r="G1355" s="58"/>
      <c r="H1355" s="78"/>
      <c r="I1355" s="78"/>
      <c r="J1355" s="61"/>
      <c r="K1355" s="59"/>
      <c r="L1355" s="59"/>
      <c r="M1355" s="58"/>
    </row>
    <row r="1356" spans="3:13" x14ac:dyDescent="0.35">
      <c r="C1356" s="58"/>
      <c r="D1356" s="58"/>
      <c r="E1356" s="81"/>
      <c r="F1356" s="58"/>
      <c r="G1356" s="58"/>
      <c r="H1356" s="78"/>
      <c r="I1356" s="78"/>
      <c r="J1356" s="61"/>
      <c r="K1356" s="59"/>
      <c r="L1356" s="59"/>
      <c r="M1356" s="58"/>
    </row>
    <row r="1357" spans="3:13" x14ac:dyDescent="0.35">
      <c r="C1357" s="58"/>
      <c r="D1357" s="58"/>
      <c r="E1357" s="81"/>
      <c r="F1357" s="58"/>
      <c r="G1357" s="58"/>
      <c r="H1357" s="78"/>
      <c r="I1357" s="78"/>
      <c r="J1357" s="61"/>
      <c r="K1357" s="59"/>
      <c r="L1357" s="59"/>
      <c r="M1357" s="58"/>
    </row>
    <row r="1358" spans="3:13" x14ac:dyDescent="0.35">
      <c r="C1358" s="58"/>
      <c r="D1358" s="58"/>
      <c r="E1358" s="81"/>
      <c r="F1358" s="58"/>
      <c r="G1358" s="58"/>
      <c r="H1358" s="78"/>
      <c r="I1358" s="78"/>
      <c r="J1358" s="61"/>
      <c r="K1358" s="59"/>
      <c r="L1358" s="59"/>
      <c r="M1358" s="58"/>
    </row>
    <row r="1359" spans="3:13" x14ac:dyDescent="0.35">
      <c r="C1359" s="58"/>
      <c r="D1359" s="58"/>
      <c r="E1359" s="81"/>
      <c r="F1359" s="58"/>
      <c r="G1359" s="58"/>
      <c r="H1359" s="78"/>
      <c r="I1359" s="78"/>
      <c r="J1359" s="61"/>
      <c r="K1359" s="59"/>
      <c r="L1359" s="59"/>
      <c r="M1359" s="58"/>
    </row>
    <row r="1360" spans="3:13" x14ac:dyDescent="0.35">
      <c r="C1360" s="58"/>
      <c r="D1360" s="58"/>
      <c r="E1360" s="81"/>
      <c r="F1360" s="58"/>
      <c r="G1360" s="58"/>
      <c r="H1360" s="78"/>
      <c r="I1360" s="78"/>
      <c r="J1360" s="61"/>
      <c r="K1360" s="59"/>
      <c r="L1360" s="59"/>
      <c r="M1360" s="58"/>
    </row>
    <row r="1361" spans="3:13" x14ac:dyDescent="0.35">
      <c r="C1361" s="58"/>
      <c r="D1361" s="58"/>
      <c r="E1361" s="81"/>
      <c r="F1361" s="58"/>
      <c r="G1361" s="58"/>
      <c r="H1361" s="78"/>
      <c r="I1361" s="78"/>
      <c r="J1361" s="61"/>
      <c r="K1361" s="59"/>
      <c r="L1361" s="59"/>
      <c r="M1361" s="58"/>
    </row>
    <row r="1362" spans="3:13" x14ac:dyDescent="0.35">
      <c r="C1362" s="58"/>
      <c r="D1362" s="58"/>
      <c r="E1362" s="81"/>
      <c r="F1362" s="58"/>
      <c r="G1362" s="58"/>
      <c r="H1362" s="78"/>
      <c r="I1362" s="78"/>
      <c r="J1362" s="61"/>
      <c r="K1362" s="59"/>
      <c r="L1362" s="59"/>
      <c r="M1362" s="58"/>
    </row>
    <row r="1363" spans="3:13" x14ac:dyDescent="0.35">
      <c r="C1363" s="58"/>
      <c r="D1363" s="58"/>
      <c r="E1363" s="81"/>
      <c r="F1363" s="58"/>
      <c r="G1363" s="58"/>
      <c r="H1363" s="78"/>
      <c r="I1363" s="78"/>
      <c r="J1363" s="61"/>
      <c r="K1363" s="59"/>
      <c r="L1363" s="59"/>
      <c r="M1363" s="58"/>
    </row>
    <row r="1364" spans="3:13" x14ac:dyDescent="0.35">
      <c r="C1364" s="58"/>
      <c r="D1364" s="58"/>
      <c r="E1364" s="81"/>
      <c r="F1364" s="58"/>
      <c r="G1364" s="58"/>
      <c r="H1364" s="78"/>
      <c r="I1364" s="78"/>
      <c r="J1364" s="61"/>
      <c r="K1364" s="59"/>
      <c r="L1364" s="59"/>
      <c r="M1364" s="58"/>
    </row>
    <row r="1365" spans="3:13" x14ac:dyDescent="0.35">
      <c r="C1365" s="58"/>
      <c r="D1365" s="58"/>
      <c r="E1365" s="81"/>
      <c r="F1365" s="58"/>
      <c r="G1365" s="58"/>
      <c r="H1365" s="78"/>
      <c r="I1365" s="78"/>
      <c r="J1365" s="61"/>
      <c r="K1365" s="59"/>
      <c r="L1365" s="59"/>
      <c r="M1365" s="58"/>
    </row>
    <row r="1366" spans="3:13" x14ac:dyDescent="0.35">
      <c r="C1366" s="58"/>
      <c r="D1366" s="58"/>
      <c r="E1366" s="81"/>
      <c r="F1366" s="58"/>
      <c r="G1366" s="58"/>
      <c r="H1366" s="78"/>
      <c r="I1366" s="78"/>
      <c r="J1366" s="61"/>
      <c r="K1366" s="59"/>
      <c r="L1366" s="59"/>
      <c r="M1366" s="58"/>
    </row>
    <row r="1367" spans="3:13" x14ac:dyDescent="0.35">
      <c r="C1367" s="58"/>
      <c r="D1367" s="58"/>
      <c r="E1367" s="81"/>
      <c r="F1367" s="58"/>
      <c r="G1367" s="58"/>
      <c r="H1367" s="78"/>
      <c r="I1367" s="78"/>
      <c r="J1367" s="61"/>
      <c r="K1367" s="59"/>
      <c r="L1367" s="59"/>
      <c r="M1367" s="58"/>
    </row>
    <row r="1368" spans="3:13" x14ac:dyDescent="0.35">
      <c r="C1368" s="58"/>
      <c r="D1368" s="58"/>
      <c r="E1368" s="81"/>
      <c r="F1368" s="58"/>
      <c r="G1368" s="58"/>
      <c r="H1368" s="78"/>
      <c r="I1368" s="78"/>
      <c r="J1368" s="61"/>
      <c r="K1368" s="59"/>
      <c r="L1368" s="59"/>
      <c r="M1368" s="58"/>
    </row>
    <row r="1369" spans="3:13" x14ac:dyDescent="0.35">
      <c r="C1369" s="58"/>
      <c r="D1369" s="58"/>
      <c r="E1369" s="81"/>
      <c r="F1369" s="62"/>
      <c r="G1369" s="58"/>
      <c r="H1369" s="78"/>
      <c r="I1369" s="78"/>
      <c r="J1369" s="61"/>
      <c r="K1369" s="59"/>
      <c r="L1369" s="59"/>
      <c r="M1369" s="58"/>
    </row>
    <row r="1370" spans="3:13" x14ac:dyDescent="0.35">
      <c r="C1370" s="58"/>
      <c r="D1370" s="58"/>
      <c r="E1370" s="94"/>
      <c r="F1370" s="58"/>
      <c r="G1370" s="93"/>
      <c r="H1370" s="78"/>
      <c r="I1370" s="78"/>
      <c r="J1370" s="61"/>
      <c r="K1370" s="59"/>
      <c r="L1370" s="59"/>
      <c r="M1370" s="58"/>
    </row>
    <row r="1371" spans="3:13" s="6" customFormat="1" x14ac:dyDescent="0.35">
      <c r="C1371" s="62"/>
      <c r="D1371" s="62"/>
      <c r="E1371" s="81"/>
      <c r="F1371" s="58"/>
      <c r="G1371" s="93"/>
      <c r="H1371" s="92"/>
      <c r="I1371" s="92"/>
      <c r="J1371" s="64"/>
      <c r="K1371" s="65"/>
      <c r="L1371" s="65"/>
      <c r="M1371" s="58"/>
    </row>
    <row r="1372" spans="3:13" x14ac:dyDescent="0.35">
      <c r="C1372" s="58"/>
      <c r="D1372" s="58"/>
      <c r="E1372" s="81"/>
      <c r="F1372" s="58"/>
      <c r="G1372" s="93"/>
      <c r="H1372" s="78"/>
      <c r="I1372" s="78"/>
      <c r="J1372" s="61"/>
      <c r="K1372" s="59"/>
      <c r="L1372" s="59"/>
      <c r="M1372" s="58"/>
    </row>
    <row r="1373" spans="3:13" x14ac:dyDescent="0.35">
      <c r="C1373" s="58"/>
      <c r="D1373" s="58"/>
      <c r="E1373" s="81"/>
      <c r="F1373" s="58"/>
      <c r="G1373" s="93"/>
      <c r="H1373" s="78"/>
      <c r="I1373" s="78"/>
      <c r="J1373" s="61"/>
      <c r="K1373" s="59"/>
      <c r="L1373" s="59"/>
      <c r="M1373" s="58"/>
    </row>
    <row r="1374" spans="3:13" x14ac:dyDescent="0.35">
      <c r="C1374" s="58"/>
      <c r="D1374" s="58"/>
      <c r="E1374" s="81"/>
      <c r="F1374" s="58"/>
      <c r="G1374" s="93"/>
      <c r="H1374" s="78"/>
      <c r="I1374" s="78"/>
      <c r="J1374" s="61"/>
      <c r="K1374" s="59"/>
      <c r="L1374" s="59"/>
      <c r="M1374" s="58"/>
    </row>
    <row r="1375" spans="3:13" x14ac:dyDescent="0.35">
      <c r="C1375" s="58"/>
      <c r="D1375" s="58"/>
      <c r="E1375" s="81"/>
      <c r="F1375" s="58"/>
      <c r="G1375" s="93"/>
      <c r="H1375" s="78"/>
      <c r="I1375" s="78"/>
      <c r="J1375" s="61"/>
      <c r="K1375" s="59"/>
      <c r="L1375" s="59"/>
      <c r="M1375" s="58"/>
    </row>
    <row r="1376" spans="3:13" x14ac:dyDescent="0.35">
      <c r="C1376" s="58"/>
      <c r="D1376" s="58"/>
      <c r="E1376" s="81"/>
      <c r="F1376" s="58"/>
      <c r="G1376" s="93"/>
      <c r="H1376" s="78"/>
      <c r="I1376" s="78"/>
      <c r="J1376" s="61"/>
      <c r="K1376" s="59"/>
      <c r="L1376" s="59"/>
      <c r="M1376" s="58"/>
    </row>
    <row r="1377" spans="3:13" x14ac:dyDescent="0.35">
      <c r="C1377" s="58"/>
      <c r="D1377" s="58"/>
      <c r="E1377" s="81"/>
      <c r="F1377" s="58"/>
      <c r="G1377" s="93"/>
      <c r="H1377" s="78"/>
      <c r="I1377" s="78"/>
      <c r="J1377" s="61"/>
      <c r="K1377" s="59"/>
      <c r="L1377" s="59"/>
      <c r="M1377" s="58"/>
    </row>
    <row r="1378" spans="3:13" x14ac:dyDescent="0.35">
      <c r="C1378" s="58"/>
      <c r="D1378" s="58"/>
      <c r="E1378" s="81"/>
      <c r="F1378" s="58"/>
      <c r="G1378" s="93"/>
      <c r="H1378" s="78"/>
      <c r="I1378" s="78"/>
      <c r="J1378" s="61"/>
      <c r="K1378" s="59"/>
      <c r="L1378" s="59"/>
      <c r="M1378" s="58"/>
    </row>
    <row r="1379" spans="3:13" x14ac:dyDescent="0.35">
      <c r="C1379" s="58"/>
      <c r="D1379" s="58"/>
      <c r="E1379" s="81"/>
      <c r="F1379" s="58"/>
      <c r="G1379" s="93"/>
      <c r="H1379" s="78"/>
      <c r="I1379" s="78"/>
      <c r="J1379" s="61"/>
      <c r="K1379" s="59"/>
      <c r="L1379" s="59"/>
      <c r="M1379" s="58"/>
    </row>
    <row r="1380" spans="3:13" x14ac:dyDescent="0.35">
      <c r="C1380" s="58"/>
      <c r="D1380" s="58"/>
      <c r="E1380" s="81"/>
      <c r="F1380" s="58"/>
      <c r="G1380" s="93"/>
      <c r="H1380" s="78"/>
      <c r="I1380" s="78"/>
      <c r="J1380" s="61"/>
      <c r="K1380" s="59"/>
      <c r="L1380" s="59"/>
      <c r="M1380" s="58"/>
    </row>
    <row r="1381" spans="3:13" x14ac:dyDescent="0.35">
      <c r="C1381" s="58"/>
      <c r="D1381" s="58"/>
      <c r="E1381" s="81"/>
      <c r="F1381" s="58"/>
      <c r="G1381" s="93"/>
      <c r="H1381" s="78"/>
      <c r="I1381" s="78"/>
      <c r="J1381" s="61"/>
      <c r="K1381" s="59"/>
      <c r="L1381" s="59"/>
      <c r="M1381" s="58"/>
    </row>
    <row r="1382" spans="3:13" s="107" customFormat="1" x14ac:dyDescent="0.35">
      <c r="C1382" s="58"/>
      <c r="D1382" s="58"/>
      <c r="E1382" s="81"/>
      <c r="F1382" s="58"/>
      <c r="G1382" s="93"/>
      <c r="H1382" s="78"/>
      <c r="I1382" s="78"/>
      <c r="J1382" s="61"/>
      <c r="K1382" s="59"/>
      <c r="L1382" s="59"/>
      <c r="M1382" s="58"/>
    </row>
    <row r="1383" spans="3:13" x14ac:dyDescent="0.35">
      <c r="C1383" s="58"/>
      <c r="D1383" s="58"/>
      <c r="E1383" s="81"/>
      <c r="F1383" s="58"/>
      <c r="G1383" s="93"/>
      <c r="H1383" s="78"/>
      <c r="I1383" s="78"/>
      <c r="J1383" s="61"/>
      <c r="K1383" s="59"/>
      <c r="L1383" s="59"/>
      <c r="M1383" s="58"/>
    </row>
    <row r="1384" spans="3:13" x14ac:dyDescent="0.35">
      <c r="C1384" s="58"/>
      <c r="D1384" s="58"/>
      <c r="E1384" s="81"/>
      <c r="F1384" s="58"/>
      <c r="G1384" s="93"/>
      <c r="H1384" s="78"/>
      <c r="I1384" s="78"/>
      <c r="J1384" s="61"/>
      <c r="K1384" s="59"/>
      <c r="L1384" s="59"/>
      <c r="M1384" s="58"/>
    </row>
    <row r="1385" spans="3:13" x14ac:dyDescent="0.35">
      <c r="C1385" s="58"/>
      <c r="D1385" s="58"/>
      <c r="E1385" s="81"/>
      <c r="F1385" s="58"/>
      <c r="G1385" s="93"/>
      <c r="H1385" s="78"/>
      <c r="I1385" s="78"/>
      <c r="J1385" s="61"/>
      <c r="K1385" s="59"/>
      <c r="L1385" s="59"/>
      <c r="M1385" s="58"/>
    </row>
    <row r="1386" spans="3:13" x14ac:dyDescent="0.35">
      <c r="C1386" s="58"/>
      <c r="D1386" s="58"/>
      <c r="E1386" s="81"/>
      <c r="F1386" s="58"/>
      <c r="G1386" s="93"/>
      <c r="H1386" s="78"/>
      <c r="I1386" s="78"/>
      <c r="J1386" s="61"/>
      <c r="K1386" s="59"/>
      <c r="L1386" s="59"/>
      <c r="M1386" s="58"/>
    </row>
    <row r="1387" spans="3:13" x14ac:dyDescent="0.35">
      <c r="C1387" s="58"/>
      <c r="D1387" s="58"/>
      <c r="E1387" s="81"/>
      <c r="F1387" s="58"/>
      <c r="G1387" s="93"/>
      <c r="H1387" s="78"/>
      <c r="I1387" s="78"/>
      <c r="J1387" s="61"/>
      <c r="K1387" s="59"/>
      <c r="L1387" s="59"/>
      <c r="M1387" s="58"/>
    </row>
    <row r="1388" spans="3:13" x14ac:dyDescent="0.35">
      <c r="C1388" s="58"/>
      <c r="D1388" s="58"/>
      <c r="E1388" s="81"/>
      <c r="F1388" s="58"/>
      <c r="G1388" s="93"/>
      <c r="H1388" s="78"/>
      <c r="I1388" s="78"/>
      <c r="J1388" s="61"/>
      <c r="K1388" s="59"/>
      <c r="L1388" s="59"/>
      <c r="M1388" s="58"/>
    </row>
    <row r="1389" spans="3:13" x14ac:dyDescent="0.35">
      <c r="C1389" s="58"/>
      <c r="D1389" s="58"/>
      <c r="E1389" s="81"/>
      <c r="F1389" s="58"/>
      <c r="G1389" s="93"/>
      <c r="H1389" s="78"/>
      <c r="I1389" s="78"/>
      <c r="J1389" s="61"/>
      <c r="K1389" s="59"/>
      <c r="L1389" s="59"/>
      <c r="M1389" s="58"/>
    </row>
    <row r="1390" spans="3:13" s="10" customFormat="1" x14ac:dyDescent="0.35">
      <c r="C1390" s="58"/>
      <c r="D1390" s="58"/>
      <c r="E1390" s="81"/>
      <c r="F1390" s="58"/>
      <c r="G1390" s="93"/>
      <c r="H1390" s="78"/>
      <c r="I1390" s="78"/>
      <c r="J1390" s="61"/>
      <c r="K1390" s="59"/>
      <c r="L1390" s="59"/>
      <c r="M1390" s="58"/>
    </row>
    <row r="1391" spans="3:13" x14ac:dyDescent="0.35">
      <c r="C1391" s="58"/>
      <c r="D1391" s="58"/>
      <c r="E1391" s="81"/>
      <c r="F1391" s="62"/>
      <c r="G1391" s="93"/>
      <c r="H1391" s="78"/>
      <c r="I1391" s="78"/>
      <c r="J1391" s="61"/>
      <c r="K1391" s="59"/>
      <c r="L1391" s="59"/>
      <c r="M1391" s="58"/>
    </row>
    <row r="1392" spans="3:13" s="11" customFormat="1" x14ac:dyDescent="0.35">
      <c r="C1392" s="58"/>
      <c r="D1392" s="58"/>
      <c r="E1392" s="94"/>
      <c r="F1392" s="138"/>
      <c r="G1392" s="93"/>
      <c r="H1392" s="78"/>
      <c r="I1392" s="78"/>
      <c r="J1392" s="61"/>
      <c r="K1392" s="59"/>
      <c r="L1392" s="59"/>
      <c r="M1392" s="58"/>
    </row>
    <row r="1393" spans="3:13" s="6" customFormat="1" x14ac:dyDescent="0.35">
      <c r="C1393" s="62"/>
      <c r="D1393" s="62"/>
      <c r="E1393" s="160"/>
      <c r="F1393" s="58"/>
      <c r="G1393" s="93"/>
      <c r="H1393" s="92"/>
      <c r="I1393" s="92"/>
      <c r="J1393" s="64"/>
      <c r="K1393" s="65"/>
      <c r="L1393" s="65"/>
      <c r="M1393" s="62"/>
    </row>
    <row r="1394" spans="3:13" s="142" customFormat="1" x14ac:dyDescent="0.35">
      <c r="C1394" s="138"/>
      <c r="D1394" s="138"/>
      <c r="E1394" s="81"/>
      <c r="F1394" s="58"/>
      <c r="G1394" s="93"/>
      <c r="H1394" s="139"/>
      <c r="I1394" s="139"/>
      <c r="J1394" s="140"/>
      <c r="K1394" s="141"/>
      <c r="L1394" s="141"/>
      <c r="M1394" s="58"/>
    </row>
    <row r="1395" spans="3:13" x14ac:dyDescent="0.35">
      <c r="C1395" s="58"/>
      <c r="D1395" s="58"/>
      <c r="E1395" s="81"/>
      <c r="F1395" s="58"/>
      <c r="G1395" s="93"/>
      <c r="H1395" s="78"/>
      <c r="I1395" s="78"/>
      <c r="J1395" s="61"/>
      <c r="K1395" s="59"/>
      <c r="L1395" s="59"/>
      <c r="M1395" s="58"/>
    </row>
    <row r="1396" spans="3:13" x14ac:dyDescent="0.35">
      <c r="C1396" s="58"/>
      <c r="D1396" s="58"/>
      <c r="E1396" s="81"/>
      <c r="F1396" s="58"/>
      <c r="G1396" s="93"/>
      <c r="H1396" s="78"/>
      <c r="I1396" s="78"/>
      <c r="J1396" s="61"/>
      <c r="K1396" s="59"/>
      <c r="L1396" s="59"/>
      <c r="M1396" s="58"/>
    </row>
    <row r="1397" spans="3:13" x14ac:dyDescent="0.35">
      <c r="C1397" s="58"/>
      <c r="D1397" s="58"/>
      <c r="E1397" s="81"/>
      <c r="F1397" s="58"/>
      <c r="G1397" s="93"/>
      <c r="H1397" s="78"/>
      <c r="I1397" s="78"/>
      <c r="J1397" s="61"/>
      <c r="K1397" s="59"/>
      <c r="L1397" s="59"/>
      <c r="M1397" s="58"/>
    </row>
    <row r="1398" spans="3:13" x14ac:dyDescent="0.35">
      <c r="C1398" s="58"/>
      <c r="D1398" s="58"/>
      <c r="E1398" s="81"/>
      <c r="F1398" s="58"/>
      <c r="G1398" s="93"/>
      <c r="H1398" s="78"/>
      <c r="I1398" s="78"/>
      <c r="J1398" s="61"/>
      <c r="K1398" s="59"/>
      <c r="L1398" s="59"/>
      <c r="M1398" s="58"/>
    </row>
    <row r="1399" spans="3:13" x14ac:dyDescent="0.35">
      <c r="C1399" s="58"/>
      <c r="D1399" s="58"/>
      <c r="E1399" s="81"/>
      <c r="F1399" s="62"/>
      <c r="G1399" s="93"/>
      <c r="H1399" s="78"/>
      <c r="I1399" s="78"/>
      <c r="J1399" s="61"/>
      <c r="K1399" s="59"/>
      <c r="L1399" s="59"/>
      <c r="M1399" s="58"/>
    </row>
    <row r="1400" spans="3:13" x14ac:dyDescent="0.35">
      <c r="C1400" s="58"/>
      <c r="D1400" s="58"/>
      <c r="E1400" s="94"/>
      <c r="F1400" s="58"/>
      <c r="G1400" s="93"/>
      <c r="H1400" s="78"/>
      <c r="I1400" s="78"/>
      <c r="J1400" s="61"/>
      <c r="K1400" s="59"/>
      <c r="L1400" s="59"/>
      <c r="M1400" s="58"/>
    </row>
    <row r="1401" spans="3:13" s="6" customFormat="1" x14ac:dyDescent="0.35">
      <c r="C1401" s="62"/>
      <c r="D1401" s="62"/>
      <c r="E1401" s="58"/>
      <c r="F1401" s="58"/>
      <c r="G1401" s="93"/>
      <c r="H1401" s="92"/>
      <c r="I1401" s="92"/>
      <c r="J1401" s="64"/>
      <c r="K1401" s="65"/>
      <c r="L1401" s="65"/>
      <c r="M1401" s="58"/>
    </row>
    <row r="1402" spans="3:13" x14ac:dyDescent="0.35">
      <c r="C1402" s="58"/>
      <c r="D1402" s="58"/>
      <c r="E1402" s="81"/>
      <c r="F1402" s="58"/>
      <c r="G1402" s="93"/>
      <c r="H1402" s="78"/>
      <c r="I1402" s="78"/>
      <c r="J1402" s="61"/>
      <c r="K1402" s="59"/>
      <c r="L1402" s="59"/>
      <c r="M1402" s="58"/>
    </row>
    <row r="1403" spans="3:13" x14ac:dyDescent="0.35">
      <c r="C1403" s="58"/>
      <c r="D1403" s="58"/>
      <c r="E1403" s="58"/>
      <c r="F1403" s="58"/>
      <c r="G1403" s="93"/>
      <c r="H1403" s="78"/>
      <c r="I1403" s="78"/>
      <c r="J1403" s="61"/>
      <c r="K1403" s="59"/>
      <c r="L1403" s="59"/>
      <c r="M1403" s="58"/>
    </row>
    <row r="1404" spans="3:13" x14ac:dyDescent="0.35">
      <c r="C1404" s="58"/>
      <c r="D1404" s="58"/>
      <c r="E1404" s="81"/>
      <c r="F1404" s="58"/>
      <c r="G1404" s="93"/>
      <c r="H1404" s="78"/>
      <c r="I1404" s="78"/>
      <c r="J1404" s="61"/>
      <c r="K1404" s="59"/>
      <c r="L1404" s="59"/>
      <c r="M1404" s="58"/>
    </row>
    <row r="1405" spans="3:13" x14ac:dyDescent="0.35">
      <c r="C1405" s="58"/>
      <c r="D1405" s="58"/>
      <c r="E1405" s="81"/>
      <c r="F1405" s="58"/>
      <c r="G1405" s="93"/>
      <c r="H1405" s="78"/>
      <c r="I1405" s="78"/>
      <c r="J1405" s="61"/>
      <c r="K1405" s="59"/>
      <c r="L1405" s="59"/>
      <c r="M1405" s="58"/>
    </row>
    <row r="1406" spans="3:13" x14ac:dyDescent="0.35">
      <c r="C1406" s="58"/>
      <c r="D1406" s="58"/>
      <c r="E1406" s="81"/>
      <c r="F1406" s="58"/>
      <c r="G1406" s="93"/>
      <c r="H1406" s="78"/>
      <c r="I1406" s="78"/>
      <c r="J1406" s="61"/>
      <c r="K1406" s="59"/>
      <c r="L1406" s="59"/>
      <c r="M1406" s="58"/>
    </row>
    <row r="1407" spans="3:13" x14ac:dyDescent="0.35">
      <c r="C1407" s="58"/>
      <c r="D1407" s="58"/>
      <c r="E1407" s="81"/>
      <c r="F1407" s="58"/>
      <c r="G1407" s="93"/>
      <c r="H1407" s="78"/>
      <c r="I1407" s="78"/>
      <c r="J1407" s="61"/>
      <c r="K1407" s="59"/>
      <c r="L1407" s="59"/>
      <c r="M1407" s="58"/>
    </row>
    <row r="1408" spans="3:13" x14ac:dyDescent="0.35">
      <c r="C1408" s="58"/>
      <c r="D1408" s="58"/>
      <c r="E1408" s="81"/>
      <c r="F1408" s="58"/>
      <c r="G1408" s="93"/>
      <c r="H1408" s="78"/>
      <c r="I1408" s="78"/>
      <c r="J1408" s="61"/>
      <c r="K1408" s="59"/>
      <c r="L1408" s="59"/>
      <c r="M1408" s="58"/>
    </row>
    <row r="1409" spans="3:13" x14ac:dyDescent="0.35">
      <c r="C1409" s="58"/>
      <c r="D1409" s="58"/>
      <c r="E1409" s="81"/>
      <c r="F1409" s="58"/>
      <c r="G1409" s="93"/>
      <c r="H1409" s="78"/>
      <c r="I1409" s="78"/>
      <c r="J1409" s="61"/>
      <c r="K1409" s="59"/>
      <c r="L1409" s="59"/>
      <c r="M1409" s="58"/>
    </row>
    <row r="1410" spans="3:13" x14ac:dyDescent="0.35">
      <c r="C1410" s="58"/>
      <c r="D1410" s="58"/>
      <c r="E1410" s="81"/>
      <c r="F1410" s="58"/>
      <c r="G1410" s="93"/>
      <c r="H1410" s="78"/>
      <c r="I1410" s="78"/>
      <c r="J1410" s="61"/>
      <c r="K1410" s="59"/>
      <c r="L1410" s="59"/>
      <c r="M1410" s="58"/>
    </row>
    <row r="1411" spans="3:13" x14ac:dyDescent="0.35">
      <c r="C1411" s="58"/>
      <c r="D1411" s="58"/>
      <c r="E1411" s="81"/>
      <c r="F1411" s="58"/>
      <c r="G1411" s="93"/>
      <c r="H1411" s="78"/>
      <c r="I1411" s="78"/>
      <c r="J1411" s="61"/>
      <c r="K1411" s="59"/>
      <c r="L1411" s="59"/>
      <c r="M1411" s="58"/>
    </row>
    <row r="1412" spans="3:13" x14ac:dyDescent="0.35">
      <c r="C1412" s="58"/>
      <c r="D1412" s="58"/>
      <c r="E1412" s="81"/>
      <c r="F1412" s="58"/>
      <c r="G1412" s="93"/>
      <c r="H1412" s="78"/>
      <c r="I1412" s="78"/>
      <c r="J1412" s="61"/>
      <c r="K1412" s="59"/>
      <c r="L1412" s="59"/>
      <c r="M1412" s="58"/>
    </row>
    <row r="1413" spans="3:13" x14ac:dyDescent="0.35">
      <c r="C1413" s="58"/>
      <c r="D1413" s="58"/>
      <c r="E1413" s="81"/>
      <c r="F1413" s="58"/>
      <c r="G1413" s="93"/>
      <c r="H1413" s="78"/>
      <c r="I1413" s="78"/>
      <c r="J1413" s="61"/>
      <c r="K1413" s="59"/>
      <c r="L1413" s="59"/>
      <c r="M1413" s="58"/>
    </row>
    <row r="1414" spans="3:13" x14ac:dyDescent="0.35">
      <c r="C1414" s="58"/>
      <c r="D1414" s="58"/>
      <c r="E1414" s="81"/>
      <c r="F1414" s="58"/>
      <c r="G1414" s="93"/>
      <c r="H1414" s="78"/>
      <c r="I1414" s="78"/>
      <c r="J1414" s="61"/>
      <c r="K1414" s="59"/>
      <c r="L1414" s="59"/>
      <c r="M1414" s="58"/>
    </row>
    <row r="1415" spans="3:13" x14ac:dyDescent="0.35">
      <c r="C1415" s="58"/>
      <c r="D1415" s="58"/>
      <c r="E1415" s="81"/>
      <c r="F1415" s="58"/>
      <c r="G1415" s="93"/>
      <c r="H1415" s="78"/>
      <c r="I1415" s="78"/>
      <c r="J1415" s="61"/>
      <c r="K1415" s="59"/>
      <c r="L1415" s="59"/>
      <c r="M1415" s="58"/>
    </row>
    <row r="1416" spans="3:13" x14ac:dyDescent="0.35">
      <c r="C1416" s="58"/>
      <c r="D1416" s="58"/>
      <c r="E1416" s="58"/>
      <c r="F1416" s="58"/>
      <c r="G1416" s="93"/>
      <c r="H1416" s="78"/>
      <c r="I1416" s="78"/>
      <c r="J1416" s="61"/>
      <c r="K1416" s="59"/>
      <c r="L1416" s="59"/>
      <c r="M1416" s="58"/>
    </row>
    <row r="1417" spans="3:13" x14ac:dyDescent="0.35">
      <c r="C1417" s="58"/>
      <c r="D1417" s="58"/>
      <c r="E1417" s="81"/>
      <c r="F1417" s="58"/>
      <c r="G1417" s="93"/>
      <c r="H1417" s="78"/>
      <c r="I1417" s="78"/>
      <c r="J1417" s="61"/>
      <c r="K1417" s="59"/>
      <c r="L1417" s="59"/>
      <c r="M1417" s="58"/>
    </row>
    <row r="1418" spans="3:13" x14ac:dyDescent="0.35">
      <c r="C1418" s="58"/>
      <c r="D1418" s="58"/>
      <c r="E1418" s="81"/>
      <c r="F1418" s="58"/>
      <c r="G1418" s="93"/>
      <c r="H1418" s="78"/>
      <c r="I1418" s="78"/>
      <c r="J1418" s="61"/>
      <c r="K1418" s="59"/>
      <c r="L1418" s="59"/>
      <c r="M1418" s="58"/>
    </row>
    <row r="1419" spans="3:13" x14ac:dyDescent="0.35">
      <c r="C1419" s="58"/>
      <c r="D1419" s="58"/>
      <c r="E1419" s="81"/>
      <c r="F1419" s="58"/>
      <c r="G1419" s="93"/>
      <c r="H1419" s="78"/>
      <c r="I1419" s="78"/>
      <c r="J1419" s="61"/>
      <c r="K1419" s="59"/>
      <c r="L1419" s="59"/>
      <c r="M1419" s="58"/>
    </row>
    <row r="1420" spans="3:13" x14ac:dyDescent="0.35">
      <c r="C1420" s="58"/>
      <c r="D1420" s="58"/>
      <c r="E1420" s="81"/>
      <c r="F1420" s="58"/>
      <c r="G1420" s="93"/>
      <c r="H1420" s="78"/>
      <c r="I1420" s="78"/>
      <c r="J1420" s="61"/>
      <c r="K1420" s="59"/>
      <c r="L1420" s="59"/>
      <c r="M1420" s="58"/>
    </row>
    <row r="1421" spans="3:13" x14ac:dyDescent="0.35">
      <c r="C1421" s="58"/>
      <c r="D1421" s="58"/>
      <c r="E1421" s="81"/>
      <c r="F1421" s="58"/>
      <c r="G1421" s="93"/>
      <c r="H1421" s="78"/>
      <c r="I1421" s="78"/>
      <c r="J1421" s="61"/>
      <c r="K1421" s="59"/>
      <c r="L1421" s="59"/>
      <c r="M1421" s="58"/>
    </row>
    <row r="1422" spans="3:13" x14ac:dyDescent="0.35">
      <c r="C1422" s="58"/>
      <c r="D1422" s="58"/>
      <c r="E1422" s="81"/>
      <c r="F1422" s="58"/>
      <c r="G1422" s="93"/>
      <c r="H1422" s="78"/>
      <c r="I1422" s="78"/>
      <c r="J1422" s="61"/>
      <c r="K1422" s="59"/>
      <c r="L1422" s="59"/>
      <c r="M1422" s="58"/>
    </row>
    <row r="1423" spans="3:13" x14ac:dyDescent="0.35">
      <c r="C1423" s="58"/>
      <c r="D1423" s="58"/>
      <c r="E1423" s="81"/>
      <c r="F1423" s="58"/>
      <c r="G1423" s="93"/>
      <c r="H1423" s="78"/>
      <c r="I1423" s="78"/>
      <c r="J1423" s="61"/>
      <c r="K1423" s="59"/>
      <c r="L1423" s="59"/>
      <c r="M1423" s="58"/>
    </row>
    <row r="1424" spans="3:13" x14ac:dyDescent="0.35">
      <c r="C1424" s="58"/>
      <c r="D1424" s="58"/>
      <c r="E1424" s="81"/>
      <c r="F1424" s="58"/>
      <c r="G1424" s="93"/>
      <c r="H1424" s="78"/>
      <c r="I1424" s="78"/>
      <c r="J1424" s="61"/>
      <c r="K1424" s="59"/>
      <c r="L1424" s="59"/>
      <c r="M1424" s="58"/>
    </row>
    <row r="1425" spans="3:13" x14ac:dyDescent="0.35">
      <c r="C1425" s="58"/>
      <c r="D1425" s="58"/>
      <c r="E1425" s="81"/>
      <c r="F1425" s="58"/>
      <c r="G1425" s="93"/>
      <c r="H1425" s="78"/>
      <c r="I1425" s="78"/>
      <c r="J1425" s="61"/>
      <c r="K1425" s="59"/>
      <c r="L1425" s="59"/>
      <c r="M1425" s="58"/>
    </row>
    <row r="1426" spans="3:13" x14ac:dyDescent="0.35">
      <c r="C1426" s="58"/>
      <c r="D1426" s="58"/>
      <c r="E1426" s="81"/>
      <c r="F1426" s="58"/>
      <c r="G1426" s="93"/>
      <c r="H1426" s="78"/>
      <c r="I1426" s="78"/>
      <c r="J1426" s="61"/>
      <c r="K1426" s="59"/>
      <c r="L1426" s="59"/>
      <c r="M1426" s="58"/>
    </row>
    <row r="1427" spans="3:13" x14ac:dyDescent="0.35">
      <c r="C1427" s="58"/>
      <c r="D1427" s="58"/>
      <c r="E1427" s="81"/>
      <c r="F1427" s="58"/>
      <c r="G1427" s="93"/>
      <c r="H1427" s="78"/>
      <c r="I1427" s="78"/>
      <c r="J1427" s="61"/>
      <c r="K1427" s="59"/>
      <c r="L1427" s="59"/>
      <c r="M1427" s="58"/>
    </row>
    <row r="1428" spans="3:13" x14ac:dyDescent="0.35">
      <c r="C1428" s="58"/>
      <c r="D1428" s="58"/>
      <c r="E1428" s="81"/>
      <c r="F1428" s="58"/>
      <c r="G1428" s="93"/>
      <c r="H1428" s="78"/>
      <c r="I1428" s="78"/>
      <c r="J1428" s="61"/>
      <c r="K1428" s="59"/>
      <c r="L1428" s="59"/>
      <c r="M1428" s="58"/>
    </row>
    <row r="1429" spans="3:13" x14ac:dyDescent="0.35">
      <c r="C1429" s="58"/>
      <c r="D1429" s="58"/>
      <c r="E1429" s="81"/>
      <c r="F1429" s="58"/>
      <c r="G1429" s="93"/>
      <c r="H1429" s="78"/>
      <c r="I1429" s="78"/>
      <c r="J1429" s="61"/>
      <c r="K1429" s="59"/>
      <c r="L1429" s="59"/>
      <c r="M1429" s="58"/>
    </row>
    <row r="1430" spans="3:13" x14ac:dyDescent="0.35">
      <c r="C1430" s="58"/>
      <c r="D1430" s="58"/>
      <c r="E1430" s="81"/>
      <c r="F1430" s="58"/>
      <c r="G1430" s="93"/>
      <c r="H1430" s="78"/>
      <c r="I1430" s="78"/>
      <c r="J1430" s="61"/>
      <c r="K1430" s="59"/>
      <c r="L1430" s="59"/>
      <c r="M1430" s="58"/>
    </row>
    <row r="1431" spans="3:13" x14ac:dyDescent="0.35">
      <c r="C1431" s="58"/>
      <c r="D1431" s="58"/>
      <c r="E1431" s="81"/>
      <c r="F1431" s="58"/>
      <c r="G1431" s="93"/>
      <c r="H1431" s="78"/>
      <c r="I1431" s="78"/>
      <c r="J1431" s="61"/>
      <c r="K1431" s="59"/>
      <c r="L1431" s="59"/>
      <c r="M1431" s="58"/>
    </row>
    <row r="1432" spans="3:13" x14ac:dyDescent="0.35">
      <c r="C1432" s="58"/>
      <c r="D1432" s="58"/>
      <c r="E1432" s="81"/>
      <c r="F1432" s="58"/>
      <c r="G1432" s="93"/>
      <c r="H1432" s="78"/>
      <c r="I1432" s="78"/>
      <c r="J1432" s="61"/>
      <c r="K1432" s="59"/>
      <c r="L1432" s="59"/>
      <c r="M1432" s="58"/>
    </row>
    <row r="1433" spans="3:13" x14ac:dyDescent="0.35">
      <c r="C1433" s="58"/>
      <c r="D1433" s="58"/>
      <c r="E1433" s="81"/>
      <c r="F1433" s="58"/>
      <c r="G1433" s="93"/>
      <c r="H1433" s="78"/>
      <c r="I1433" s="78"/>
      <c r="J1433" s="61"/>
      <c r="K1433" s="59"/>
      <c r="L1433" s="59"/>
      <c r="M1433" s="58"/>
    </row>
    <row r="1434" spans="3:13" x14ac:dyDescent="0.35">
      <c r="C1434" s="58"/>
      <c r="D1434" s="58"/>
      <c r="E1434" s="81"/>
      <c r="F1434" s="58"/>
      <c r="G1434" s="93"/>
      <c r="H1434" s="78"/>
      <c r="I1434" s="78"/>
      <c r="J1434" s="61"/>
      <c r="K1434" s="59"/>
      <c r="L1434" s="59"/>
      <c r="M1434" s="58"/>
    </row>
    <row r="1435" spans="3:13" x14ac:dyDescent="0.35">
      <c r="C1435" s="58"/>
      <c r="D1435" s="58"/>
      <c r="E1435" s="81"/>
      <c r="F1435" s="58"/>
      <c r="G1435" s="93"/>
      <c r="H1435" s="78"/>
      <c r="I1435" s="78"/>
      <c r="J1435" s="61"/>
      <c r="K1435" s="59"/>
      <c r="L1435" s="59"/>
      <c r="M1435" s="58"/>
    </row>
    <row r="1436" spans="3:13" x14ac:dyDescent="0.35">
      <c r="C1436" s="58"/>
      <c r="D1436" s="58"/>
      <c r="E1436" s="81"/>
      <c r="F1436" s="58"/>
      <c r="G1436" s="93"/>
      <c r="H1436" s="78"/>
      <c r="I1436" s="78"/>
      <c r="J1436" s="61"/>
      <c r="K1436" s="59"/>
      <c r="L1436" s="59"/>
      <c r="M1436" s="58"/>
    </row>
    <row r="1437" spans="3:13" x14ac:dyDescent="0.35">
      <c r="C1437" s="58"/>
      <c r="D1437" s="58"/>
      <c r="E1437" s="81"/>
      <c r="F1437" s="58"/>
      <c r="G1437" s="93"/>
      <c r="H1437" s="78"/>
      <c r="I1437" s="78"/>
      <c r="J1437" s="61"/>
      <c r="K1437" s="59"/>
      <c r="L1437" s="59"/>
      <c r="M1437" s="58"/>
    </row>
    <row r="1438" spans="3:13" x14ac:dyDescent="0.35">
      <c r="C1438" s="58"/>
      <c r="D1438" s="58"/>
      <c r="E1438" s="81"/>
      <c r="F1438" s="58"/>
      <c r="G1438" s="93"/>
      <c r="H1438" s="78"/>
      <c r="I1438" s="78"/>
      <c r="J1438" s="61"/>
      <c r="K1438" s="59"/>
      <c r="L1438" s="59"/>
      <c r="M1438" s="58"/>
    </row>
    <row r="1439" spans="3:13" x14ac:dyDescent="0.35">
      <c r="C1439" s="58"/>
      <c r="D1439" s="58"/>
      <c r="E1439" s="81"/>
      <c r="F1439" s="58"/>
      <c r="G1439" s="93"/>
      <c r="H1439" s="78"/>
      <c r="I1439" s="78"/>
      <c r="J1439" s="61"/>
      <c r="K1439" s="59"/>
      <c r="L1439" s="59"/>
      <c r="M1439" s="58"/>
    </row>
    <row r="1440" spans="3:13" x14ac:dyDescent="0.35">
      <c r="C1440" s="58"/>
      <c r="D1440" s="58"/>
      <c r="E1440" s="81"/>
      <c r="F1440" s="58"/>
      <c r="G1440" s="93"/>
      <c r="H1440" s="78"/>
      <c r="I1440" s="78"/>
      <c r="J1440" s="61"/>
      <c r="K1440" s="59"/>
      <c r="L1440" s="59"/>
      <c r="M1440" s="58"/>
    </row>
    <row r="1441" spans="3:13" x14ac:dyDescent="0.35">
      <c r="C1441" s="58"/>
      <c r="D1441" s="58"/>
      <c r="E1441" s="81"/>
      <c r="F1441" s="58"/>
      <c r="G1441" s="93"/>
      <c r="H1441" s="78"/>
      <c r="I1441" s="78"/>
      <c r="J1441" s="61"/>
      <c r="K1441" s="59"/>
      <c r="L1441" s="59"/>
      <c r="M1441" s="58"/>
    </row>
    <row r="1442" spans="3:13" x14ac:dyDescent="0.35">
      <c r="C1442" s="58"/>
      <c r="D1442" s="58"/>
      <c r="E1442" s="81"/>
      <c r="F1442" s="58"/>
      <c r="G1442" s="93"/>
      <c r="H1442" s="78"/>
      <c r="I1442" s="78"/>
      <c r="J1442" s="61"/>
      <c r="K1442" s="59"/>
      <c r="L1442" s="59"/>
      <c r="M1442" s="58"/>
    </row>
    <row r="1443" spans="3:13" x14ac:dyDescent="0.35">
      <c r="C1443" s="58"/>
      <c r="D1443" s="58"/>
      <c r="E1443" s="81"/>
      <c r="F1443" s="58"/>
      <c r="G1443" s="93"/>
      <c r="H1443" s="78"/>
      <c r="I1443" s="78"/>
      <c r="J1443" s="61"/>
      <c r="K1443" s="59"/>
      <c r="L1443" s="59"/>
      <c r="M1443" s="58"/>
    </row>
    <row r="1444" spans="3:13" x14ac:dyDescent="0.35">
      <c r="C1444" s="58"/>
      <c r="D1444" s="58"/>
      <c r="E1444" s="81"/>
      <c r="F1444" s="58"/>
      <c r="G1444" s="93"/>
      <c r="H1444" s="78"/>
      <c r="I1444" s="78"/>
      <c r="J1444" s="61"/>
      <c r="K1444" s="59"/>
      <c r="L1444" s="59"/>
      <c r="M1444" s="58"/>
    </row>
    <row r="1445" spans="3:13" x14ac:dyDescent="0.35">
      <c r="C1445" s="58"/>
      <c r="D1445" s="58"/>
      <c r="E1445" s="81"/>
      <c r="F1445" s="58"/>
      <c r="G1445" s="93"/>
      <c r="H1445" s="78"/>
      <c r="I1445" s="78"/>
      <c r="J1445" s="61"/>
      <c r="K1445" s="59"/>
      <c r="L1445" s="59"/>
      <c r="M1445" s="58"/>
    </row>
    <row r="1446" spans="3:13" x14ac:dyDescent="0.35">
      <c r="C1446" s="58"/>
      <c r="D1446" s="58"/>
      <c r="E1446" s="81"/>
      <c r="F1446" s="58"/>
      <c r="G1446" s="93"/>
      <c r="H1446" s="78"/>
      <c r="I1446" s="78"/>
      <c r="J1446" s="61"/>
      <c r="K1446" s="59"/>
      <c r="L1446" s="59"/>
      <c r="M1446" s="58"/>
    </row>
    <row r="1447" spans="3:13" x14ac:dyDescent="0.35">
      <c r="C1447" s="58"/>
      <c r="D1447" s="58"/>
      <c r="E1447" s="81"/>
      <c r="F1447" s="58"/>
      <c r="G1447" s="93"/>
      <c r="H1447" s="78"/>
      <c r="I1447" s="78"/>
      <c r="J1447" s="61"/>
      <c r="K1447" s="59"/>
      <c r="L1447" s="59"/>
      <c r="M1447" s="58"/>
    </row>
    <row r="1448" spans="3:13" x14ac:dyDescent="0.35">
      <c r="C1448" s="58"/>
      <c r="D1448" s="58"/>
      <c r="E1448" s="81"/>
      <c r="F1448" s="58"/>
      <c r="G1448" s="93"/>
      <c r="H1448" s="78"/>
      <c r="I1448" s="78"/>
      <c r="J1448" s="61"/>
      <c r="K1448" s="59"/>
      <c r="L1448" s="59"/>
      <c r="M1448" s="58"/>
    </row>
    <row r="1449" spans="3:13" x14ac:dyDescent="0.35">
      <c r="C1449" s="58"/>
      <c r="D1449" s="58"/>
      <c r="E1449" s="81"/>
      <c r="F1449" s="58"/>
      <c r="G1449" s="93"/>
      <c r="H1449" s="78"/>
      <c r="I1449" s="78"/>
      <c r="J1449" s="61"/>
      <c r="K1449" s="59"/>
      <c r="L1449" s="59"/>
      <c r="M1449" s="58"/>
    </row>
    <row r="1450" spans="3:13" x14ac:dyDescent="0.35">
      <c r="C1450" s="58"/>
      <c r="D1450" s="58"/>
      <c r="E1450" s="81"/>
      <c r="F1450" s="58"/>
      <c r="G1450" s="93"/>
      <c r="H1450" s="78"/>
      <c r="I1450" s="78"/>
      <c r="J1450" s="61"/>
      <c r="K1450" s="59"/>
      <c r="L1450" s="59"/>
      <c r="M1450" s="58"/>
    </row>
    <row r="1451" spans="3:13" x14ac:dyDescent="0.35">
      <c r="C1451" s="58"/>
      <c r="D1451" s="58"/>
      <c r="E1451" s="58"/>
      <c r="F1451" s="91"/>
      <c r="G1451" s="93"/>
      <c r="H1451" s="78"/>
      <c r="I1451" s="78"/>
      <c r="J1451" s="61"/>
      <c r="K1451" s="59"/>
      <c r="L1451" s="59"/>
      <c r="M1451" s="58"/>
    </row>
    <row r="1452" spans="3:13" x14ac:dyDescent="0.35">
      <c r="C1452" s="58"/>
      <c r="D1452" s="58"/>
      <c r="E1452" s="149"/>
      <c r="F1452" s="58"/>
      <c r="G1452" s="93"/>
      <c r="H1452" s="78"/>
      <c r="I1452" s="78"/>
      <c r="J1452" s="61"/>
      <c r="K1452" s="59"/>
      <c r="L1452" s="59"/>
      <c r="M1452" s="58"/>
    </row>
    <row r="1453" spans="3:13" x14ac:dyDescent="0.35">
      <c r="C1453" s="91"/>
      <c r="D1453" s="91"/>
      <c r="E1453" s="81"/>
      <c r="F1453" s="58"/>
      <c r="G1453" s="321"/>
      <c r="H1453" s="150"/>
      <c r="I1453" s="150"/>
      <c r="J1453" s="61"/>
      <c r="K1453" s="59"/>
      <c r="L1453" s="59"/>
      <c r="M1453" s="11"/>
    </row>
    <row r="1454" spans="3:13" x14ac:dyDescent="0.35">
      <c r="C1454" s="58"/>
      <c r="D1454" s="58"/>
      <c r="E1454" s="81"/>
      <c r="F1454" s="58"/>
      <c r="G1454" s="93"/>
      <c r="H1454" s="78"/>
      <c r="I1454" s="78"/>
      <c r="J1454" s="61"/>
      <c r="K1454" s="59"/>
      <c r="L1454" s="59"/>
      <c r="M1454" s="11"/>
    </row>
    <row r="1455" spans="3:13" x14ac:dyDescent="0.35">
      <c r="C1455" s="58"/>
      <c r="D1455" s="58"/>
      <c r="E1455" s="81"/>
      <c r="F1455" s="58"/>
      <c r="G1455" s="93"/>
      <c r="H1455" s="78"/>
      <c r="I1455" s="78"/>
      <c r="J1455" s="61"/>
      <c r="K1455" s="59"/>
      <c r="L1455" s="59"/>
      <c r="M1455" s="11"/>
    </row>
    <row r="1456" spans="3:13" x14ac:dyDescent="0.35">
      <c r="C1456" s="58"/>
      <c r="D1456" s="58"/>
      <c r="E1456" s="81"/>
      <c r="F1456" s="58"/>
      <c r="G1456" s="93"/>
      <c r="H1456" s="78"/>
      <c r="I1456" s="78"/>
      <c r="J1456" s="61"/>
      <c r="K1456" s="59"/>
      <c r="L1456" s="59"/>
      <c r="M1456" s="11"/>
    </row>
    <row r="1457" spans="3:13" x14ac:dyDescent="0.35">
      <c r="C1457" s="58"/>
      <c r="D1457" s="58"/>
      <c r="E1457" s="81"/>
      <c r="F1457" s="58"/>
      <c r="G1457" s="93"/>
      <c r="H1457" s="78"/>
      <c r="I1457" s="78"/>
      <c r="J1457" s="61"/>
      <c r="K1457" s="59"/>
      <c r="L1457" s="59"/>
      <c r="M1457" s="11"/>
    </row>
    <row r="1458" spans="3:13" x14ac:dyDescent="0.35">
      <c r="C1458" s="58"/>
      <c r="D1458" s="58"/>
      <c r="E1458" s="81"/>
      <c r="F1458" s="58"/>
      <c r="G1458" s="93"/>
      <c r="H1458" s="78"/>
      <c r="I1458" s="78"/>
      <c r="J1458" s="61"/>
      <c r="K1458" s="59"/>
      <c r="L1458" s="59"/>
      <c r="M1458" s="11"/>
    </row>
    <row r="1459" spans="3:13" x14ac:dyDescent="0.35">
      <c r="C1459" s="58"/>
      <c r="D1459" s="58"/>
      <c r="E1459" s="81"/>
      <c r="F1459" s="58"/>
      <c r="G1459" s="93"/>
      <c r="H1459" s="78"/>
      <c r="I1459" s="78"/>
      <c r="J1459" s="61"/>
      <c r="K1459" s="59"/>
      <c r="L1459" s="59"/>
      <c r="M1459" s="11"/>
    </row>
    <row r="1460" spans="3:13" x14ac:dyDescent="0.35">
      <c r="C1460" s="58"/>
      <c r="D1460" s="58"/>
      <c r="E1460" s="81"/>
      <c r="F1460" s="58"/>
      <c r="G1460" s="93"/>
      <c r="H1460" s="78"/>
      <c r="I1460" s="78"/>
      <c r="J1460" s="61"/>
      <c r="K1460" s="59"/>
      <c r="L1460" s="59"/>
      <c r="M1460" s="11"/>
    </row>
    <row r="1461" spans="3:13" x14ac:dyDescent="0.35">
      <c r="C1461" s="58"/>
      <c r="D1461" s="58"/>
      <c r="E1461" s="81"/>
      <c r="F1461" s="58"/>
      <c r="G1461" s="93"/>
      <c r="H1461" s="78"/>
      <c r="I1461" s="78"/>
      <c r="J1461" s="61"/>
      <c r="K1461" s="59"/>
      <c r="L1461" s="59"/>
      <c r="M1461" s="11"/>
    </row>
    <row r="1462" spans="3:13" x14ac:dyDescent="0.35">
      <c r="C1462" s="58"/>
      <c r="D1462" s="58"/>
      <c r="E1462" s="81"/>
      <c r="F1462" s="58"/>
      <c r="G1462" s="93"/>
      <c r="H1462" s="78"/>
      <c r="I1462" s="78"/>
      <c r="J1462" s="61"/>
      <c r="K1462" s="59"/>
      <c r="L1462" s="59"/>
      <c r="M1462" s="11"/>
    </row>
    <row r="1463" spans="3:13" x14ac:dyDescent="0.35">
      <c r="C1463" s="58"/>
      <c r="D1463" s="58"/>
      <c r="E1463" s="81"/>
      <c r="F1463" s="58"/>
      <c r="G1463" s="93"/>
      <c r="H1463" s="78"/>
      <c r="I1463" s="78"/>
      <c r="J1463" s="61"/>
      <c r="K1463" s="59"/>
      <c r="L1463" s="59"/>
      <c r="M1463" s="11"/>
    </row>
    <row r="1464" spans="3:13" x14ac:dyDescent="0.35">
      <c r="C1464" s="58"/>
      <c r="D1464" s="58"/>
      <c r="E1464" s="81"/>
      <c r="F1464" s="58"/>
      <c r="G1464" s="93"/>
      <c r="H1464" s="78"/>
      <c r="I1464" s="78"/>
      <c r="J1464" s="61"/>
      <c r="K1464" s="59"/>
      <c r="L1464" s="59"/>
      <c r="M1464" s="11"/>
    </row>
    <row r="1465" spans="3:13" x14ac:dyDescent="0.35">
      <c r="C1465" s="58"/>
      <c r="D1465" s="58"/>
      <c r="E1465" s="81"/>
      <c r="F1465" s="58"/>
      <c r="G1465" s="93"/>
      <c r="H1465" s="78"/>
      <c r="I1465" s="78"/>
      <c r="J1465" s="61"/>
      <c r="K1465" s="59"/>
      <c r="L1465" s="59"/>
      <c r="M1465" s="11"/>
    </row>
    <row r="1466" spans="3:13" x14ac:dyDescent="0.35">
      <c r="C1466" s="58"/>
      <c r="D1466" s="58"/>
      <c r="E1466" s="81"/>
      <c r="F1466" s="58"/>
      <c r="G1466" s="93"/>
      <c r="H1466" s="78"/>
      <c r="I1466" s="78"/>
      <c r="J1466" s="61"/>
      <c r="K1466" s="59"/>
      <c r="L1466" s="59"/>
      <c r="M1466" s="11"/>
    </row>
    <row r="1467" spans="3:13" x14ac:dyDescent="0.35">
      <c r="C1467" s="58"/>
      <c r="D1467" s="58"/>
      <c r="E1467" s="81"/>
      <c r="F1467" s="58"/>
      <c r="G1467" s="93"/>
      <c r="H1467" s="78"/>
      <c r="I1467" s="78"/>
      <c r="J1467" s="61"/>
      <c r="K1467" s="59"/>
      <c r="L1467" s="59"/>
      <c r="M1467" s="11"/>
    </row>
    <row r="1468" spans="3:13" x14ac:dyDescent="0.35">
      <c r="C1468" s="58"/>
      <c r="D1468" s="58"/>
      <c r="E1468" s="58"/>
      <c r="F1468" s="58"/>
      <c r="G1468" s="93"/>
      <c r="H1468" s="78"/>
      <c r="I1468" s="78"/>
      <c r="J1468" s="61"/>
      <c r="K1468" s="59"/>
      <c r="L1468" s="59"/>
      <c r="M1468" s="11"/>
    </row>
    <row r="1469" spans="3:13" x14ac:dyDescent="0.35">
      <c r="C1469" s="58"/>
      <c r="D1469" s="58"/>
      <c r="E1469" s="58"/>
      <c r="F1469" s="58"/>
      <c r="G1469" s="93"/>
      <c r="H1469" s="78"/>
      <c r="I1469" s="78"/>
      <c r="J1469" s="61"/>
      <c r="K1469" s="59"/>
      <c r="L1469" s="59"/>
      <c r="M1469" s="11"/>
    </row>
    <row r="1470" spans="3:13" x14ac:dyDescent="0.35">
      <c r="C1470" s="58"/>
      <c r="D1470" s="58"/>
      <c r="E1470" s="58"/>
      <c r="F1470" s="58"/>
      <c r="G1470" s="93"/>
      <c r="H1470" s="78"/>
      <c r="I1470" s="78"/>
      <c r="J1470" s="61"/>
      <c r="K1470" s="59"/>
      <c r="L1470" s="59"/>
      <c r="M1470" s="11"/>
    </row>
    <row r="1471" spans="3:13" x14ac:dyDescent="0.35">
      <c r="C1471" s="58"/>
      <c r="D1471" s="58"/>
      <c r="E1471" s="81"/>
      <c r="F1471" s="58"/>
      <c r="G1471" s="93"/>
      <c r="H1471" s="78"/>
      <c r="I1471" s="78"/>
      <c r="J1471" s="61"/>
      <c r="K1471" s="59"/>
      <c r="L1471" s="59"/>
      <c r="M1471" s="11"/>
    </row>
    <row r="1472" spans="3:13" x14ac:dyDescent="0.35">
      <c r="C1472" s="58"/>
      <c r="D1472" s="58"/>
      <c r="E1472" s="81"/>
      <c r="F1472" s="58"/>
      <c r="G1472" s="93"/>
      <c r="H1472" s="78"/>
      <c r="I1472" s="78"/>
      <c r="J1472" s="61"/>
      <c r="K1472" s="59"/>
      <c r="L1472" s="59"/>
      <c r="M1472" s="11"/>
    </row>
    <row r="1473" spans="3:13" x14ac:dyDescent="0.35">
      <c r="C1473" s="58"/>
      <c r="D1473" s="58"/>
      <c r="E1473" s="81"/>
      <c r="F1473" s="58"/>
      <c r="G1473" s="93"/>
      <c r="H1473" s="78"/>
      <c r="I1473" s="78"/>
      <c r="J1473" s="61"/>
      <c r="K1473" s="59"/>
      <c r="L1473" s="59"/>
      <c r="M1473" s="11"/>
    </row>
    <row r="1474" spans="3:13" x14ac:dyDescent="0.35">
      <c r="C1474" s="58"/>
      <c r="D1474" s="58"/>
      <c r="E1474" s="81"/>
      <c r="F1474" s="58"/>
      <c r="G1474" s="93"/>
      <c r="H1474" s="78"/>
      <c r="I1474" s="78"/>
      <c r="J1474" s="61"/>
      <c r="K1474" s="59"/>
      <c r="L1474" s="59"/>
      <c r="M1474" s="11"/>
    </row>
    <row r="1475" spans="3:13" x14ac:dyDescent="0.35">
      <c r="C1475" s="58"/>
      <c r="D1475" s="58"/>
      <c r="E1475" s="81"/>
      <c r="F1475" s="58"/>
      <c r="G1475" s="93"/>
      <c r="H1475" s="78"/>
      <c r="I1475" s="78"/>
      <c r="J1475" s="61"/>
      <c r="K1475" s="59"/>
      <c r="L1475" s="59"/>
      <c r="M1475" s="11"/>
    </row>
    <row r="1476" spans="3:13" x14ac:dyDescent="0.35">
      <c r="C1476" s="58"/>
      <c r="D1476" s="58"/>
      <c r="E1476" s="81"/>
      <c r="F1476" s="58"/>
      <c r="G1476" s="93"/>
      <c r="H1476" s="78"/>
      <c r="I1476" s="78"/>
      <c r="J1476" s="61"/>
      <c r="K1476" s="59"/>
      <c r="L1476" s="59"/>
      <c r="M1476" s="11"/>
    </row>
    <row r="1477" spans="3:13" x14ac:dyDescent="0.35">
      <c r="C1477" s="58"/>
      <c r="D1477" s="58"/>
      <c r="E1477" s="81"/>
      <c r="F1477" s="58"/>
      <c r="G1477" s="93"/>
      <c r="H1477" s="78"/>
      <c r="I1477" s="78"/>
      <c r="J1477" s="61"/>
      <c r="K1477" s="59"/>
      <c r="L1477" s="59"/>
      <c r="M1477" s="11"/>
    </row>
    <row r="1478" spans="3:13" x14ac:dyDescent="0.35">
      <c r="C1478" s="58"/>
      <c r="D1478" s="58"/>
      <c r="E1478" s="81"/>
      <c r="F1478" s="58"/>
      <c r="G1478" s="93"/>
      <c r="H1478" s="78"/>
      <c r="I1478" s="78"/>
      <c r="J1478" s="61"/>
      <c r="K1478" s="59"/>
      <c r="L1478" s="59"/>
      <c r="M1478" s="11"/>
    </row>
    <row r="1479" spans="3:13" x14ac:dyDescent="0.35">
      <c r="C1479" s="58"/>
      <c r="D1479" s="58"/>
      <c r="E1479" s="81"/>
      <c r="F1479" s="58"/>
      <c r="G1479" s="93"/>
      <c r="H1479" s="78"/>
      <c r="I1479" s="78"/>
      <c r="J1479" s="61"/>
      <c r="K1479" s="59"/>
      <c r="L1479" s="59"/>
      <c r="M1479" s="11"/>
    </row>
    <row r="1480" spans="3:13" x14ac:dyDescent="0.35">
      <c r="C1480" s="58"/>
      <c r="D1480" s="58"/>
      <c r="E1480" s="81"/>
      <c r="F1480" s="58"/>
      <c r="G1480" s="93"/>
      <c r="H1480" s="78"/>
      <c r="I1480" s="78"/>
      <c r="J1480" s="61"/>
      <c r="K1480" s="59"/>
      <c r="L1480" s="59"/>
      <c r="M1480" s="11"/>
    </row>
    <row r="1481" spans="3:13" x14ac:dyDescent="0.35">
      <c r="C1481" s="58"/>
      <c r="D1481" s="58"/>
      <c r="E1481" s="81"/>
      <c r="F1481" s="58"/>
      <c r="G1481" s="93"/>
      <c r="H1481" s="78"/>
      <c r="I1481" s="78"/>
      <c r="J1481" s="61"/>
      <c r="K1481" s="59"/>
      <c r="L1481" s="59"/>
      <c r="M1481" s="11"/>
    </row>
    <row r="1482" spans="3:13" x14ac:dyDescent="0.35">
      <c r="C1482" s="58"/>
      <c r="D1482" s="58"/>
      <c r="E1482" s="81"/>
      <c r="F1482" s="58"/>
      <c r="G1482" s="93"/>
      <c r="H1482" s="78"/>
      <c r="I1482" s="78"/>
      <c r="J1482" s="61"/>
      <c r="K1482" s="59"/>
      <c r="L1482" s="59"/>
      <c r="M1482" s="11"/>
    </row>
    <row r="1483" spans="3:13" x14ac:dyDescent="0.35">
      <c r="C1483" s="58"/>
      <c r="D1483" s="58"/>
      <c r="E1483" s="81"/>
      <c r="F1483" s="58"/>
      <c r="G1483" s="93"/>
      <c r="H1483" s="78"/>
      <c r="I1483" s="78"/>
      <c r="J1483" s="61"/>
      <c r="K1483" s="59"/>
      <c r="L1483" s="59"/>
      <c r="M1483" s="11"/>
    </row>
    <row r="1484" spans="3:13" x14ac:dyDescent="0.35">
      <c r="C1484" s="58"/>
      <c r="D1484" s="58"/>
      <c r="E1484" s="81"/>
      <c r="F1484" s="58"/>
      <c r="G1484" s="93"/>
      <c r="H1484" s="78"/>
      <c r="I1484" s="78"/>
      <c r="J1484" s="61"/>
      <c r="K1484" s="59"/>
      <c r="L1484" s="59"/>
      <c r="M1484" s="11"/>
    </row>
    <row r="1485" spans="3:13" x14ac:dyDescent="0.35">
      <c r="C1485" s="58"/>
      <c r="D1485" s="58"/>
      <c r="E1485" s="81"/>
      <c r="F1485" s="58"/>
      <c r="G1485" s="93"/>
      <c r="H1485" s="78"/>
      <c r="I1485" s="78"/>
      <c r="J1485" s="61"/>
      <c r="K1485" s="59"/>
      <c r="L1485" s="59"/>
      <c r="M1485" s="11"/>
    </row>
    <row r="1486" spans="3:13" x14ac:dyDescent="0.35">
      <c r="C1486" s="58"/>
      <c r="D1486" s="58"/>
      <c r="E1486" s="81"/>
      <c r="F1486" s="58"/>
      <c r="G1486" s="93"/>
      <c r="H1486" s="78"/>
      <c r="I1486" s="78"/>
      <c r="J1486" s="61"/>
      <c r="K1486" s="59"/>
      <c r="L1486" s="59"/>
      <c r="M1486" s="11"/>
    </row>
    <row r="1487" spans="3:13" x14ac:dyDescent="0.35">
      <c r="C1487" s="58"/>
      <c r="D1487" s="58"/>
      <c r="E1487" s="58"/>
      <c r="F1487" s="58"/>
      <c r="G1487" s="93"/>
      <c r="H1487" s="78"/>
      <c r="I1487" s="78"/>
      <c r="J1487" s="61"/>
      <c r="K1487" s="59"/>
      <c r="L1487" s="59"/>
      <c r="M1487" s="11"/>
    </row>
    <row r="1488" spans="3:13" x14ac:dyDescent="0.35">
      <c r="C1488" s="58"/>
      <c r="D1488" s="58"/>
      <c r="E1488" s="81"/>
      <c r="F1488" s="58"/>
      <c r="G1488" s="93"/>
      <c r="H1488" s="78"/>
      <c r="I1488" s="78"/>
      <c r="J1488" s="61"/>
      <c r="K1488" s="59"/>
      <c r="L1488" s="59"/>
      <c r="M1488" s="11"/>
    </row>
    <row r="1489" spans="3:13" x14ac:dyDescent="0.35">
      <c r="C1489" s="58"/>
      <c r="D1489" s="58"/>
      <c r="E1489" s="81"/>
      <c r="F1489" s="58"/>
      <c r="G1489" s="93"/>
      <c r="H1489" s="78"/>
      <c r="I1489" s="78"/>
      <c r="J1489" s="61"/>
      <c r="K1489" s="59"/>
      <c r="L1489" s="59"/>
      <c r="M1489" s="11"/>
    </row>
    <row r="1490" spans="3:13" x14ac:dyDescent="0.35">
      <c r="C1490" s="58"/>
      <c r="D1490" s="58"/>
      <c r="E1490" s="81"/>
      <c r="F1490" s="58"/>
      <c r="G1490" s="93"/>
      <c r="H1490" s="78"/>
      <c r="I1490" s="78"/>
      <c r="J1490" s="61"/>
      <c r="K1490" s="59"/>
      <c r="L1490" s="59"/>
      <c r="M1490" s="11"/>
    </row>
    <row r="1491" spans="3:13" x14ac:dyDescent="0.35">
      <c r="C1491" s="58"/>
      <c r="D1491" s="58"/>
      <c r="E1491" s="81"/>
      <c r="F1491" s="58"/>
      <c r="G1491" s="93"/>
      <c r="H1491" s="78"/>
      <c r="I1491" s="78"/>
      <c r="J1491" s="61"/>
      <c r="K1491" s="59"/>
      <c r="L1491" s="59"/>
      <c r="M1491" s="11"/>
    </row>
    <row r="1492" spans="3:13" x14ac:dyDescent="0.35">
      <c r="C1492" s="58"/>
      <c r="D1492" s="58"/>
      <c r="E1492" s="81"/>
      <c r="F1492" s="58"/>
      <c r="G1492" s="93"/>
      <c r="H1492" s="78"/>
      <c r="I1492" s="78"/>
      <c r="J1492" s="61"/>
      <c r="K1492" s="59"/>
      <c r="L1492" s="59"/>
      <c r="M1492" s="11"/>
    </row>
    <row r="1493" spans="3:13" x14ac:dyDescent="0.35">
      <c r="C1493" s="58"/>
      <c r="D1493" s="58"/>
      <c r="E1493" s="58"/>
      <c r="F1493" s="58"/>
      <c r="G1493" s="93"/>
      <c r="H1493" s="78"/>
      <c r="I1493" s="78"/>
      <c r="J1493" s="61"/>
      <c r="K1493" s="59"/>
      <c r="L1493" s="59"/>
      <c r="M1493" s="11"/>
    </row>
    <row r="1494" spans="3:13" x14ac:dyDescent="0.35">
      <c r="C1494" s="58"/>
      <c r="D1494" s="58"/>
      <c r="E1494" s="58"/>
      <c r="F1494" s="58"/>
      <c r="G1494" s="93"/>
      <c r="H1494" s="78"/>
      <c r="I1494" s="78"/>
      <c r="J1494" s="61"/>
      <c r="K1494" s="59"/>
      <c r="L1494" s="59"/>
      <c r="M1494" s="11"/>
    </row>
    <row r="1495" spans="3:13" x14ac:dyDescent="0.35">
      <c r="C1495" s="58"/>
      <c r="D1495" s="58"/>
      <c r="E1495" s="81"/>
      <c r="F1495" s="58"/>
      <c r="G1495" s="93"/>
      <c r="H1495" s="78"/>
      <c r="I1495" s="78"/>
      <c r="J1495" s="61"/>
      <c r="K1495" s="59"/>
      <c r="L1495" s="59"/>
      <c r="M1495" s="11"/>
    </row>
    <row r="1496" spans="3:13" x14ac:dyDescent="0.35">
      <c r="C1496" s="58"/>
      <c r="D1496" s="58"/>
      <c r="E1496" s="81"/>
      <c r="F1496" s="58"/>
      <c r="G1496" s="93"/>
      <c r="H1496" s="78"/>
      <c r="I1496" s="78"/>
      <c r="J1496" s="61"/>
      <c r="K1496" s="59"/>
      <c r="L1496" s="59"/>
      <c r="M1496" s="11"/>
    </row>
    <row r="1497" spans="3:13" x14ac:dyDescent="0.35">
      <c r="C1497" s="58"/>
      <c r="D1497" s="58"/>
      <c r="E1497" s="81"/>
      <c r="F1497" s="58"/>
      <c r="G1497" s="93"/>
      <c r="H1497" s="78"/>
      <c r="I1497" s="78"/>
      <c r="J1497" s="61"/>
      <c r="K1497" s="59"/>
      <c r="L1497" s="59"/>
      <c r="M1497" s="11"/>
    </row>
    <row r="1498" spans="3:13" x14ac:dyDescent="0.35">
      <c r="C1498" s="58"/>
      <c r="D1498" s="58"/>
      <c r="E1498" s="81"/>
      <c r="F1498" s="58"/>
      <c r="G1498" s="93"/>
      <c r="H1498" s="78"/>
      <c r="I1498" s="78"/>
      <c r="J1498" s="61"/>
      <c r="K1498" s="59"/>
      <c r="L1498" s="59"/>
      <c r="M1498" s="11"/>
    </row>
    <row r="1499" spans="3:13" x14ac:dyDescent="0.35">
      <c r="C1499" s="58"/>
      <c r="D1499" s="58"/>
      <c r="E1499" s="58"/>
      <c r="F1499" s="58"/>
      <c r="G1499" s="93"/>
      <c r="H1499" s="78"/>
      <c r="I1499" s="78"/>
      <c r="J1499" s="61"/>
      <c r="K1499" s="59"/>
      <c r="L1499" s="59"/>
      <c r="M1499" s="11"/>
    </row>
    <row r="1500" spans="3:13" x14ac:dyDescent="0.35">
      <c r="C1500" s="58"/>
      <c r="D1500" s="58"/>
      <c r="E1500" s="81"/>
      <c r="F1500" s="58"/>
      <c r="G1500" s="93"/>
      <c r="H1500" s="78"/>
      <c r="I1500" s="78"/>
      <c r="J1500" s="61"/>
      <c r="K1500" s="59"/>
      <c r="L1500" s="59"/>
      <c r="M1500" s="11"/>
    </row>
    <row r="1501" spans="3:13" x14ac:dyDescent="0.35">
      <c r="C1501" s="58"/>
      <c r="D1501" s="58"/>
      <c r="E1501" s="81"/>
      <c r="F1501" s="58"/>
      <c r="G1501" s="93"/>
      <c r="H1501" s="78"/>
      <c r="I1501" s="78"/>
      <c r="J1501" s="61"/>
      <c r="K1501" s="59"/>
      <c r="L1501" s="59"/>
      <c r="M1501" s="11"/>
    </row>
    <row r="1502" spans="3:13" x14ac:dyDescent="0.35">
      <c r="C1502" s="58"/>
      <c r="D1502" s="58"/>
      <c r="E1502" s="81"/>
      <c r="F1502" s="58"/>
      <c r="G1502" s="93"/>
      <c r="H1502" s="78"/>
      <c r="I1502" s="78"/>
      <c r="J1502" s="61"/>
      <c r="K1502" s="59"/>
      <c r="L1502" s="59"/>
      <c r="M1502" s="11"/>
    </row>
    <row r="1503" spans="3:13" x14ac:dyDescent="0.35">
      <c r="C1503" s="58"/>
      <c r="D1503" s="58"/>
      <c r="E1503" s="81"/>
      <c r="F1503" s="58"/>
      <c r="G1503" s="93"/>
      <c r="H1503" s="78"/>
      <c r="I1503" s="78"/>
      <c r="J1503" s="61"/>
      <c r="K1503" s="59"/>
      <c r="L1503" s="59"/>
      <c r="M1503" s="11"/>
    </row>
    <row r="1504" spans="3:13" x14ac:dyDescent="0.35">
      <c r="C1504" s="58"/>
      <c r="D1504" s="58"/>
      <c r="E1504" s="81"/>
      <c r="F1504" s="7"/>
      <c r="G1504" s="93"/>
      <c r="H1504" s="78"/>
      <c r="I1504" s="78"/>
      <c r="J1504" s="61"/>
      <c r="K1504" s="59"/>
      <c r="L1504" s="59"/>
      <c r="M1504" s="11"/>
    </row>
    <row r="1505" spans="3:13" x14ac:dyDescent="0.35">
      <c r="C1505" s="58"/>
      <c r="D1505" s="58"/>
      <c r="E1505" s="81"/>
      <c r="F1505" s="7"/>
      <c r="G1505" s="93"/>
      <c r="H1505" s="78"/>
      <c r="I1505" s="78"/>
      <c r="J1505" s="61"/>
      <c r="K1505" s="59"/>
      <c r="L1505" s="59"/>
      <c r="M1505" s="11"/>
    </row>
    <row r="1506" spans="3:13" x14ac:dyDescent="0.35">
      <c r="C1506" s="7"/>
      <c r="D1506" s="7"/>
      <c r="E1506" s="81"/>
      <c r="F1506" s="7"/>
      <c r="G1506" s="93"/>
      <c r="H1506" s="75"/>
      <c r="I1506" s="75"/>
      <c r="J1506" s="61"/>
      <c r="K1506" s="9"/>
      <c r="L1506" s="59"/>
    </row>
    <row r="1507" spans="3:13" x14ac:dyDescent="0.35">
      <c r="C1507" s="7"/>
      <c r="D1507" s="7"/>
      <c r="E1507" s="81"/>
      <c r="F1507" s="7"/>
      <c r="G1507" s="93"/>
      <c r="H1507" s="75"/>
      <c r="I1507" s="75"/>
      <c r="J1507" s="61"/>
      <c r="K1507" s="9"/>
      <c r="L1507" s="59"/>
    </row>
    <row r="1508" spans="3:13" x14ac:dyDescent="0.35">
      <c r="C1508" s="7"/>
      <c r="D1508" s="7"/>
      <c r="E1508" s="81"/>
      <c r="F1508" s="7"/>
      <c r="G1508" s="93"/>
      <c r="H1508" s="75"/>
      <c r="I1508" s="75"/>
      <c r="J1508" s="61"/>
      <c r="K1508" s="9"/>
      <c r="L1508" s="59"/>
    </row>
    <row r="1509" spans="3:13" x14ac:dyDescent="0.35">
      <c r="C1509" s="7"/>
      <c r="D1509" s="7"/>
      <c r="E1509" s="81"/>
      <c r="F1509" s="7"/>
      <c r="G1509" s="93"/>
      <c r="H1509" s="75"/>
      <c r="I1509" s="75"/>
      <c r="J1509" s="61"/>
      <c r="K1509" s="9"/>
      <c r="L1509" s="59"/>
    </row>
    <row r="1510" spans="3:13" x14ac:dyDescent="0.35">
      <c r="C1510" s="7"/>
      <c r="D1510" s="7"/>
      <c r="E1510" s="7"/>
      <c r="F1510" s="7"/>
      <c r="G1510" s="93"/>
      <c r="H1510" s="75"/>
      <c r="I1510" s="75"/>
      <c r="J1510" s="61"/>
      <c r="K1510" s="9"/>
      <c r="L1510" s="59"/>
    </row>
    <row r="1511" spans="3:13" x14ac:dyDescent="0.35">
      <c r="C1511" s="7"/>
      <c r="D1511" s="7"/>
      <c r="E1511" s="81"/>
      <c r="F1511" s="7"/>
      <c r="G1511" s="93"/>
      <c r="H1511" s="75"/>
      <c r="I1511" s="75"/>
      <c r="J1511" s="61"/>
      <c r="K1511" s="9"/>
      <c r="L1511" s="59"/>
    </row>
    <row r="1512" spans="3:13" x14ac:dyDescent="0.35">
      <c r="C1512" s="7"/>
      <c r="D1512" s="7"/>
      <c r="E1512" s="7"/>
      <c r="F1512" s="7"/>
      <c r="G1512" s="93"/>
      <c r="H1512" s="75"/>
      <c r="I1512" s="75"/>
      <c r="J1512" s="61"/>
      <c r="K1512" s="9"/>
      <c r="L1512" s="59"/>
    </row>
    <row r="1513" spans="3:13" x14ac:dyDescent="0.35">
      <c r="C1513" s="7"/>
      <c r="D1513" s="7"/>
      <c r="E1513" s="81"/>
      <c r="F1513" s="7"/>
      <c r="G1513" s="93"/>
      <c r="H1513" s="75"/>
      <c r="I1513" s="75"/>
      <c r="J1513" s="61"/>
      <c r="K1513" s="9"/>
      <c r="L1513" s="59"/>
    </row>
    <row r="1514" spans="3:13" x14ac:dyDescent="0.35">
      <c r="C1514" s="7"/>
      <c r="D1514" s="7"/>
      <c r="E1514" s="81"/>
      <c r="F1514" s="7"/>
      <c r="G1514" s="93"/>
      <c r="H1514" s="75"/>
      <c r="I1514" s="75"/>
      <c r="J1514" s="61"/>
      <c r="K1514" s="9"/>
      <c r="L1514" s="59"/>
    </row>
    <row r="1515" spans="3:13" x14ac:dyDescent="0.35">
      <c r="C1515" s="7"/>
      <c r="D1515" s="7"/>
      <c r="E1515" s="81"/>
      <c r="F1515" s="7"/>
      <c r="G1515" s="93"/>
      <c r="H1515" s="75"/>
      <c r="I1515" s="75"/>
      <c r="J1515" s="61"/>
      <c r="K1515" s="9"/>
      <c r="L1515" s="59"/>
    </row>
    <row r="1516" spans="3:13" x14ac:dyDescent="0.35">
      <c r="C1516" s="7"/>
      <c r="D1516" s="7"/>
      <c r="E1516" s="7"/>
      <c r="F1516" s="7"/>
      <c r="G1516" s="93"/>
      <c r="H1516" s="75"/>
      <c r="I1516" s="75"/>
      <c r="J1516" s="61"/>
      <c r="K1516" s="9"/>
      <c r="L1516" s="59"/>
    </row>
    <row r="1517" spans="3:13" x14ac:dyDescent="0.35">
      <c r="C1517" s="7"/>
      <c r="D1517" s="7"/>
      <c r="E1517" s="81"/>
      <c r="F1517" s="7"/>
      <c r="G1517" s="93"/>
      <c r="H1517" s="75"/>
      <c r="I1517" s="75"/>
      <c r="J1517" s="61"/>
      <c r="K1517" s="9"/>
      <c r="L1517" s="59"/>
    </row>
    <row r="1518" spans="3:13" x14ac:dyDescent="0.35">
      <c r="C1518" s="7"/>
      <c r="D1518" s="7"/>
      <c r="E1518" s="81"/>
      <c r="F1518" s="7"/>
      <c r="G1518" s="93"/>
      <c r="H1518" s="75"/>
      <c r="I1518" s="75"/>
      <c r="J1518" s="61"/>
      <c r="K1518" s="9"/>
      <c r="L1518" s="59"/>
    </row>
    <row r="1519" spans="3:13" x14ac:dyDescent="0.35">
      <c r="C1519" s="7"/>
      <c r="D1519" s="7"/>
      <c r="E1519" s="81"/>
      <c r="F1519" s="7"/>
      <c r="G1519" s="93"/>
      <c r="H1519" s="75"/>
      <c r="I1519" s="75"/>
      <c r="J1519" s="61"/>
      <c r="K1519" s="9"/>
      <c r="L1519" s="59"/>
    </row>
    <row r="1520" spans="3:13" x14ac:dyDescent="0.35">
      <c r="C1520" s="7"/>
      <c r="D1520" s="7"/>
      <c r="E1520" s="81"/>
      <c r="F1520" s="7"/>
      <c r="G1520" s="93"/>
      <c r="H1520" s="75"/>
      <c r="I1520" s="75"/>
      <c r="J1520" s="61"/>
      <c r="K1520" s="9"/>
      <c r="L1520" s="59"/>
    </row>
    <row r="1521" spans="3:12" x14ac:dyDescent="0.35">
      <c r="C1521" s="7"/>
      <c r="D1521" s="7"/>
      <c r="E1521" s="81"/>
      <c r="F1521" s="7"/>
      <c r="G1521" s="93"/>
      <c r="H1521" s="75"/>
      <c r="I1521" s="75"/>
      <c r="J1521" s="61"/>
      <c r="K1521" s="9"/>
      <c r="L1521" s="59"/>
    </row>
    <row r="1522" spans="3:12" x14ac:dyDescent="0.35">
      <c r="C1522" s="7"/>
      <c r="D1522" s="7"/>
      <c r="E1522" s="81"/>
      <c r="F1522" s="7"/>
      <c r="G1522" s="93"/>
      <c r="H1522" s="75"/>
      <c r="I1522" s="75"/>
      <c r="J1522" s="61"/>
      <c r="K1522" s="9"/>
      <c r="L1522" s="59"/>
    </row>
    <row r="1523" spans="3:12" x14ac:dyDescent="0.35">
      <c r="C1523" s="7"/>
      <c r="D1523" s="7"/>
      <c r="E1523" s="81"/>
      <c r="F1523" s="7"/>
      <c r="G1523" s="93"/>
      <c r="H1523" s="75"/>
      <c r="I1523" s="75"/>
      <c r="J1523" s="61"/>
      <c r="K1523" s="9"/>
      <c r="L1523" s="59"/>
    </row>
    <row r="1524" spans="3:12" x14ac:dyDescent="0.35">
      <c r="C1524" s="7"/>
      <c r="D1524" s="7"/>
      <c r="E1524" s="7"/>
      <c r="F1524" s="7"/>
      <c r="G1524" s="93"/>
      <c r="H1524" s="75"/>
      <c r="I1524" s="75"/>
      <c r="J1524" s="61"/>
      <c r="K1524" s="9"/>
      <c r="L1524" s="59"/>
    </row>
    <row r="1525" spans="3:12" x14ac:dyDescent="0.35">
      <c r="C1525" s="7"/>
      <c r="D1525" s="7"/>
      <c r="E1525" s="7"/>
      <c r="F1525" s="7"/>
      <c r="G1525" s="93"/>
      <c r="H1525" s="75"/>
      <c r="I1525" s="75"/>
      <c r="J1525" s="61"/>
      <c r="K1525" s="9"/>
      <c r="L1525" s="59"/>
    </row>
    <row r="1526" spans="3:12" x14ac:dyDescent="0.35">
      <c r="C1526" s="7"/>
      <c r="D1526" s="7"/>
      <c r="E1526" s="7"/>
      <c r="F1526" s="7"/>
      <c r="G1526" s="93"/>
      <c r="H1526" s="75"/>
      <c r="I1526" s="75"/>
      <c r="J1526" s="61"/>
      <c r="K1526" s="9"/>
      <c r="L1526" s="59"/>
    </row>
    <row r="1527" spans="3:12" x14ac:dyDescent="0.35">
      <c r="C1527" s="7"/>
      <c r="D1527" s="7"/>
      <c r="E1527" s="7"/>
      <c r="F1527" s="7"/>
      <c r="G1527" s="93"/>
      <c r="H1527" s="75"/>
      <c r="I1527" s="75"/>
      <c r="J1527" s="61"/>
      <c r="K1527" s="9"/>
      <c r="L1527" s="59"/>
    </row>
    <row r="1528" spans="3:12" x14ac:dyDescent="0.35">
      <c r="C1528" s="7"/>
      <c r="D1528" s="7"/>
      <c r="E1528" s="7"/>
      <c r="F1528" s="7"/>
      <c r="G1528" s="93"/>
      <c r="H1528" s="75"/>
      <c r="I1528" s="75"/>
      <c r="J1528" s="61"/>
      <c r="K1528" s="9"/>
      <c r="L1528" s="59"/>
    </row>
    <row r="1529" spans="3:12" x14ac:dyDescent="0.35">
      <c r="C1529" s="7"/>
      <c r="D1529" s="7"/>
      <c r="E1529" s="7"/>
      <c r="F1529" s="7"/>
      <c r="G1529" s="93"/>
      <c r="H1529" s="75"/>
      <c r="I1529" s="75"/>
      <c r="J1529" s="61"/>
      <c r="K1529" s="9"/>
      <c r="L1529" s="59"/>
    </row>
    <row r="1530" spans="3:12" x14ac:dyDescent="0.35">
      <c r="C1530" s="7"/>
      <c r="D1530" s="7"/>
      <c r="E1530" s="7"/>
      <c r="F1530" s="7"/>
      <c r="G1530" s="93"/>
      <c r="H1530" s="75"/>
      <c r="I1530" s="75"/>
      <c r="J1530" s="61"/>
      <c r="K1530" s="9"/>
      <c r="L1530" s="59"/>
    </row>
    <row r="1531" spans="3:12" x14ac:dyDescent="0.35">
      <c r="C1531" s="7"/>
      <c r="D1531" s="7"/>
      <c r="E1531" s="7"/>
      <c r="F1531" s="7"/>
      <c r="G1531" s="93"/>
      <c r="H1531" s="75"/>
      <c r="I1531" s="75"/>
      <c r="J1531" s="61"/>
      <c r="K1531" s="9"/>
      <c r="L1531" s="59"/>
    </row>
    <row r="1532" spans="3:12" x14ac:dyDescent="0.35">
      <c r="C1532" s="7"/>
      <c r="D1532" s="7"/>
      <c r="E1532" s="7"/>
      <c r="F1532" s="7"/>
      <c r="G1532" s="93"/>
      <c r="H1532" s="75"/>
      <c r="I1532" s="75"/>
      <c r="J1532" s="61"/>
      <c r="K1532" s="9"/>
      <c r="L1532" s="59"/>
    </row>
    <row r="1533" spans="3:12" x14ac:dyDescent="0.35">
      <c r="C1533" s="7"/>
      <c r="D1533" s="7"/>
      <c r="E1533" s="7"/>
      <c r="F1533" s="7"/>
      <c r="G1533" s="93"/>
      <c r="H1533" s="75"/>
      <c r="I1533" s="75"/>
      <c r="J1533" s="61"/>
      <c r="K1533" s="9"/>
      <c r="L1533" s="59"/>
    </row>
    <row r="1534" spans="3:12" x14ac:dyDescent="0.35">
      <c r="C1534" s="7"/>
      <c r="D1534" s="7"/>
      <c r="E1534" s="7"/>
      <c r="F1534" s="7"/>
      <c r="G1534" s="93"/>
      <c r="H1534" s="75"/>
      <c r="I1534" s="75"/>
      <c r="J1534" s="61"/>
      <c r="K1534" s="9"/>
      <c r="L1534" s="59"/>
    </row>
    <row r="1535" spans="3:12" x14ac:dyDescent="0.35">
      <c r="C1535" s="7"/>
      <c r="D1535" s="7"/>
      <c r="E1535" s="7"/>
      <c r="F1535" s="7"/>
      <c r="G1535" s="93"/>
      <c r="H1535" s="75"/>
      <c r="I1535" s="75"/>
      <c r="J1535" s="61"/>
      <c r="K1535" s="9"/>
      <c r="L1535" s="59"/>
    </row>
    <row r="1536" spans="3:12" x14ac:dyDescent="0.35">
      <c r="C1536" s="7"/>
      <c r="D1536" s="7"/>
      <c r="E1536" s="7"/>
      <c r="F1536" s="7"/>
      <c r="G1536" s="93"/>
      <c r="H1536" s="75"/>
      <c r="I1536" s="75"/>
      <c r="J1536" s="61"/>
      <c r="K1536" s="9"/>
      <c r="L1536" s="59"/>
    </row>
    <row r="1537" spans="3:12" x14ac:dyDescent="0.35">
      <c r="C1537" s="7"/>
      <c r="D1537" s="7"/>
      <c r="E1537" s="7"/>
      <c r="F1537" s="7"/>
      <c r="G1537" s="93"/>
      <c r="H1537" s="75"/>
      <c r="I1537" s="75"/>
      <c r="J1537" s="61"/>
      <c r="K1537" s="9"/>
      <c r="L1537" s="59"/>
    </row>
    <row r="1538" spans="3:12" x14ac:dyDescent="0.35">
      <c r="C1538" s="7"/>
      <c r="D1538" s="7"/>
      <c r="E1538" s="7"/>
      <c r="F1538" s="7"/>
      <c r="G1538" s="93"/>
      <c r="H1538" s="75"/>
      <c r="I1538" s="75"/>
      <c r="J1538" s="61"/>
      <c r="K1538" s="9"/>
      <c r="L1538" s="59"/>
    </row>
    <row r="1539" spans="3:12" x14ac:dyDescent="0.35">
      <c r="C1539" s="7"/>
      <c r="D1539" s="7"/>
      <c r="E1539" s="7"/>
      <c r="F1539" s="7"/>
      <c r="G1539" s="93"/>
      <c r="H1539" s="75"/>
      <c r="I1539" s="75"/>
      <c r="J1539" s="61"/>
      <c r="K1539" s="9"/>
      <c r="L1539" s="59"/>
    </row>
    <row r="1540" spans="3:12" x14ac:dyDescent="0.35">
      <c r="C1540" s="7"/>
      <c r="D1540" s="7"/>
      <c r="E1540" s="7"/>
      <c r="F1540" s="7"/>
      <c r="G1540" s="93"/>
      <c r="H1540" s="75"/>
      <c r="I1540" s="75"/>
      <c r="J1540" s="61"/>
      <c r="K1540" s="9"/>
      <c r="L1540" s="59"/>
    </row>
    <row r="1541" spans="3:12" x14ac:dyDescent="0.35">
      <c r="C1541" s="7"/>
      <c r="D1541" s="7"/>
      <c r="E1541" s="7"/>
      <c r="F1541" s="7"/>
      <c r="G1541" s="93"/>
      <c r="H1541" s="75"/>
      <c r="I1541" s="75"/>
      <c r="J1541" s="61"/>
      <c r="K1541" s="9"/>
      <c r="L1541" s="59"/>
    </row>
    <row r="1542" spans="3:12" x14ac:dyDescent="0.35">
      <c r="C1542" s="7"/>
      <c r="D1542" s="7"/>
      <c r="E1542" s="7"/>
      <c r="F1542" s="7"/>
      <c r="G1542" s="93"/>
      <c r="H1542" s="75"/>
      <c r="I1542" s="75"/>
      <c r="J1542" s="61"/>
      <c r="K1542" s="9"/>
      <c r="L1542" s="59"/>
    </row>
    <row r="1543" spans="3:12" x14ac:dyDescent="0.35">
      <c r="C1543" s="7"/>
      <c r="D1543" s="7"/>
      <c r="E1543" s="7"/>
      <c r="F1543" s="7"/>
      <c r="G1543" s="93"/>
      <c r="H1543" s="75"/>
      <c r="I1543" s="75"/>
      <c r="J1543" s="61"/>
      <c r="K1543" s="9"/>
      <c r="L1543" s="59"/>
    </row>
    <row r="1544" spans="3:12" x14ac:dyDescent="0.35">
      <c r="C1544" s="7"/>
      <c r="D1544" s="7"/>
      <c r="E1544" s="7"/>
      <c r="F1544" s="7"/>
      <c r="G1544" s="93"/>
      <c r="H1544" s="75"/>
      <c r="I1544" s="75"/>
      <c r="J1544" s="61"/>
      <c r="K1544" s="9"/>
      <c r="L1544" s="59"/>
    </row>
    <row r="1545" spans="3:12" x14ac:dyDescent="0.35">
      <c r="C1545" s="7"/>
      <c r="D1545" s="7"/>
      <c r="E1545" s="7"/>
      <c r="F1545" s="7"/>
      <c r="G1545" s="93"/>
      <c r="H1545" s="75"/>
      <c r="I1545" s="75"/>
      <c r="J1545" s="61"/>
      <c r="K1545" s="9"/>
      <c r="L1545" s="59"/>
    </row>
    <row r="1546" spans="3:12" x14ac:dyDescent="0.35">
      <c r="C1546" s="7"/>
      <c r="D1546" s="7"/>
      <c r="E1546" s="7"/>
      <c r="F1546" s="7"/>
      <c r="G1546" s="93"/>
      <c r="H1546" s="75"/>
      <c r="I1546" s="75"/>
      <c r="J1546" s="61"/>
      <c r="K1546" s="9"/>
      <c r="L1546" s="59"/>
    </row>
    <row r="1547" spans="3:12" x14ac:dyDescent="0.35">
      <c r="C1547" s="7"/>
      <c r="D1547" s="7"/>
      <c r="E1547" s="7"/>
      <c r="F1547" s="7"/>
      <c r="G1547" s="93"/>
      <c r="H1547" s="75"/>
      <c r="I1547" s="75"/>
      <c r="J1547" s="61"/>
      <c r="K1547" s="9"/>
      <c r="L1547" s="59"/>
    </row>
    <row r="1548" spans="3:12" x14ac:dyDescent="0.35">
      <c r="C1548" s="7"/>
      <c r="D1548" s="7"/>
      <c r="E1548" s="7"/>
      <c r="F1548" s="7"/>
      <c r="G1548" s="93"/>
      <c r="H1548" s="75"/>
      <c r="I1548" s="75"/>
      <c r="J1548" s="61"/>
      <c r="K1548" s="9"/>
      <c r="L1548" s="59"/>
    </row>
    <row r="1549" spans="3:12" x14ac:dyDescent="0.35">
      <c r="C1549" s="7"/>
      <c r="D1549" s="7"/>
      <c r="E1549" s="7"/>
      <c r="F1549" s="7"/>
      <c r="G1549" s="93"/>
      <c r="H1549" s="75"/>
      <c r="I1549" s="75"/>
      <c r="J1549" s="61"/>
      <c r="K1549" s="9"/>
      <c r="L1549" s="59"/>
    </row>
    <row r="1550" spans="3:12" x14ac:dyDescent="0.35">
      <c r="C1550" s="7"/>
      <c r="D1550" s="7"/>
      <c r="E1550" s="7"/>
      <c r="F1550" s="7"/>
      <c r="G1550" s="93"/>
      <c r="H1550" s="75"/>
      <c r="I1550" s="75"/>
      <c r="J1550" s="61"/>
      <c r="K1550" s="9"/>
      <c r="L1550" s="59"/>
    </row>
    <row r="1551" spans="3:12" x14ac:dyDescent="0.35">
      <c r="C1551" s="7"/>
      <c r="D1551" s="7"/>
      <c r="E1551" s="7"/>
      <c r="F1551" s="7"/>
      <c r="G1551" s="93"/>
      <c r="H1551" s="75"/>
      <c r="I1551" s="75"/>
      <c r="J1551" s="61"/>
      <c r="K1551" s="9"/>
      <c r="L1551" s="59"/>
    </row>
    <row r="1552" spans="3:12" x14ac:dyDescent="0.35">
      <c r="C1552" s="7"/>
      <c r="D1552" s="7"/>
      <c r="E1552" s="7"/>
      <c r="F1552" s="7"/>
      <c r="G1552" s="93"/>
      <c r="H1552" s="75"/>
      <c r="I1552" s="75"/>
      <c r="J1552" s="61"/>
      <c r="K1552" s="9"/>
      <c r="L1552" s="59"/>
    </row>
    <row r="1553" spans="3:12" x14ac:dyDescent="0.35">
      <c r="C1553" s="7"/>
      <c r="D1553" s="7"/>
      <c r="E1553" s="7"/>
      <c r="F1553" s="7"/>
      <c r="G1553" s="93"/>
      <c r="H1553" s="75"/>
      <c r="I1553" s="75"/>
      <c r="J1553" s="61"/>
      <c r="K1553" s="9"/>
      <c r="L1553" s="59"/>
    </row>
    <row r="1554" spans="3:12" x14ac:dyDescent="0.35">
      <c r="C1554" s="7"/>
      <c r="D1554" s="7"/>
      <c r="E1554" s="7"/>
      <c r="F1554" s="7"/>
      <c r="G1554" s="93"/>
      <c r="H1554" s="75"/>
      <c r="I1554" s="75"/>
      <c r="J1554" s="61"/>
      <c r="K1554" s="9"/>
      <c r="L1554" s="59"/>
    </row>
    <row r="1555" spans="3:12" x14ac:dyDescent="0.35">
      <c r="C1555" s="7"/>
      <c r="D1555" s="7"/>
      <c r="E1555" s="7"/>
      <c r="F1555" s="7"/>
      <c r="G1555" s="93"/>
      <c r="H1555" s="75"/>
      <c r="I1555" s="75"/>
      <c r="J1555" s="61"/>
      <c r="K1555" s="9"/>
      <c r="L1555" s="59"/>
    </row>
    <row r="1556" spans="3:12" x14ac:dyDescent="0.35">
      <c r="C1556" s="7"/>
      <c r="D1556" s="7"/>
      <c r="E1556" s="7"/>
      <c r="F1556" s="7"/>
      <c r="G1556" s="93"/>
      <c r="H1556" s="75"/>
      <c r="I1556" s="75"/>
      <c r="J1556" s="61"/>
      <c r="K1556" s="9"/>
      <c r="L1556" s="59"/>
    </row>
    <row r="1557" spans="3:12" x14ac:dyDescent="0.35">
      <c r="C1557" s="7"/>
      <c r="D1557" s="7"/>
      <c r="E1557" s="7"/>
      <c r="F1557" s="7"/>
      <c r="G1557" s="93"/>
      <c r="H1557" s="75"/>
      <c r="I1557" s="75"/>
      <c r="J1557" s="61"/>
      <c r="K1557" s="9"/>
      <c r="L1557" s="59"/>
    </row>
    <row r="1558" spans="3:12" x14ac:dyDescent="0.35">
      <c r="C1558" s="7"/>
      <c r="D1558" s="7"/>
      <c r="E1558" s="7"/>
      <c r="F1558" s="7"/>
      <c r="G1558" s="93"/>
      <c r="H1558" s="75"/>
      <c r="I1558" s="75"/>
      <c r="J1558" s="61"/>
      <c r="K1558" s="9"/>
      <c r="L1558" s="59"/>
    </row>
    <row r="1559" spans="3:12" x14ac:dyDescent="0.35">
      <c r="C1559" s="7"/>
      <c r="D1559" s="7"/>
      <c r="E1559" s="7"/>
      <c r="F1559" s="7"/>
      <c r="G1559" s="93"/>
      <c r="H1559" s="75"/>
      <c r="I1559" s="75"/>
      <c r="J1559" s="61"/>
      <c r="K1559" s="9"/>
      <c r="L1559" s="59"/>
    </row>
    <row r="1560" spans="3:12" x14ac:dyDescent="0.35">
      <c r="C1560" s="7"/>
      <c r="D1560" s="7"/>
      <c r="E1560" s="7"/>
      <c r="F1560" s="7"/>
      <c r="G1560" s="93"/>
      <c r="H1560" s="75"/>
      <c r="I1560" s="75"/>
      <c r="J1560" s="61"/>
      <c r="K1560" s="9"/>
      <c r="L1560" s="59"/>
    </row>
    <row r="1561" spans="3:12" x14ac:dyDescent="0.35">
      <c r="C1561" s="7"/>
      <c r="D1561" s="7"/>
      <c r="E1561" s="7"/>
      <c r="F1561" s="7"/>
      <c r="G1561" s="93"/>
      <c r="H1561" s="75"/>
      <c r="I1561" s="75"/>
      <c r="J1561" s="61"/>
      <c r="K1561" s="9"/>
      <c r="L1561" s="59"/>
    </row>
    <row r="1562" spans="3:12" x14ac:dyDescent="0.35">
      <c r="C1562" s="7"/>
      <c r="D1562" s="7"/>
      <c r="E1562" s="7"/>
      <c r="F1562" s="7"/>
      <c r="G1562" s="93"/>
      <c r="H1562" s="75"/>
      <c r="I1562" s="75"/>
      <c r="J1562" s="61"/>
      <c r="K1562" s="9"/>
      <c r="L1562" s="59"/>
    </row>
    <row r="1563" spans="3:12" x14ac:dyDescent="0.35">
      <c r="C1563" s="7"/>
      <c r="D1563" s="7"/>
      <c r="E1563" s="7"/>
      <c r="F1563" s="7"/>
      <c r="G1563" s="93"/>
      <c r="H1563" s="75"/>
      <c r="I1563" s="75"/>
      <c r="J1563" s="61"/>
      <c r="K1563" s="9"/>
      <c r="L1563" s="59"/>
    </row>
    <row r="1564" spans="3:12" x14ac:dyDescent="0.35">
      <c r="C1564" s="7"/>
      <c r="D1564" s="7"/>
      <c r="E1564" s="7"/>
      <c r="F1564" s="7"/>
      <c r="G1564" s="93"/>
      <c r="H1564" s="75"/>
      <c r="I1564" s="75"/>
      <c r="J1564" s="61"/>
      <c r="K1564" s="9"/>
      <c r="L1564" s="59"/>
    </row>
    <row r="1565" spans="3:12" x14ac:dyDescent="0.35">
      <c r="C1565" s="7"/>
      <c r="D1565" s="7"/>
      <c r="E1565" s="7"/>
      <c r="F1565" s="7"/>
      <c r="G1565" s="93"/>
      <c r="H1565" s="75"/>
      <c r="I1565" s="75"/>
      <c r="J1565" s="61"/>
      <c r="K1565" s="9"/>
      <c r="L1565" s="59"/>
    </row>
    <row r="1566" spans="3:12" x14ac:dyDescent="0.35">
      <c r="C1566" s="7"/>
      <c r="D1566" s="7"/>
      <c r="E1566" s="7"/>
      <c r="F1566" s="7"/>
      <c r="G1566" s="93"/>
      <c r="H1566" s="75"/>
      <c r="I1566" s="75"/>
      <c r="J1566" s="61"/>
      <c r="K1566" s="9"/>
      <c r="L1566" s="59"/>
    </row>
    <row r="1567" spans="3:12" x14ac:dyDescent="0.35">
      <c r="C1567" s="7"/>
      <c r="D1567" s="7"/>
      <c r="E1567" s="7"/>
      <c r="F1567" s="7"/>
      <c r="G1567" s="93"/>
      <c r="H1567" s="75"/>
      <c r="I1567" s="75"/>
      <c r="J1567" s="61"/>
      <c r="K1567" s="9"/>
      <c r="L1567" s="59"/>
    </row>
    <row r="1568" spans="3:12" x14ac:dyDescent="0.35">
      <c r="C1568" s="7"/>
      <c r="D1568" s="7"/>
      <c r="E1568" s="7"/>
      <c r="F1568" s="7"/>
      <c r="G1568" s="93"/>
      <c r="H1568" s="75"/>
      <c r="I1568" s="75"/>
      <c r="J1568" s="61"/>
      <c r="K1568" s="9"/>
      <c r="L1568" s="59"/>
    </row>
    <row r="1569" spans="3:12" x14ac:dyDescent="0.35">
      <c r="C1569" s="7"/>
      <c r="D1569" s="7"/>
      <c r="E1569" s="7"/>
      <c r="F1569" s="7"/>
      <c r="G1569" s="93"/>
      <c r="H1569" s="75"/>
      <c r="I1569" s="75"/>
      <c r="J1569" s="61"/>
      <c r="K1569" s="9"/>
      <c r="L1569" s="59"/>
    </row>
    <row r="1570" spans="3:12" x14ac:dyDescent="0.35">
      <c r="C1570" s="7"/>
      <c r="D1570" s="7"/>
      <c r="E1570" s="7"/>
      <c r="F1570" s="7"/>
      <c r="G1570" s="93"/>
      <c r="H1570" s="75"/>
      <c r="I1570" s="75"/>
      <c r="J1570" s="61"/>
      <c r="K1570" s="9"/>
      <c r="L1570" s="59"/>
    </row>
    <row r="1571" spans="3:12" x14ac:dyDescent="0.35">
      <c r="C1571" s="7"/>
      <c r="D1571" s="7"/>
      <c r="E1571" s="7"/>
      <c r="F1571" s="7"/>
      <c r="G1571" s="93"/>
      <c r="H1571" s="75"/>
      <c r="I1571" s="75"/>
      <c r="J1571" s="61"/>
      <c r="K1571" s="9"/>
      <c r="L1571" s="59"/>
    </row>
    <row r="1572" spans="3:12" x14ac:dyDescent="0.35">
      <c r="C1572" s="7"/>
      <c r="D1572" s="7"/>
      <c r="E1572" s="7"/>
      <c r="F1572" s="7"/>
      <c r="G1572" s="93"/>
      <c r="H1572" s="75"/>
      <c r="I1572" s="75"/>
      <c r="J1572" s="61"/>
      <c r="K1572" s="9"/>
      <c r="L1572" s="59"/>
    </row>
    <row r="1573" spans="3:12" x14ac:dyDescent="0.35">
      <c r="C1573" s="7"/>
      <c r="D1573" s="7"/>
      <c r="E1573" s="7"/>
      <c r="F1573" s="7"/>
      <c r="G1573" s="93"/>
      <c r="H1573" s="75"/>
      <c r="I1573" s="75"/>
      <c r="J1573" s="61"/>
      <c r="K1573" s="9"/>
      <c r="L1573" s="59"/>
    </row>
    <row r="1574" spans="3:12" x14ac:dyDescent="0.35">
      <c r="C1574" s="7"/>
      <c r="D1574" s="7"/>
      <c r="E1574" s="7"/>
      <c r="F1574" s="7"/>
      <c r="G1574" s="93"/>
      <c r="H1574" s="75"/>
      <c r="I1574" s="75"/>
      <c r="J1574" s="61"/>
      <c r="K1574" s="9"/>
      <c r="L1574" s="59"/>
    </row>
    <row r="1575" spans="3:12" x14ac:dyDescent="0.35">
      <c r="C1575" s="7"/>
      <c r="D1575" s="7"/>
      <c r="E1575" s="7"/>
      <c r="F1575" s="7"/>
      <c r="G1575" s="93"/>
      <c r="H1575" s="75"/>
      <c r="I1575" s="75"/>
      <c r="J1575" s="61"/>
      <c r="K1575" s="9"/>
      <c r="L1575" s="59"/>
    </row>
    <row r="1576" spans="3:12" x14ac:dyDescent="0.35">
      <c r="C1576" s="7"/>
      <c r="D1576" s="7"/>
      <c r="E1576" s="7"/>
      <c r="F1576" s="7"/>
      <c r="G1576" s="93"/>
      <c r="H1576" s="75"/>
      <c r="I1576" s="75"/>
      <c r="J1576" s="61"/>
      <c r="K1576" s="9"/>
      <c r="L1576" s="59"/>
    </row>
    <row r="1577" spans="3:12" x14ac:dyDescent="0.35">
      <c r="C1577" s="7"/>
      <c r="D1577" s="7"/>
      <c r="E1577" s="7"/>
      <c r="F1577" s="7"/>
      <c r="G1577" s="93"/>
      <c r="H1577" s="75"/>
      <c r="I1577" s="75"/>
      <c r="J1577" s="61"/>
      <c r="K1577" s="9"/>
      <c r="L1577" s="59"/>
    </row>
    <row r="1578" spans="3:12" x14ac:dyDescent="0.35">
      <c r="C1578" s="7"/>
      <c r="D1578" s="7"/>
      <c r="E1578" s="7"/>
      <c r="F1578" s="7"/>
      <c r="G1578" s="93"/>
      <c r="H1578" s="75"/>
      <c r="I1578" s="75"/>
      <c r="J1578" s="61"/>
      <c r="K1578" s="9"/>
      <c r="L1578" s="59"/>
    </row>
    <row r="1579" spans="3:12" x14ac:dyDescent="0.35">
      <c r="C1579" s="7"/>
      <c r="D1579" s="7"/>
      <c r="E1579" s="7"/>
      <c r="F1579" s="7"/>
      <c r="G1579" s="93"/>
      <c r="H1579" s="75"/>
      <c r="I1579" s="75"/>
      <c r="J1579" s="61"/>
      <c r="K1579" s="9"/>
      <c r="L1579" s="59"/>
    </row>
    <row r="1580" spans="3:12" x14ac:dyDescent="0.35">
      <c r="C1580" s="7"/>
      <c r="D1580" s="7"/>
      <c r="E1580" s="7"/>
      <c r="F1580" s="7"/>
      <c r="G1580" s="93"/>
      <c r="H1580" s="75"/>
      <c r="I1580" s="75"/>
      <c r="J1580" s="61"/>
      <c r="K1580" s="9"/>
      <c r="L1580" s="59"/>
    </row>
    <row r="1581" spans="3:12" x14ac:dyDescent="0.35">
      <c r="C1581" s="7"/>
      <c r="D1581" s="7"/>
      <c r="E1581" s="7"/>
      <c r="F1581" s="7"/>
      <c r="G1581" s="93"/>
      <c r="H1581" s="75"/>
      <c r="I1581" s="75"/>
      <c r="J1581" s="61"/>
      <c r="K1581" s="9"/>
      <c r="L1581" s="59"/>
    </row>
    <row r="1582" spans="3:12" x14ac:dyDescent="0.35">
      <c r="C1582" s="7"/>
      <c r="D1582" s="7"/>
      <c r="E1582" s="7"/>
      <c r="F1582" s="7"/>
      <c r="G1582" s="93"/>
      <c r="H1582" s="75"/>
      <c r="I1582" s="75"/>
      <c r="J1582" s="61"/>
      <c r="K1582" s="9"/>
      <c r="L1582" s="59"/>
    </row>
    <row r="1583" spans="3:12" x14ac:dyDescent="0.35">
      <c r="C1583" s="7"/>
      <c r="D1583" s="7"/>
      <c r="E1583" s="7"/>
      <c r="F1583" s="7"/>
      <c r="G1583" s="93"/>
      <c r="H1583" s="75"/>
      <c r="I1583" s="75"/>
      <c r="J1583" s="61"/>
      <c r="K1583" s="9"/>
      <c r="L1583" s="59"/>
    </row>
    <row r="1584" spans="3:12" x14ac:dyDescent="0.35">
      <c r="C1584" s="7"/>
      <c r="D1584" s="7"/>
      <c r="E1584" s="7"/>
      <c r="F1584" s="7"/>
      <c r="G1584" s="93"/>
      <c r="H1584" s="75"/>
      <c r="I1584" s="75"/>
      <c r="J1584" s="61"/>
      <c r="K1584" s="9"/>
      <c r="L1584" s="59"/>
    </row>
    <row r="1585" spans="3:12" x14ac:dyDescent="0.35">
      <c r="C1585" s="7"/>
      <c r="D1585" s="7"/>
      <c r="E1585" s="7"/>
      <c r="F1585" s="7"/>
      <c r="G1585" s="93"/>
      <c r="H1585" s="75"/>
      <c r="I1585" s="75"/>
      <c r="J1585" s="61"/>
      <c r="K1585" s="9"/>
      <c r="L1585" s="59"/>
    </row>
    <row r="1586" spans="3:12" x14ac:dyDescent="0.35">
      <c r="C1586" s="7"/>
      <c r="D1586" s="7"/>
      <c r="E1586" s="7"/>
      <c r="F1586" s="7"/>
      <c r="G1586" s="93"/>
      <c r="H1586" s="75"/>
      <c r="I1586" s="75"/>
      <c r="J1586" s="61"/>
      <c r="K1586" s="9"/>
      <c r="L1586" s="59"/>
    </row>
    <row r="1587" spans="3:12" x14ac:dyDescent="0.35">
      <c r="C1587" s="7"/>
      <c r="D1587" s="7"/>
      <c r="E1587" s="7"/>
      <c r="F1587" s="7"/>
      <c r="G1587" s="93"/>
      <c r="H1587" s="75"/>
      <c r="I1587" s="75"/>
      <c r="J1587" s="61"/>
      <c r="K1587" s="9"/>
      <c r="L1587" s="59"/>
    </row>
    <row r="1588" spans="3:12" x14ac:dyDescent="0.35">
      <c r="C1588" s="7"/>
      <c r="D1588" s="7"/>
      <c r="E1588" s="7"/>
      <c r="F1588" s="7"/>
      <c r="G1588" s="93"/>
      <c r="H1588" s="75"/>
      <c r="I1588" s="75"/>
      <c r="J1588" s="61"/>
      <c r="K1588" s="9"/>
      <c r="L1588" s="59"/>
    </row>
    <row r="1589" spans="3:12" x14ac:dyDescent="0.35">
      <c r="C1589" s="7"/>
      <c r="D1589" s="7"/>
      <c r="E1589" s="7"/>
      <c r="F1589" s="7"/>
      <c r="G1589" s="93"/>
      <c r="H1589" s="75"/>
      <c r="I1589" s="75"/>
      <c r="J1589" s="61"/>
      <c r="K1589" s="9"/>
      <c r="L1589" s="59"/>
    </row>
    <row r="1590" spans="3:12" x14ac:dyDescent="0.35">
      <c r="C1590" s="7"/>
      <c r="D1590" s="7"/>
      <c r="E1590" s="7"/>
      <c r="F1590" s="7"/>
      <c r="G1590" s="93"/>
      <c r="H1590" s="75"/>
      <c r="I1590" s="75"/>
      <c r="J1590" s="61"/>
      <c r="K1590" s="9"/>
      <c r="L1590" s="59"/>
    </row>
    <row r="1591" spans="3:12" x14ac:dyDescent="0.35">
      <c r="C1591" s="7"/>
      <c r="D1591" s="7"/>
      <c r="E1591" s="7"/>
      <c r="F1591" s="7"/>
      <c r="G1591" s="93"/>
      <c r="H1591" s="75"/>
      <c r="I1591" s="75"/>
      <c r="J1591" s="61"/>
      <c r="K1591" s="9"/>
      <c r="L1591" s="59"/>
    </row>
    <row r="1592" spans="3:12" x14ac:dyDescent="0.35">
      <c r="C1592" s="7"/>
      <c r="D1592" s="7"/>
      <c r="E1592" s="7"/>
      <c r="F1592" s="7"/>
      <c r="G1592" s="93"/>
      <c r="H1592" s="75"/>
      <c r="I1592" s="75"/>
      <c r="J1592" s="61"/>
      <c r="K1592" s="7"/>
      <c r="L1592" s="59"/>
    </row>
    <row r="1593" spans="3:12" x14ac:dyDescent="0.35">
      <c r="C1593" s="7"/>
      <c r="D1593" s="7"/>
      <c r="E1593" s="7"/>
      <c r="F1593" s="7"/>
      <c r="G1593" s="93"/>
      <c r="H1593" s="75"/>
      <c r="I1593" s="75"/>
      <c r="J1593" s="61"/>
      <c r="K1593" s="9"/>
      <c r="L1593" s="59"/>
    </row>
    <row r="1594" spans="3:12" x14ac:dyDescent="0.35">
      <c r="C1594" s="7"/>
      <c r="D1594" s="7"/>
      <c r="E1594" s="7"/>
      <c r="F1594" s="7"/>
      <c r="G1594" s="93"/>
      <c r="H1594" s="75"/>
      <c r="I1594" s="75"/>
      <c r="J1594" s="61"/>
      <c r="K1594" s="9"/>
      <c r="L1594" s="59"/>
    </row>
    <row r="1595" spans="3:12" x14ac:dyDescent="0.35">
      <c r="C1595" s="7"/>
      <c r="D1595" s="7"/>
      <c r="E1595" s="7"/>
      <c r="F1595" s="7"/>
      <c r="G1595" s="93"/>
      <c r="H1595" s="75"/>
      <c r="I1595" s="75"/>
      <c r="J1595" s="61"/>
      <c r="K1595" s="9"/>
      <c r="L1595" s="59"/>
    </row>
    <row r="1596" spans="3:12" x14ac:dyDescent="0.35">
      <c r="C1596" s="7"/>
      <c r="D1596" s="7"/>
      <c r="E1596" s="7"/>
      <c r="F1596" s="7"/>
      <c r="G1596" s="93"/>
      <c r="H1596" s="75"/>
      <c r="I1596" s="75"/>
      <c r="J1596" s="61"/>
      <c r="K1596" s="9"/>
      <c r="L1596" s="59"/>
    </row>
    <row r="1597" spans="3:12" x14ac:dyDescent="0.35">
      <c r="C1597" s="7"/>
      <c r="D1597" s="7"/>
      <c r="E1597" s="7"/>
      <c r="F1597" s="7"/>
      <c r="G1597" s="93"/>
      <c r="H1597" s="75"/>
      <c r="I1597" s="75"/>
      <c r="J1597" s="61"/>
      <c r="K1597" s="9"/>
      <c r="L1597" s="59"/>
    </row>
    <row r="1598" spans="3:12" x14ac:dyDescent="0.35">
      <c r="C1598" s="7"/>
      <c r="D1598" s="7"/>
      <c r="E1598" s="7"/>
      <c r="F1598" s="7"/>
      <c r="G1598" s="93"/>
      <c r="H1598" s="75"/>
      <c r="I1598" s="75"/>
      <c r="J1598" s="61"/>
      <c r="K1598" s="9"/>
      <c r="L1598" s="59"/>
    </row>
    <row r="1599" spans="3:12" x14ac:dyDescent="0.35">
      <c r="C1599" s="7"/>
      <c r="D1599" s="7"/>
      <c r="E1599" s="7"/>
      <c r="F1599" s="7"/>
      <c r="G1599" s="93"/>
      <c r="H1599" s="75"/>
      <c r="I1599" s="75"/>
      <c r="J1599" s="61"/>
      <c r="K1599" s="9"/>
      <c r="L1599" s="59"/>
    </row>
    <row r="1600" spans="3:12" x14ac:dyDescent="0.35">
      <c r="C1600" s="7"/>
      <c r="D1600" s="7"/>
      <c r="E1600" s="7"/>
      <c r="F1600" s="7"/>
      <c r="G1600" s="93"/>
      <c r="H1600" s="75"/>
      <c r="I1600" s="75"/>
      <c r="J1600" s="61"/>
      <c r="K1600" s="9"/>
      <c r="L1600" s="59"/>
    </row>
    <row r="1601" spans="3:12" x14ac:dyDescent="0.35">
      <c r="C1601" s="7"/>
      <c r="D1601" s="7"/>
      <c r="E1601" s="7"/>
      <c r="F1601" s="7"/>
      <c r="G1601" s="93"/>
      <c r="H1601" s="75"/>
      <c r="I1601" s="75"/>
      <c r="J1601" s="61"/>
      <c r="K1601" s="9"/>
      <c r="L1601" s="59"/>
    </row>
    <row r="1602" spans="3:12" x14ac:dyDescent="0.35">
      <c r="C1602" s="7"/>
      <c r="D1602" s="7"/>
      <c r="E1602" s="7"/>
      <c r="F1602" s="7"/>
      <c r="G1602" s="93"/>
      <c r="H1602" s="75"/>
      <c r="I1602" s="75"/>
      <c r="J1602" s="61"/>
      <c r="K1602" s="9"/>
      <c r="L1602" s="59"/>
    </row>
    <row r="1603" spans="3:12" x14ac:dyDescent="0.35">
      <c r="C1603" s="7"/>
      <c r="D1603" s="7"/>
      <c r="E1603" s="7"/>
      <c r="F1603" s="7"/>
      <c r="G1603" s="93"/>
      <c r="H1603" s="75"/>
      <c r="I1603" s="75"/>
      <c r="J1603" s="61"/>
      <c r="K1603" s="9"/>
      <c r="L1603" s="59"/>
    </row>
    <row r="1604" spans="3:12" x14ac:dyDescent="0.35">
      <c r="C1604" s="7"/>
      <c r="D1604" s="7"/>
      <c r="E1604" s="7"/>
      <c r="F1604" s="7"/>
      <c r="G1604" s="93"/>
      <c r="H1604" s="75"/>
      <c r="I1604" s="75"/>
      <c r="J1604" s="61"/>
      <c r="K1604" s="9"/>
      <c r="L1604" s="59"/>
    </row>
    <row r="1605" spans="3:12" x14ac:dyDescent="0.35">
      <c r="C1605" s="7"/>
      <c r="D1605" s="7"/>
      <c r="E1605" s="7"/>
      <c r="F1605" s="7"/>
      <c r="G1605" s="93"/>
      <c r="H1605" s="75"/>
      <c r="I1605" s="75"/>
      <c r="J1605" s="61"/>
      <c r="K1605" s="9"/>
      <c r="L1605" s="59"/>
    </row>
    <row r="1606" spans="3:12" x14ac:dyDescent="0.35">
      <c r="C1606" s="7"/>
      <c r="D1606" s="7"/>
      <c r="E1606" s="7"/>
      <c r="F1606" s="7"/>
      <c r="G1606" s="93"/>
      <c r="H1606" s="75"/>
      <c r="I1606" s="75"/>
      <c r="J1606" s="61"/>
      <c r="K1606" s="9"/>
      <c r="L1606" s="59"/>
    </row>
    <row r="1607" spans="3:12" x14ac:dyDescent="0.35">
      <c r="C1607" s="7"/>
      <c r="D1607" s="7"/>
      <c r="E1607" s="7"/>
      <c r="F1607" s="7"/>
      <c r="G1607" s="93"/>
      <c r="H1607" s="75"/>
      <c r="I1607" s="75"/>
      <c r="J1607" s="61"/>
      <c r="K1607" s="9"/>
      <c r="L1607" s="59"/>
    </row>
    <row r="1608" spans="3:12" x14ac:dyDescent="0.35">
      <c r="C1608" s="7"/>
      <c r="D1608" s="7"/>
      <c r="E1608" s="7"/>
      <c r="F1608" s="7"/>
      <c r="G1608" s="93"/>
      <c r="H1608" s="75"/>
      <c r="I1608" s="75"/>
      <c r="J1608" s="61"/>
      <c r="K1608" s="9"/>
      <c r="L1608" s="59"/>
    </row>
    <row r="1609" spans="3:12" x14ac:dyDescent="0.35">
      <c r="C1609" s="7"/>
      <c r="D1609" s="7"/>
      <c r="E1609" s="7"/>
      <c r="F1609" s="7"/>
      <c r="G1609" s="93"/>
      <c r="H1609" s="75"/>
      <c r="I1609" s="75"/>
      <c r="J1609" s="61"/>
      <c r="K1609" s="9"/>
      <c r="L1609" s="59"/>
    </row>
    <row r="1610" spans="3:12" x14ac:dyDescent="0.35">
      <c r="C1610" s="7"/>
      <c r="D1610" s="7"/>
      <c r="E1610" s="7"/>
      <c r="F1610" s="7"/>
      <c r="G1610" s="93"/>
      <c r="H1610" s="75"/>
      <c r="I1610" s="75"/>
      <c r="J1610" s="61"/>
      <c r="K1610" s="9"/>
      <c r="L1610" s="59"/>
    </row>
    <row r="1611" spans="3:12" x14ac:dyDescent="0.35">
      <c r="C1611" s="7"/>
      <c r="D1611" s="7"/>
      <c r="E1611" s="7"/>
      <c r="F1611" s="7"/>
      <c r="G1611" s="93"/>
      <c r="H1611" s="75"/>
      <c r="I1611" s="75"/>
      <c r="J1611" s="61"/>
      <c r="K1611" s="9"/>
      <c r="L1611" s="59"/>
    </row>
    <row r="1612" spans="3:12" x14ac:dyDescent="0.35">
      <c r="C1612" s="7"/>
      <c r="D1612" s="7"/>
      <c r="E1612" s="7"/>
      <c r="F1612" s="7"/>
      <c r="G1612" s="93"/>
      <c r="H1612" s="75"/>
      <c r="I1612" s="75"/>
      <c r="J1612" s="61"/>
      <c r="K1612" s="9"/>
      <c r="L1612" s="59"/>
    </row>
    <row r="1613" spans="3:12" x14ac:dyDescent="0.35">
      <c r="C1613" s="7"/>
      <c r="D1613" s="7"/>
      <c r="E1613" s="7"/>
      <c r="F1613" s="7"/>
      <c r="G1613" s="93"/>
      <c r="H1613" s="75"/>
      <c r="I1613" s="75"/>
      <c r="J1613" s="61"/>
      <c r="K1613" s="9"/>
      <c r="L1613" s="59"/>
    </row>
    <row r="1614" spans="3:12" x14ac:dyDescent="0.35">
      <c r="C1614" s="7"/>
      <c r="D1614" s="7"/>
      <c r="E1614" s="7"/>
      <c r="F1614" s="7"/>
      <c r="G1614" s="93"/>
      <c r="H1614" s="75"/>
      <c r="I1614" s="75"/>
      <c r="J1614" s="61"/>
      <c r="K1614" s="9"/>
      <c r="L1614" s="59"/>
    </row>
    <row r="1615" spans="3:12" x14ac:dyDescent="0.35">
      <c r="C1615" s="7"/>
      <c r="D1615" s="7"/>
      <c r="E1615" s="7"/>
      <c r="F1615" s="7"/>
      <c r="G1615" s="93"/>
      <c r="H1615" s="75"/>
      <c r="I1615" s="75"/>
      <c r="J1615" s="61"/>
      <c r="K1615" s="9"/>
      <c r="L1615" s="59"/>
    </row>
    <row r="1616" spans="3:12" x14ac:dyDescent="0.35">
      <c r="C1616" s="7"/>
      <c r="D1616" s="7"/>
      <c r="E1616" s="7"/>
      <c r="F1616" s="7"/>
      <c r="G1616" s="93"/>
      <c r="H1616" s="75"/>
      <c r="I1616" s="75"/>
      <c r="J1616" s="61"/>
      <c r="K1616" s="9"/>
      <c r="L1616" s="59"/>
    </row>
    <row r="1617" spans="3:12" x14ac:dyDescent="0.35">
      <c r="C1617" s="7"/>
      <c r="D1617" s="7"/>
      <c r="E1617" s="7"/>
      <c r="F1617" s="7"/>
      <c r="G1617" s="93"/>
      <c r="H1617" s="75"/>
      <c r="I1617" s="75"/>
      <c r="J1617" s="61"/>
      <c r="K1617" s="9"/>
      <c r="L1617" s="59"/>
    </row>
    <row r="1618" spans="3:12" x14ac:dyDescent="0.35">
      <c r="C1618" s="7"/>
      <c r="D1618" s="7"/>
      <c r="E1618" s="7"/>
      <c r="F1618" s="7"/>
      <c r="G1618" s="93"/>
      <c r="H1618" s="75"/>
      <c r="I1618" s="75"/>
      <c r="J1618" s="61"/>
      <c r="K1618" s="9"/>
      <c r="L1618" s="59"/>
    </row>
    <row r="1619" spans="3:12" x14ac:dyDescent="0.35">
      <c r="C1619" s="7"/>
      <c r="D1619" s="7"/>
      <c r="E1619" s="7"/>
      <c r="F1619" s="7"/>
      <c r="G1619" s="93"/>
      <c r="H1619" s="75"/>
      <c r="I1619" s="75"/>
      <c r="J1619" s="61"/>
      <c r="K1619" s="9"/>
      <c r="L1619" s="59"/>
    </row>
    <row r="1620" spans="3:12" x14ac:dyDescent="0.35">
      <c r="C1620" s="7"/>
      <c r="D1620" s="7"/>
      <c r="E1620" s="7"/>
      <c r="F1620" s="7"/>
      <c r="G1620" s="93"/>
      <c r="H1620" s="75"/>
      <c r="I1620" s="75"/>
      <c r="J1620" s="61"/>
      <c r="K1620" s="9"/>
      <c r="L1620" s="59"/>
    </row>
    <row r="1621" spans="3:12" x14ac:dyDescent="0.35">
      <c r="C1621" s="7"/>
      <c r="D1621" s="7"/>
      <c r="E1621" s="7"/>
      <c r="F1621" s="7"/>
      <c r="G1621" s="93"/>
      <c r="H1621" s="75"/>
      <c r="I1621" s="75"/>
      <c r="J1621" s="61"/>
      <c r="K1621" s="9"/>
      <c r="L1621" s="59"/>
    </row>
    <row r="1622" spans="3:12" x14ac:dyDescent="0.35">
      <c r="C1622" s="7"/>
      <c r="D1622" s="7"/>
      <c r="E1622" s="7"/>
      <c r="F1622" s="7"/>
      <c r="G1622" s="93"/>
      <c r="H1622" s="75"/>
      <c r="I1622" s="75"/>
      <c r="J1622" s="61"/>
      <c r="K1622" s="9"/>
      <c r="L1622" s="59"/>
    </row>
    <row r="1623" spans="3:12" x14ac:dyDescent="0.35">
      <c r="C1623" s="7"/>
      <c r="D1623" s="7"/>
      <c r="E1623" s="7"/>
      <c r="F1623" s="7"/>
      <c r="G1623" s="93"/>
      <c r="H1623" s="75"/>
      <c r="I1623" s="75"/>
      <c r="J1623" s="61"/>
      <c r="K1623" s="9"/>
      <c r="L1623" s="59"/>
    </row>
    <row r="1624" spans="3:12" x14ac:dyDescent="0.35">
      <c r="C1624" s="7"/>
      <c r="D1624" s="7"/>
      <c r="E1624" s="7"/>
      <c r="F1624" s="7"/>
      <c r="G1624" s="93"/>
      <c r="H1624" s="75"/>
      <c r="I1624" s="75"/>
      <c r="J1624" s="61"/>
      <c r="K1624" s="9"/>
      <c r="L1624" s="59"/>
    </row>
    <row r="1625" spans="3:12" x14ac:dyDescent="0.35">
      <c r="C1625" s="7"/>
      <c r="D1625" s="7"/>
      <c r="E1625" s="7"/>
      <c r="F1625" s="7"/>
      <c r="G1625" s="93"/>
      <c r="H1625" s="75"/>
      <c r="I1625" s="75"/>
      <c r="J1625" s="61"/>
      <c r="K1625" s="9"/>
      <c r="L1625" s="59"/>
    </row>
    <row r="1626" spans="3:12" x14ac:dyDescent="0.35">
      <c r="C1626" s="7"/>
      <c r="D1626" s="7"/>
      <c r="E1626" s="7"/>
      <c r="F1626" s="7"/>
      <c r="G1626" s="93"/>
      <c r="H1626" s="75"/>
      <c r="I1626" s="75"/>
      <c r="J1626" s="61"/>
      <c r="K1626" s="9"/>
      <c r="L1626" s="59"/>
    </row>
    <row r="1627" spans="3:12" x14ac:dyDescent="0.35">
      <c r="C1627" s="7"/>
      <c r="D1627" s="7"/>
      <c r="E1627" s="7"/>
      <c r="F1627" s="7"/>
      <c r="G1627" s="93"/>
      <c r="H1627" s="75"/>
      <c r="I1627" s="75"/>
      <c r="J1627" s="61"/>
      <c r="K1627" s="9"/>
      <c r="L1627" s="59"/>
    </row>
    <row r="1628" spans="3:12" x14ac:dyDescent="0.35">
      <c r="C1628" s="7"/>
      <c r="D1628" s="7"/>
      <c r="E1628" s="7"/>
      <c r="F1628" s="7"/>
      <c r="G1628" s="93"/>
      <c r="H1628" s="75"/>
      <c r="I1628" s="75"/>
      <c r="J1628" s="61"/>
      <c r="K1628" s="9"/>
      <c r="L1628" s="59"/>
    </row>
    <row r="1629" spans="3:12" x14ac:dyDescent="0.35">
      <c r="C1629" s="7"/>
      <c r="D1629" s="7"/>
      <c r="E1629" s="7"/>
      <c r="F1629" s="7"/>
      <c r="G1629" s="93"/>
      <c r="H1629" s="75"/>
      <c r="I1629" s="75"/>
      <c r="J1629" s="61"/>
      <c r="K1629" s="9"/>
      <c r="L1629" s="59"/>
    </row>
    <row r="1630" spans="3:12" x14ac:dyDescent="0.35">
      <c r="C1630" s="7"/>
      <c r="D1630" s="7"/>
      <c r="E1630" s="7"/>
      <c r="F1630" s="7"/>
      <c r="G1630" s="93"/>
      <c r="H1630" s="75"/>
      <c r="I1630" s="75"/>
      <c r="J1630" s="61"/>
      <c r="K1630" s="9"/>
      <c r="L1630" s="59"/>
    </row>
    <row r="1631" spans="3:12" x14ac:dyDescent="0.35">
      <c r="C1631" s="7"/>
      <c r="D1631" s="7"/>
      <c r="E1631" s="7"/>
      <c r="F1631" s="7"/>
      <c r="G1631" s="93"/>
      <c r="H1631" s="75"/>
      <c r="I1631" s="75"/>
      <c r="J1631" s="61"/>
      <c r="K1631" s="9"/>
      <c r="L1631" s="59"/>
    </row>
    <row r="1632" spans="3:12" x14ac:dyDescent="0.35">
      <c r="C1632" s="7"/>
      <c r="D1632" s="7"/>
      <c r="E1632" s="7"/>
      <c r="F1632" s="7"/>
      <c r="G1632" s="93"/>
      <c r="H1632" s="75"/>
      <c r="I1632" s="75"/>
      <c r="J1632" s="61"/>
      <c r="K1632" s="9"/>
      <c r="L1632" s="59"/>
    </row>
    <row r="1633" spans="3:12" x14ac:dyDescent="0.35">
      <c r="C1633" s="7"/>
      <c r="D1633" s="7"/>
      <c r="E1633" s="7"/>
      <c r="F1633" s="7"/>
      <c r="G1633" s="93"/>
      <c r="H1633" s="75"/>
      <c r="I1633" s="75"/>
      <c r="J1633" s="61"/>
      <c r="K1633" s="9"/>
      <c r="L1633" s="59"/>
    </row>
    <row r="1634" spans="3:12" x14ac:dyDescent="0.35">
      <c r="C1634" s="7"/>
      <c r="D1634" s="7"/>
      <c r="E1634" s="7"/>
      <c r="F1634" s="7"/>
      <c r="G1634" s="93"/>
      <c r="H1634" s="75"/>
      <c r="I1634" s="75"/>
      <c r="J1634" s="61"/>
      <c r="K1634" s="9"/>
      <c r="L1634" s="59"/>
    </row>
    <row r="1635" spans="3:12" x14ac:dyDescent="0.35">
      <c r="C1635" s="7"/>
      <c r="D1635" s="7"/>
      <c r="E1635" s="7"/>
      <c r="F1635" s="7"/>
      <c r="G1635" s="93"/>
      <c r="H1635" s="75"/>
      <c r="I1635" s="75"/>
      <c r="J1635" s="61"/>
      <c r="K1635" s="9"/>
      <c r="L1635" s="59"/>
    </row>
    <row r="1636" spans="3:12" x14ac:dyDescent="0.35">
      <c r="C1636" s="7"/>
      <c r="D1636" s="7"/>
      <c r="E1636" s="7"/>
      <c r="F1636" s="7"/>
      <c r="G1636" s="93"/>
      <c r="H1636" s="75"/>
      <c r="I1636" s="75"/>
      <c r="J1636" s="61"/>
      <c r="K1636" s="9"/>
      <c r="L1636" s="59"/>
    </row>
    <row r="1637" spans="3:12" x14ac:dyDescent="0.35">
      <c r="C1637" s="7"/>
      <c r="D1637" s="7"/>
      <c r="E1637" s="7"/>
      <c r="F1637" s="7"/>
      <c r="G1637" s="93"/>
      <c r="H1637" s="75"/>
      <c r="I1637" s="75"/>
      <c r="J1637" s="61"/>
      <c r="K1637" s="9"/>
      <c r="L1637" s="59"/>
    </row>
    <row r="1638" spans="3:12" x14ac:dyDescent="0.35">
      <c r="C1638" s="7"/>
      <c r="D1638" s="7"/>
      <c r="E1638" s="7"/>
      <c r="F1638" s="7"/>
      <c r="G1638" s="93"/>
      <c r="H1638" s="75"/>
      <c r="I1638" s="75"/>
      <c r="J1638" s="61"/>
      <c r="K1638" s="9"/>
      <c r="L1638" s="59"/>
    </row>
    <row r="1639" spans="3:12" x14ac:dyDescent="0.35">
      <c r="C1639" s="7"/>
      <c r="D1639" s="7"/>
      <c r="E1639" s="7"/>
      <c r="F1639" s="7"/>
      <c r="G1639" s="93"/>
      <c r="H1639" s="75"/>
      <c r="I1639" s="75"/>
      <c r="J1639" s="61"/>
      <c r="K1639" s="9"/>
      <c r="L1639" s="59"/>
    </row>
    <row r="1640" spans="3:12" x14ac:dyDescent="0.35">
      <c r="C1640" s="7"/>
      <c r="D1640" s="7"/>
      <c r="E1640" s="7"/>
      <c r="F1640" s="7"/>
      <c r="G1640" s="93"/>
      <c r="H1640" s="75"/>
      <c r="I1640" s="75"/>
      <c r="J1640" s="61"/>
      <c r="K1640" s="9"/>
      <c r="L1640" s="59"/>
    </row>
    <row r="1641" spans="3:12" x14ac:dyDescent="0.35">
      <c r="C1641" s="7"/>
      <c r="D1641" s="7"/>
      <c r="E1641" s="7"/>
      <c r="F1641" s="7"/>
      <c r="G1641" s="93"/>
      <c r="H1641" s="75"/>
      <c r="I1641" s="75"/>
      <c r="J1641" s="61"/>
      <c r="K1641" s="9"/>
      <c r="L1641" s="59"/>
    </row>
    <row r="1642" spans="3:12" x14ac:dyDescent="0.35">
      <c r="C1642" s="7"/>
      <c r="D1642" s="7"/>
      <c r="E1642" s="7"/>
      <c r="F1642" s="7"/>
      <c r="G1642" s="93"/>
      <c r="H1642" s="75"/>
      <c r="I1642" s="75"/>
      <c r="J1642" s="61"/>
      <c r="K1642" s="9"/>
      <c r="L1642" s="59"/>
    </row>
    <row r="1643" spans="3:12" x14ac:dyDescent="0.35">
      <c r="C1643" s="7"/>
      <c r="D1643" s="7"/>
      <c r="E1643" s="7"/>
      <c r="F1643" s="7"/>
      <c r="G1643" s="93"/>
      <c r="H1643" s="75"/>
      <c r="I1643" s="75"/>
      <c r="J1643" s="61"/>
      <c r="K1643" s="9"/>
      <c r="L1643" s="59"/>
    </row>
    <row r="1644" spans="3:12" x14ac:dyDescent="0.35">
      <c r="C1644" s="7"/>
      <c r="D1644" s="7"/>
      <c r="E1644" s="7"/>
      <c r="F1644" s="7"/>
      <c r="G1644" s="93"/>
      <c r="H1644" s="75"/>
      <c r="I1644" s="75"/>
      <c r="J1644" s="61"/>
      <c r="K1644" s="9"/>
      <c r="L1644" s="59"/>
    </row>
    <row r="1645" spans="3:12" x14ac:dyDescent="0.35">
      <c r="C1645" s="7"/>
      <c r="D1645" s="7"/>
      <c r="E1645" s="7"/>
      <c r="F1645" s="7"/>
      <c r="G1645" s="93"/>
      <c r="H1645" s="75"/>
      <c r="I1645" s="75"/>
      <c r="J1645" s="61"/>
      <c r="K1645" s="9"/>
      <c r="L1645" s="59"/>
    </row>
    <row r="1646" spans="3:12" x14ac:dyDescent="0.35">
      <c r="C1646" s="7"/>
      <c r="D1646" s="7"/>
      <c r="E1646" s="7"/>
      <c r="F1646" s="7"/>
      <c r="G1646" s="93"/>
      <c r="H1646" s="75"/>
      <c r="I1646" s="75"/>
      <c r="J1646" s="61"/>
      <c r="K1646" s="9"/>
      <c r="L1646" s="59"/>
    </row>
    <row r="1647" spans="3:12" x14ac:dyDescent="0.35">
      <c r="C1647" s="7"/>
      <c r="D1647" s="7"/>
      <c r="E1647" s="7"/>
      <c r="F1647" s="7"/>
      <c r="G1647" s="93"/>
      <c r="H1647" s="75"/>
      <c r="I1647" s="75"/>
      <c r="J1647" s="61"/>
      <c r="K1647" s="9"/>
      <c r="L1647" s="59"/>
    </row>
    <row r="1648" spans="3:12" x14ac:dyDescent="0.35">
      <c r="C1648" s="7"/>
      <c r="D1648" s="7"/>
      <c r="E1648" s="7"/>
      <c r="F1648" s="7"/>
      <c r="G1648" s="93"/>
      <c r="H1648" s="75"/>
      <c r="I1648" s="75"/>
      <c r="J1648" s="61"/>
      <c r="K1648" s="9"/>
      <c r="L1648" s="59"/>
    </row>
    <row r="1649" spans="3:13" x14ac:dyDescent="0.35">
      <c r="C1649" s="7"/>
      <c r="D1649" s="7"/>
      <c r="E1649" s="7"/>
      <c r="F1649" s="7"/>
      <c r="G1649" s="93"/>
      <c r="H1649" s="75"/>
      <c r="I1649" s="75"/>
      <c r="J1649" s="61"/>
      <c r="K1649" s="9"/>
      <c r="L1649" s="59"/>
    </row>
    <row r="1650" spans="3:13" x14ac:dyDescent="0.35">
      <c r="C1650" s="7"/>
      <c r="D1650" s="7"/>
      <c r="E1650" s="7"/>
      <c r="F1650" s="153"/>
      <c r="G1650" s="93"/>
      <c r="H1650" s="75"/>
      <c r="I1650" s="75"/>
      <c r="J1650" s="61"/>
      <c r="K1650" s="9"/>
      <c r="L1650" s="59"/>
    </row>
    <row r="1651" spans="3:13" x14ac:dyDescent="0.35">
      <c r="C1651" s="7"/>
      <c r="D1651" s="7"/>
      <c r="E1651" s="153"/>
      <c r="F1651" s="7"/>
      <c r="G1651" s="93"/>
      <c r="H1651" s="75"/>
      <c r="I1651" s="75"/>
      <c r="J1651" s="61"/>
      <c r="K1651" s="9"/>
      <c r="L1651" s="59"/>
    </row>
    <row r="1652" spans="3:13" x14ac:dyDescent="0.35">
      <c r="C1652" s="153"/>
      <c r="D1652" s="153"/>
      <c r="E1652" s="7"/>
      <c r="F1652" s="7"/>
      <c r="G1652" s="322"/>
      <c r="H1652" s="154"/>
      <c r="I1652" s="154"/>
      <c r="J1652" s="155"/>
      <c r="K1652" s="161"/>
      <c r="L1652" s="156"/>
    </row>
    <row r="1653" spans="3:13" x14ac:dyDescent="0.35">
      <c r="C1653" s="7"/>
      <c r="D1653" s="7"/>
      <c r="E1653" s="7"/>
      <c r="F1653" s="7"/>
      <c r="G1653" s="93"/>
      <c r="H1653" s="75"/>
      <c r="I1653" s="75"/>
      <c r="J1653" s="61"/>
      <c r="K1653" s="9"/>
      <c r="L1653" s="59"/>
      <c r="M1653" s="7"/>
    </row>
    <row r="1654" spans="3:13" x14ac:dyDescent="0.35">
      <c r="C1654" s="7"/>
      <c r="D1654" s="7"/>
      <c r="E1654" s="7"/>
      <c r="F1654" s="7"/>
      <c r="G1654" s="93"/>
      <c r="H1654" s="75"/>
      <c r="I1654" s="75"/>
      <c r="J1654" s="61"/>
      <c r="K1654" s="9"/>
      <c r="L1654" s="59"/>
      <c r="M1654" s="7"/>
    </row>
    <row r="1655" spans="3:13" x14ac:dyDescent="0.35">
      <c r="C1655" s="7"/>
      <c r="D1655" s="7"/>
      <c r="E1655" s="7"/>
      <c r="F1655" s="7"/>
      <c r="G1655" s="93"/>
      <c r="H1655" s="75"/>
      <c r="I1655" s="75"/>
      <c r="J1655" s="61"/>
      <c r="K1655" s="9"/>
      <c r="L1655" s="59"/>
      <c r="M1655" s="7"/>
    </row>
    <row r="1656" spans="3:13" x14ac:dyDescent="0.35">
      <c r="C1656" s="7"/>
      <c r="D1656" s="7"/>
      <c r="E1656" s="7"/>
      <c r="F1656" s="7"/>
      <c r="G1656" s="93"/>
      <c r="H1656" s="75"/>
      <c r="I1656" s="75"/>
      <c r="J1656" s="61"/>
      <c r="K1656" s="9"/>
      <c r="L1656" s="59"/>
      <c r="M1656" s="7"/>
    </row>
    <row r="1657" spans="3:13" x14ac:dyDescent="0.35">
      <c r="C1657" s="7"/>
      <c r="D1657" s="7"/>
      <c r="E1657" s="7"/>
      <c r="F1657" s="7"/>
      <c r="G1657" s="93"/>
      <c r="H1657" s="75"/>
      <c r="I1657" s="75"/>
      <c r="J1657" s="61"/>
      <c r="K1657" s="9"/>
      <c r="L1657" s="59"/>
      <c r="M1657" s="7"/>
    </row>
    <row r="1658" spans="3:13" x14ac:dyDescent="0.35">
      <c r="C1658" s="7"/>
      <c r="D1658" s="7"/>
      <c r="E1658" s="7"/>
      <c r="F1658" s="7"/>
      <c r="G1658" s="93"/>
      <c r="H1658" s="75"/>
      <c r="I1658" s="75"/>
      <c r="J1658" s="61"/>
      <c r="K1658" s="9"/>
      <c r="L1658" s="59"/>
      <c r="M1658" s="7"/>
    </row>
    <row r="1659" spans="3:13" x14ac:dyDescent="0.35">
      <c r="C1659" s="7"/>
      <c r="D1659" s="7"/>
      <c r="E1659" s="7"/>
      <c r="F1659" s="7"/>
      <c r="G1659" s="93"/>
      <c r="H1659" s="75"/>
      <c r="I1659" s="75"/>
      <c r="J1659" s="61"/>
      <c r="K1659" s="9"/>
      <c r="L1659" s="59"/>
      <c r="M1659" s="7"/>
    </row>
    <row r="1660" spans="3:13" x14ac:dyDescent="0.35">
      <c r="C1660" s="7"/>
      <c r="D1660" s="7"/>
      <c r="E1660" s="7"/>
      <c r="F1660" s="7"/>
      <c r="G1660" s="93"/>
      <c r="H1660" s="75"/>
      <c r="I1660" s="75"/>
      <c r="J1660" s="61"/>
      <c r="K1660" s="9"/>
      <c r="L1660" s="59"/>
      <c r="M1660" s="7"/>
    </row>
    <row r="1661" spans="3:13" x14ac:dyDescent="0.35">
      <c r="C1661" s="7"/>
      <c r="D1661" s="7"/>
      <c r="E1661" s="7"/>
      <c r="F1661" s="7"/>
      <c r="G1661" s="93"/>
      <c r="H1661" s="75"/>
      <c r="I1661" s="75"/>
      <c r="J1661" s="61"/>
      <c r="K1661" s="9"/>
      <c r="L1661" s="59"/>
      <c r="M1661" s="7"/>
    </row>
    <row r="1662" spans="3:13" x14ac:dyDescent="0.35">
      <c r="C1662" s="7"/>
      <c r="D1662" s="7"/>
      <c r="E1662" s="7"/>
      <c r="F1662" s="7"/>
      <c r="G1662" s="93"/>
      <c r="H1662" s="75"/>
      <c r="I1662" s="75"/>
      <c r="J1662" s="61"/>
      <c r="K1662" s="9"/>
      <c r="L1662" s="59"/>
      <c r="M1662" s="7"/>
    </row>
    <row r="1663" spans="3:13" x14ac:dyDescent="0.35">
      <c r="C1663" s="7"/>
      <c r="D1663" s="7"/>
      <c r="E1663" s="7"/>
      <c r="F1663" s="7"/>
      <c r="G1663" s="93"/>
      <c r="H1663" s="75"/>
      <c r="I1663" s="75"/>
      <c r="J1663" s="61"/>
      <c r="K1663" s="9"/>
      <c r="L1663" s="59"/>
      <c r="M1663" s="7"/>
    </row>
    <row r="1664" spans="3:13" x14ac:dyDescent="0.35">
      <c r="C1664" s="7"/>
      <c r="D1664" s="7"/>
      <c r="E1664" s="7"/>
      <c r="F1664" s="7"/>
      <c r="G1664" s="93"/>
      <c r="H1664" s="75"/>
      <c r="I1664" s="75"/>
      <c r="J1664" s="61"/>
      <c r="K1664" s="9"/>
      <c r="L1664" s="59"/>
      <c r="M1664" s="7"/>
    </row>
    <row r="1665" spans="3:13" x14ac:dyDescent="0.35">
      <c r="C1665" s="7"/>
      <c r="D1665" s="7"/>
      <c r="E1665" s="7"/>
      <c r="F1665" s="7"/>
      <c r="G1665" s="93"/>
      <c r="H1665" s="75"/>
      <c r="I1665" s="75"/>
      <c r="J1665" s="61"/>
      <c r="K1665" s="9"/>
      <c r="L1665" s="59"/>
      <c r="M1665" s="7"/>
    </row>
    <row r="1666" spans="3:13" x14ac:dyDescent="0.35">
      <c r="C1666" s="7"/>
      <c r="D1666" s="7"/>
      <c r="E1666" s="7"/>
      <c r="F1666" s="7"/>
      <c r="G1666" s="93"/>
      <c r="H1666" s="75"/>
      <c r="I1666" s="75"/>
      <c r="J1666" s="61"/>
      <c r="K1666" s="9"/>
      <c r="L1666" s="59"/>
      <c r="M1666" s="7"/>
    </row>
    <row r="1667" spans="3:13" x14ac:dyDescent="0.35">
      <c r="C1667" s="7"/>
      <c r="D1667" s="7"/>
      <c r="E1667" s="7"/>
      <c r="F1667" s="7"/>
      <c r="G1667" s="93"/>
      <c r="H1667" s="75"/>
      <c r="I1667" s="75"/>
      <c r="J1667" s="61"/>
      <c r="K1667" s="9"/>
      <c r="L1667" s="59"/>
      <c r="M1667" s="7"/>
    </row>
    <row r="1668" spans="3:13" x14ac:dyDescent="0.35">
      <c r="C1668" s="7"/>
      <c r="D1668" s="7"/>
      <c r="E1668" s="7"/>
      <c r="F1668" s="7"/>
      <c r="G1668" s="93"/>
      <c r="H1668" s="75"/>
      <c r="I1668" s="75"/>
      <c r="J1668" s="61"/>
      <c r="K1668" s="9"/>
      <c r="L1668" s="59"/>
      <c r="M1668" s="7"/>
    </row>
    <row r="1669" spans="3:13" x14ac:dyDescent="0.35">
      <c r="C1669" s="7"/>
      <c r="D1669" s="7"/>
      <c r="E1669" s="7"/>
      <c r="F1669" s="7"/>
      <c r="G1669" s="93"/>
      <c r="H1669" s="75"/>
      <c r="I1669" s="75"/>
      <c r="J1669" s="61"/>
      <c r="K1669" s="9"/>
      <c r="L1669" s="59"/>
      <c r="M1669" s="7"/>
    </row>
    <row r="1670" spans="3:13" x14ac:dyDescent="0.35">
      <c r="C1670" s="7"/>
      <c r="D1670" s="7"/>
      <c r="E1670" s="7"/>
      <c r="F1670" s="7"/>
      <c r="G1670" s="93"/>
      <c r="H1670" s="75"/>
      <c r="I1670" s="75"/>
      <c r="J1670" s="61"/>
      <c r="K1670" s="9"/>
      <c r="L1670" s="59"/>
      <c r="M1670" s="7"/>
    </row>
    <row r="1671" spans="3:13" x14ac:dyDescent="0.35">
      <c r="C1671" s="7"/>
      <c r="D1671" s="7"/>
      <c r="E1671" s="7"/>
      <c r="F1671" s="7"/>
      <c r="G1671" s="93"/>
      <c r="H1671" s="75"/>
      <c r="I1671" s="75"/>
      <c r="J1671" s="61"/>
      <c r="K1671" s="9"/>
      <c r="L1671" s="59"/>
      <c r="M1671" s="7"/>
    </row>
    <row r="1672" spans="3:13" x14ac:dyDescent="0.35">
      <c r="C1672" s="7"/>
      <c r="D1672" s="7"/>
      <c r="E1672" s="7"/>
      <c r="F1672" s="7"/>
      <c r="G1672" s="93"/>
      <c r="H1672" s="75"/>
      <c r="I1672" s="75"/>
      <c r="J1672" s="61"/>
      <c r="K1672" s="9"/>
      <c r="L1672" s="59"/>
      <c r="M1672" s="7"/>
    </row>
    <row r="1673" spans="3:13" x14ac:dyDescent="0.35">
      <c r="C1673" s="7"/>
      <c r="D1673" s="7"/>
      <c r="E1673" s="7"/>
      <c r="F1673" s="7"/>
      <c r="G1673" s="93"/>
      <c r="H1673" s="75"/>
      <c r="I1673" s="75"/>
      <c r="J1673" s="61"/>
      <c r="K1673" s="9"/>
      <c r="L1673" s="59"/>
      <c r="M1673" s="7"/>
    </row>
    <row r="1674" spans="3:13" x14ac:dyDescent="0.35">
      <c r="C1674" s="7"/>
      <c r="D1674" s="7"/>
      <c r="E1674" s="7"/>
      <c r="F1674" s="7"/>
      <c r="G1674" s="93"/>
      <c r="H1674" s="75"/>
      <c r="I1674" s="75"/>
      <c r="J1674" s="61"/>
      <c r="K1674" s="9"/>
      <c r="L1674" s="59"/>
      <c r="M1674" s="7"/>
    </row>
    <row r="1675" spans="3:13" x14ac:dyDescent="0.35">
      <c r="C1675" s="7"/>
      <c r="D1675" s="7"/>
      <c r="E1675" s="7"/>
      <c r="F1675" s="7"/>
      <c r="G1675" s="93"/>
      <c r="H1675" s="75"/>
      <c r="I1675" s="75"/>
      <c r="J1675" s="61"/>
      <c r="K1675" s="9"/>
      <c r="L1675" s="59"/>
      <c r="M1675" s="7"/>
    </row>
    <row r="1676" spans="3:13" x14ac:dyDescent="0.35">
      <c r="C1676" s="7"/>
      <c r="D1676" s="7"/>
      <c r="E1676" s="7"/>
      <c r="F1676" s="7"/>
      <c r="G1676" s="93"/>
      <c r="H1676" s="75"/>
      <c r="I1676" s="75"/>
      <c r="J1676" s="61"/>
      <c r="K1676" s="9"/>
      <c r="L1676" s="59"/>
      <c r="M1676" s="7"/>
    </row>
    <row r="1677" spans="3:13" x14ac:dyDescent="0.35">
      <c r="C1677" s="7"/>
      <c r="D1677" s="7"/>
      <c r="E1677" s="7"/>
      <c r="F1677" s="7"/>
      <c r="G1677" s="93"/>
      <c r="H1677" s="75"/>
      <c r="I1677" s="75"/>
      <c r="J1677" s="61"/>
      <c r="K1677" s="9"/>
      <c r="L1677" s="59"/>
      <c r="M1677" s="7"/>
    </row>
    <row r="1678" spans="3:13" x14ac:dyDescent="0.35">
      <c r="C1678" s="7"/>
      <c r="D1678" s="7"/>
      <c r="E1678" s="7"/>
      <c r="F1678" s="7"/>
      <c r="G1678" s="93"/>
      <c r="H1678" s="75"/>
      <c r="I1678" s="75"/>
      <c r="J1678" s="61"/>
      <c r="K1678" s="9"/>
      <c r="L1678" s="59"/>
      <c r="M1678" s="7"/>
    </row>
    <row r="1679" spans="3:13" x14ac:dyDescent="0.35">
      <c r="C1679" s="7"/>
      <c r="D1679" s="7"/>
      <c r="E1679" s="7"/>
      <c r="F1679" s="7"/>
      <c r="G1679" s="93"/>
      <c r="H1679" s="75"/>
      <c r="I1679" s="75"/>
      <c r="J1679" s="61"/>
      <c r="K1679" s="9"/>
      <c r="L1679" s="59"/>
      <c r="M1679" s="7"/>
    </row>
    <row r="1680" spans="3:13" x14ac:dyDescent="0.35">
      <c r="C1680" s="7"/>
      <c r="D1680" s="7"/>
      <c r="E1680" s="7"/>
      <c r="F1680" s="7"/>
      <c r="G1680" s="93"/>
      <c r="H1680" s="75"/>
      <c r="I1680" s="75"/>
      <c r="J1680" s="61"/>
      <c r="K1680" s="9"/>
      <c r="L1680" s="59"/>
      <c r="M1680" s="7"/>
    </row>
    <row r="1681" spans="3:13" x14ac:dyDescent="0.35">
      <c r="C1681" s="7"/>
      <c r="D1681" s="7"/>
      <c r="E1681" s="7"/>
      <c r="F1681" s="7"/>
      <c r="G1681" s="93"/>
      <c r="H1681" s="75"/>
      <c r="I1681" s="75"/>
      <c r="J1681" s="61"/>
      <c r="K1681" s="9"/>
      <c r="L1681" s="59"/>
      <c r="M1681" s="7"/>
    </row>
    <row r="1682" spans="3:13" x14ac:dyDescent="0.35">
      <c r="C1682" s="7"/>
      <c r="D1682" s="7"/>
      <c r="E1682" s="7"/>
      <c r="F1682" s="7"/>
      <c r="G1682" s="93"/>
      <c r="H1682" s="75"/>
      <c r="I1682" s="75"/>
      <c r="J1682" s="61"/>
      <c r="K1682" s="9"/>
      <c r="L1682" s="59"/>
      <c r="M1682" s="7"/>
    </row>
    <row r="1683" spans="3:13" x14ac:dyDescent="0.35">
      <c r="C1683" s="7"/>
      <c r="D1683" s="7"/>
      <c r="E1683" s="7"/>
      <c r="F1683" s="7"/>
      <c r="G1683" s="93"/>
      <c r="H1683" s="75"/>
      <c r="I1683" s="75"/>
      <c r="J1683" s="61"/>
      <c r="K1683" s="9"/>
      <c r="L1683" s="59"/>
      <c r="M1683" s="7"/>
    </row>
    <row r="1684" spans="3:13" x14ac:dyDescent="0.35">
      <c r="C1684" s="7"/>
      <c r="D1684" s="7"/>
      <c r="E1684" s="7"/>
      <c r="F1684" s="72"/>
      <c r="G1684" s="93"/>
      <c r="H1684" s="75"/>
      <c r="I1684" s="75"/>
      <c r="J1684" s="61"/>
      <c r="K1684" s="9"/>
      <c r="L1684" s="59"/>
      <c r="M1684" s="7"/>
    </row>
    <row r="1685" spans="3:13" x14ac:dyDescent="0.35">
      <c r="C1685" s="7"/>
      <c r="D1685" s="7"/>
      <c r="E1685" s="72"/>
      <c r="F1685" s="7"/>
      <c r="G1685" s="93"/>
      <c r="H1685" s="75"/>
      <c r="I1685" s="75"/>
      <c r="J1685" s="61"/>
      <c r="K1685" s="9"/>
      <c r="L1685" s="59"/>
      <c r="M1685" s="7"/>
    </row>
    <row r="1686" spans="3:13" x14ac:dyDescent="0.35">
      <c r="C1686" s="72"/>
      <c r="D1686" s="72"/>
      <c r="E1686" s="7"/>
      <c r="F1686" s="7"/>
      <c r="G1686" s="321"/>
      <c r="H1686" s="157"/>
      <c r="I1686" s="157"/>
      <c r="J1686" s="158"/>
      <c r="K1686" s="74"/>
      <c r="L1686" s="159"/>
    </row>
    <row r="1687" spans="3:13" x14ac:dyDescent="0.35">
      <c r="C1687" s="7"/>
      <c r="D1687" s="7"/>
      <c r="E1687" s="7"/>
      <c r="F1687" s="7"/>
      <c r="G1687" s="93"/>
      <c r="H1687" s="75"/>
      <c r="I1687" s="75"/>
      <c r="J1687" s="61"/>
      <c r="K1687" s="9"/>
      <c r="L1687" s="59"/>
    </row>
    <row r="1688" spans="3:13" x14ac:dyDescent="0.35">
      <c r="C1688" s="7"/>
      <c r="D1688" s="7"/>
      <c r="E1688" s="7"/>
      <c r="F1688" s="7"/>
      <c r="G1688" s="93"/>
      <c r="H1688" s="75"/>
      <c r="I1688" s="75"/>
      <c r="J1688" s="61"/>
      <c r="K1688" s="9"/>
      <c r="L1688" s="59"/>
    </row>
    <row r="1689" spans="3:13" x14ac:dyDescent="0.35">
      <c r="C1689" s="7"/>
      <c r="D1689" s="7"/>
      <c r="E1689" s="7"/>
      <c r="F1689" s="7"/>
      <c r="G1689" s="93"/>
      <c r="H1689" s="75"/>
      <c r="I1689" s="75"/>
      <c r="J1689" s="61"/>
      <c r="K1689" s="9"/>
      <c r="L1689" s="59"/>
    </row>
    <row r="1690" spans="3:13" x14ac:dyDescent="0.35">
      <c r="C1690" s="7"/>
      <c r="D1690" s="7"/>
      <c r="E1690" s="7"/>
      <c r="F1690" s="7"/>
      <c r="G1690" s="93"/>
      <c r="H1690" s="75"/>
      <c r="I1690" s="75"/>
      <c r="J1690" s="61"/>
      <c r="K1690" s="9"/>
      <c r="L1690" s="59"/>
    </row>
    <row r="1691" spans="3:13" x14ac:dyDescent="0.35">
      <c r="C1691" s="7"/>
      <c r="D1691" s="7"/>
      <c r="E1691" s="7"/>
      <c r="F1691" s="7"/>
      <c r="G1691" s="93"/>
      <c r="H1691" s="75"/>
      <c r="I1691" s="75"/>
      <c r="J1691" s="61"/>
      <c r="K1691" s="9"/>
      <c r="L1691" s="59"/>
    </row>
    <row r="1692" spans="3:13" x14ac:dyDescent="0.35">
      <c r="C1692" s="7"/>
      <c r="D1692" s="7"/>
      <c r="E1692" s="7"/>
      <c r="F1692" s="7"/>
      <c r="G1692" s="93"/>
      <c r="H1692" s="75"/>
      <c r="I1692" s="75"/>
      <c r="J1692" s="61"/>
      <c r="K1692" s="9"/>
      <c r="L1692" s="59"/>
    </row>
    <row r="1693" spans="3:13" x14ac:dyDescent="0.35">
      <c r="C1693" s="7"/>
      <c r="D1693" s="7"/>
      <c r="E1693" s="7"/>
      <c r="F1693" s="7"/>
      <c r="G1693" s="93"/>
      <c r="H1693" s="75"/>
      <c r="I1693" s="75"/>
      <c r="J1693" s="61"/>
      <c r="K1693" s="9"/>
      <c r="L1693" s="59"/>
    </row>
    <row r="1694" spans="3:13" x14ac:dyDescent="0.35">
      <c r="C1694" s="7"/>
      <c r="D1694" s="7"/>
      <c r="E1694" s="7"/>
      <c r="F1694" s="7"/>
      <c r="G1694" s="93"/>
      <c r="H1694" s="75"/>
      <c r="I1694" s="75"/>
      <c r="J1694" s="61"/>
      <c r="K1694" s="9"/>
      <c r="L1694" s="59"/>
    </row>
    <row r="1695" spans="3:13" x14ac:dyDescent="0.35">
      <c r="C1695" s="7"/>
      <c r="D1695" s="7"/>
      <c r="E1695" s="7"/>
      <c r="F1695" s="7"/>
      <c r="G1695" s="93"/>
      <c r="H1695" s="75"/>
      <c r="I1695" s="75"/>
      <c r="J1695" s="61"/>
      <c r="K1695" s="9"/>
      <c r="L1695" s="59"/>
    </row>
    <row r="1696" spans="3:13" x14ac:dyDescent="0.35">
      <c r="C1696" s="7"/>
      <c r="D1696" s="7"/>
      <c r="E1696" s="7"/>
      <c r="F1696" s="7"/>
      <c r="G1696" s="93"/>
      <c r="H1696" s="75"/>
      <c r="I1696" s="75"/>
      <c r="J1696" s="61"/>
      <c r="K1696" s="9"/>
      <c r="L1696" s="59"/>
    </row>
    <row r="1697" spans="3:13" x14ac:dyDescent="0.35">
      <c r="C1697" s="7"/>
      <c r="D1697" s="7"/>
      <c r="E1697" s="7"/>
      <c r="F1697" s="7"/>
      <c r="G1697" s="93"/>
      <c r="H1697" s="75"/>
      <c r="I1697" s="75"/>
      <c r="J1697" s="61"/>
      <c r="K1697" s="9"/>
      <c r="L1697" s="59"/>
    </row>
    <row r="1698" spans="3:13" x14ac:dyDescent="0.35">
      <c r="C1698" s="7"/>
      <c r="D1698" s="7"/>
      <c r="E1698" s="7"/>
      <c r="F1698" s="7"/>
      <c r="G1698" s="93"/>
      <c r="H1698" s="75"/>
      <c r="I1698" s="75"/>
      <c r="J1698" s="61"/>
      <c r="K1698" s="9"/>
      <c r="L1698" s="59"/>
    </row>
    <row r="1699" spans="3:13" x14ac:dyDescent="0.35">
      <c r="C1699" s="7"/>
      <c r="D1699" s="7"/>
      <c r="E1699" s="7"/>
      <c r="F1699" s="7"/>
      <c r="G1699" s="93"/>
      <c r="H1699" s="75"/>
      <c r="I1699" s="75"/>
      <c r="J1699" s="61"/>
      <c r="K1699" s="9"/>
      <c r="L1699" s="59"/>
    </row>
    <row r="1700" spans="3:13" x14ac:dyDescent="0.35">
      <c r="C1700" s="7"/>
      <c r="D1700" s="7"/>
      <c r="E1700" s="7"/>
      <c r="F1700" s="7"/>
      <c r="G1700" s="93"/>
      <c r="H1700" s="75"/>
      <c r="I1700" s="75"/>
      <c r="J1700" s="61"/>
      <c r="K1700" s="9"/>
      <c r="L1700" s="59"/>
    </row>
    <row r="1701" spans="3:13" x14ac:dyDescent="0.35">
      <c r="C1701" s="7"/>
      <c r="D1701" s="7"/>
      <c r="E1701" s="7"/>
      <c r="F1701" s="7"/>
      <c r="G1701" s="93"/>
      <c r="H1701" s="75"/>
      <c r="I1701" s="75"/>
      <c r="J1701" s="61"/>
      <c r="K1701" s="9"/>
      <c r="L1701" s="59"/>
    </row>
    <row r="1702" spans="3:13" x14ac:dyDescent="0.35">
      <c r="C1702" s="7"/>
      <c r="D1702" s="7"/>
      <c r="E1702" s="7"/>
      <c r="F1702" s="7"/>
      <c r="G1702" s="93"/>
      <c r="H1702" s="75"/>
      <c r="I1702" s="75"/>
      <c r="J1702" s="61"/>
      <c r="K1702" s="9"/>
      <c r="L1702" s="59"/>
    </row>
    <row r="1703" spans="3:13" x14ac:dyDescent="0.35">
      <c r="C1703" s="7"/>
      <c r="D1703" s="7"/>
      <c r="E1703" s="7"/>
      <c r="F1703" s="7"/>
      <c r="G1703" s="93"/>
      <c r="H1703" s="75"/>
      <c r="I1703" s="75"/>
      <c r="J1703" s="61"/>
      <c r="K1703" s="9"/>
      <c r="L1703" s="59"/>
    </row>
    <row r="1704" spans="3:13" x14ac:dyDescent="0.35">
      <c r="C1704" s="7"/>
      <c r="D1704" s="7"/>
      <c r="E1704" s="7"/>
      <c r="F1704" s="7"/>
      <c r="G1704" s="93"/>
      <c r="H1704" s="75"/>
      <c r="I1704" s="75"/>
      <c r="J1704" s="61"/>
      <c r="K1704" s="9"/>
      <c r="L1704" s="59"/>
    </row>
    <row r="1705" spans="3:13" x14ac:dyDescent="0.35">
      <c r="C1705" s="7"/>
      <c r="D1705" s="7"/>
      <c r="E1705" s="7"/>
      <c r="F1705" s="7"/>
      <c r="G1705" s="93"/>
      <c r="H1705" s="75"/>
      <c r="I1705" s="75"/>
      <c r="J1705" s="61"/>
      <c r="K1705" s="9"/>
      <c r="L1705" s="59"/>
    </row>
    <row r="1706" spans="3:13" x14ac:dyDescent="0.35">
      <c r="C1706" s="7"/>
      <c r="D1706" s="7"/>
      <c r="E1706" s="7"/>
      <c r="F1706" s="153"/>
      <c r="G1706" s="93"/>
      <c r="H1706" s="75"/>
      <c r="I1706" s="75"/>
      <c r="J1706" s="61"/>
      <c r="K1706" s="9"/>
      <c r="L1706" s="59"/>
    </row>
    <row r="1707" spans="3:13" x14ac:dyDescent="0.35">
      <c r="C1707" s="7"/>
      <c r="D1707" s="7"/>
      <c r="E1707" s="153"/>
      <c r="F1707" s="7"/>
      <c r="G1707" s="93"/>
      <c r="H1707" s="75"/>
      <c r="I1707" s="75"/>
      <c r="J1707" s="61"/>
      <c r="K1707" s="9"/>
      <c r="L1707" s="59"/>
    </row>
    <row r="1708" spans="3:13" x14ac:dyDescent="0.35">
      <c r="C1708" s="153"/>
      <c r="D1708" s="153"/>
      <c r="E1708" s="7"/>
      <c r="F1708" s="7"/>
      <c r="G1708" s="322"/>
      <c r="H1708" s="154"/>
      <c r="I1708" s="154"/>
      <c r="J1708" s="155"/>
      <c r="K1708" s="161"/>
      <c r="L1708" s="156"/>
    </row>
    <row r="1709" spans="3:13" x14ac:dyDescent="0.35">
      <c r="C1709" s="7"/>
      <c r="D1709" s="7"/>
      <c r="E1709" s="7"/>
      <c r="F1709" s="7"/>
      <c r="G1709" s="93"/>
      <c r="H1709" s="75"/>
      <c r="I1709" s="75"/>
      <c r="J1709" s="61"/>
      <c r="K1709" s="9"/>
      <c r="L1709" s="59"/>
      <c r="M1709" s="7"/>
    </row>
    <row r="1710" spans="3:13" x14ac:dyDescent="0.35">
      <c r="C1710" s="7"/>
      <c r="D1710" s="7"/>
      <c r="E1710" s="7"/>
      <c r="F1710" s="7"/>
      <c r="G1710" s="93"/>
      <c r="H1710" s="75"/>
      <c r="I1710" s="75"/>
      <c r="J1710" s="61"/>
      <c r="K1710" s="9"/>
      <c r="L1710" s="59"/>
      <c r="M1710" s="7"/>
    </row>
    <row r="1711" spans="3:13" x14ac:dyDescent="0.35">
      <c r="C1711" s="7"/>
      <c r="D1711" s="7"/>
      <c r="E1711" s="7"/>
      <c r="F1711" s="7"/>
      <c r="G1711" s="93"/>
      <c r="H1711" s="75"/>
      <c r="I1711" s="75"/>
      <c r="J1711" s="61"/>
      <c r="K1711" s="9"/>
      <c r="L1711" s="59"/>
      <c r="M1711" s="7"/>
    </row>
    <row r="1712" spans="3:13" x14ac:dyDescent="0.35">
      <c r="C1712" s="7"/>
      <c r="D1712" s="7"/>
      <c r="E1712" s="7"/>
      <c r="F1712" s="7"/>
      <c r="G1712" s="93"/>
      <c r="H1712" s="75"/>
      <c r="I1712" s="75"/>
      <c r="J1712" s="61"/>
      <c r="K1712" s="9"/>
      <c r="L1712" s="59"/>
      <c r="M1712" s="7"/>
    </row>
    <row r="1713" spans="3:13" x14ac:dyDescent="0.35">
      <c r="C1713" s="7"/>
      <c r="D1713" s="7"/>
      <c r="E1713" s="7"/>
      <c r="F1713" s="7"/>
      <c r="G1713" s="93"/>
      <c r="H1713" s="75"/>
      <c r="I1713" s="75"/>
      <c r="J1713" s="61"/>
      <c r="K1713" s="9"/>
      <c r="L1713" s="59"/>
      <c r="M1713" s="7"/>
    </row>
    <row r="1714" spans="3:13" x14ac:dyDescent="0.35">
      <c r="C1714" s="7"/>
      <c r="D1714" s="7"/>
      <c r="E1714" s="7"/>
      <c r="F1714" s="7"/>
      <c r="G1714" s="93"/>
      <c r="H1714" s="75"/>
      <c r="I1714" s="75"/>
      <c r="J1714" s="61"/>
      <c r="K1714" s="9"/>
      <c r="L1714" s="59"/>
      <c r="M1714" s="7"/>
    </row>
    <row r="1715" spans="3:13" x14ac:dyDescent="0.35">
      <c r="C1715" s="7"/>
      <c r="D1715" s="7"/>
      <c r="E1715" s="7"/>
      <c r="F1715" s="7"/>
      <c r="G1715" s="93"/>
      <c r="H1715" s="75"/>
      <c r="I1715" s="75"/>
      <c r="J1715" s="61"/>
      <c r="K1715" s="9"/>
      <c r="L1715" s="59"/>
      <c r="M1715" s="7"/>
    </row>
    <row r="1716" spans="3:13" x14ac:dyDescent="0.35">
      <c r="C1716" s="7"/>
      <c r="D1716" s="7"/>
      <c r="E1716" s="7"/>
      <c r="F1716" s="7"/>
      <c r="G1716" s="93"/>
      <c r="H1716" s="75"/>
      <c r="I1716" s="75"/>
      <c r="J1716" s="61"/>
      <c r="K1716" s="9"/>
      <c r="L1716" s="59"/>
      <c r="M1716" s="7"/>
    </row>
    <row r="1717" spans="3:13" x14ac:dyDescent="0.35">
      <c r="C1717" s="7"/>
      <c r="D1717" s="7"/>
      <c r="E1717" s="7"/>
      <c r="F1717" s="7"/>
      <c r="G1717" s="93"/>
      <c r="H1717" s="75"/>
      <c r="I1717" s="75"/>
      <c r="J1717" s="61"/>
      <c r="K1717" s="9"/>
      <c r="L1717" s="59"/>
      <c r="M1717" s="7"/>
    </row>
    <row r="1718" spans="3:13" x14ac:dyDescent="0.35">
      <c r="C1718" s="7"/>
      <c r="D1718" s="7"/>
      <c r="E1718" s="7"/>
      <c r="F1718" s="7"/>
      <c r="G1718" s="93"/>
      <c r="H1718" s="75"/>
      <c r="I1718" s="75"/>
      <c r="J1718" s="61"/>
      <c r="K1718" s="9"/>
      <c r="L1718" s="59"/>
      <c r="M1718" s="7"/>
    </row>
    <row r="1719" spans="3:13" x14ac:dyDescent="0.35">
      <c r="C1719" s="7"/>
      <c r="D1719" s="7"/>
      <c r="E1719" s="7"/>
      <c r="F1719" s="7"/>
      <c r="G1719" s="93"/>
      <c r="H1719" s="75"/>
      <c r="I1719" s="75"/>
      <c r="J1719" s="61"/>
      <c r="K1719" s="9"/>
      <c r="L1719" s="59"/>
      <c r="M1719" s="7"/>
    </row>
    <row r="1720" spans="3:13" x14ac:dyDescent="0.35">
      <c r="C1720" s="7"/>
      <c r="D1720" s="7"/>
      <c r="E1720" s="7"/>
      <c r="F1720" s="7"/>
      <c r="G1720" s="93"/>
      <c r="H1720" s="75"/>
      <c r="I1720" s="75"/>
      <c r="J1720" s="61"/>
      <c r="K1720" s="9"/>
      <c r="L1720" s="59"/>
      <c r="M1720" s="7"/>
    </row>
    <row r="1721" spans="3:13" x14ac:dyDescent="0.35">
      <c r="C1721" s="7"/>
      <c r="D1721" s="7"/>
      <c r="E1721" s="7"/>
      <c r="F1721" s="7"/>
      <c r="G1721" s="93"/>
      <c r="H1721" s="75"/>
      <c r="I1721" s="75"/>
      <c r="J1721" s="61"/>
      <c r="K1721" s="9"/>
      <c r="L1721" s="59"/>
      <c r="M1721" s="7"/>
    </row>
    <row r="1722" spans="3:13" x14ac:dyDescent="0.35">
      <c r="C1722" s="7"/>
      <c r="D1722" s="7"/>
      <c r="E1722" s="7"/>
      <c r="F1722" s="7"/>
      <c r="G1722" s="93"/>
      <c r="H1722" s="75"/>
      <c r="I1722" s="75"/>
      <c r="J1722" s="61"/>
      <c r="K1722" s="9"/>
      <c r="L1722" s="59"/>
      <c r="M1722" s="7"/>
    </row>
    <row r="1723" spans="3:13" x14ac:dyDescent="0.35">
      <c r="C1723" s="7"/>
      <c r="D1723" s="7"/>
      <c r="E1723" s="7"/>
      <c r="F1723" s="7"/>
      <c r="G1723" s="93"/>
      <c r="H1723" s="75"/>
      <c r="I1723" s="75"/>
      <c r="J1723" s="61"/>
      <c r="K1723" s="9"/>
      <c r="L1723" s="59"/>
      <c r="M1723" s="7"/>
    </row>
    <row r="1724" spans="3:13" x14ac:dyDescent="0.35">
      <c r="C1724" s="7"/>
      <c r="D1724" s="7"/>
      <c r="E1724" s="7"/>
      <c r="F1724" s="7"/>
      <c r="G1724" s="93"/>
      <c r="H1724" s="75"/>
      <c r="I1724" s="75"/>
      <c r="J1724" s="61"/>
      <c r="K1724" s="9"/>
      <c r="L1724" s="59"/>
      <c r="M1724" s="7"/>
    </row>
    <row r="1725" spans="3:13" x14ac:dyDescent="0.35">
      <c r="C1725" s="7"/>
      <c r="D1725" s="7"/>
      <c r="E1725" s="7"/>
      <c r="F1725" s="7"/>
      <c r="G1725" s="93"/>
      <c r="H1725" s="75"/>
      <c r="I1725" s="75"/>
      <c r="J1725" s="61"/>
      <c r="K1725" s="9"/>
      <c r="L1725" s="59"/>
      <c r="M1725" s="7"/>
    </row>
    <row r="1726" spans="3:13" x14ac:dyDescent="0.35">
      <c r="C1726" s="7"/>
      <c r="D1726" s="7"/>
      <c r="E1726" s="7"/>
      <c r="F1726" s="7"/>
      <c r="G1726" s="93"/>
      <c r="H1726" s="75"/>
      <c r="I1726" s="75"/>
      <c r="J1726" s="61"/>
      <c r="K1726" s="9"/>
      <c r="L1726" s="59"/>
      <c r="M1726" s="7"/>
    </row>
    <row r="1727" spans="3:13" x14ac:dyDescent="0.35">
      <c r="C1727" s="7"/>
      <c r="D1727" s="7"/>
      <c r="E1727" s="7"/>
      <c r="F1727" s="7"/>
      <c r="G1727" s="93"/>
      <c r="H1727" s="75"/>
      <c r="I1727" s="75"/>
      <c r="J1727" s="61"/>
      <c r="K1727" s="9"/>
      <c r="L1727" s="59"/>
      <c r="M1727" s="7"/>
    </row>
    <row r="1728" spans="3:13" x14ac:dyDescent="0.35">
      <c r="C1728" s="7"/>
      <c r="D1728" s="7"/>
      <c r="E1728" s="7"/>
      <c r="F1728" s="7"/>
      <c r="G1728" s="93"/>
      <c r="H1728" s="75"/>
      <c r="I1728" s="75"/>
      <c r="J1728" s="61"/>
      <c r="K1728" s="9"/>
      <c r="L1728" s="59"/>
      <c r="M1728" s="7"/>
    </row>
    <row r="1729" spans="3:13" x14ac:dyDescent="0.35">
      <c r="C1729" s="7"/>
      <c r="D1729" s="7"/>
      <c r="E1729" s="7"/>
      <c r="F1729" s="7"/>
      <c r="G1729" s="93"/>
      <c r="H1729" s="75"/>
      <c r="I1729" s="75"/>
      <c r="J1729" s="61"/>
      <c r="K1729" s="9"/>
      <c r="L1729" s="59"/>
      <c r="M1729" s="7"/>
    </row>
    <row r="1730" spans="3:13" x14ac:dyDescent="0.35">
      <c r="C1730" s="7"/>
      <c r="D1730" s="7"/>
      <c r="E1730" s="7"/>
      <c r="F1730" s="7"/>
      <c r="G1730" s="93"/>
      <c r="H1730" s="75"/>
      <c r="I1730" s="75"/>
      <c r="J1730" s="61"/>
      <c r="K1730" s="9"/>
      <c r="L1730" s="59"/>
      <c r="M1730" s="7"/>
    </row>
    <row r="1731" spans="3:13" x14ac:dyDescent="0.35">
      <c r="C1731" s="7"/>
      <c r="D1731" s="7"/>
      <c r="E1731" s="7"/>
      <c r="F1731" s="7"/>
      <c r="G1731" s="93"/>
      <c r="H1731" s="75"/>
      <c r="I1731" s="75"/>
      <c r="J1731" s="61"/>
      <c r="K1731" s="9"/>
      <c r="L1731" s="59"/>
      <c r="M1731" s="7"/>
    </row>
    <row r="1732" spans="3:13" x14ac:dyDescent="0.35">
      <c r="C1732" s="7"/>
      <c r="D1732" s="7"/>
      <c r="E1732" s="7"/>
      <c r="F1732" s="7"/>
      <c r="G1732" s="93"/>
      <c r="H1732" s="75"/>
      <c r="I1732" s="75"/>
      <c r="J1732" s="61"/>
      <c r="K1732" s="9"/>
      <c r="L1732" s="59"/>
      <c r="M1732" s="7"/>
    </row>
    <row r="1733" spans="3:13" x14ac:dyDescent="0.35">
      <c r="C1733" s="7"/>
      <c r="D1733" s="7"/>
      <c r="E1733" s="7"/>
      <c r="F1733" s="7"/>
      <c r="G1733" s="93"/>
      <c r="H1733" s="75"/>
      <c r="I1733" s="75"/>
      <c r="J1733" s="61"/>
      <c r="K1733" s="9"/>
      <c r="L1733" s="59"/>
      <c r="M1733" s="7"/>
    </row>
    <row r="1734" spans="3:13" x14ac:dyDescent="0.35">
      <c r="C1734" s="7"/>
      <c r="D1734" s="7"/>
      <c r="E1734" s="7"/>
      <c r="F1734" s="7"/>
      <c r="G1734" s="93"/>
      <c r="H1734" s="75"/>
      <c r="I1734" s="75"/>
      <c r="J1734" s="61"/>
      <c r="K1734" s="9"/>
      <c r="L1734" s="59"/>
      <c r="M1734" s="7"/>
    </row>
    <row r="1735" spans="3:13" x14ac:dyDescent="0.35">
      <c r="C1735" s="7"/>
      <c r="D1735" s="7"/>
      <c r="E1735" s="7"/>
      <c r="F1735" s="7"/>
      <c r="G1735" s="93"/>
      <c r="H1735" s="75"/>
      <c r="I1735" s="75"/>
      <c r="J1735" s="61"/>
      <c r="K1735" s="9"/>
      <c r="L1735" s="59"/>
      <c r="M1735" s="7"/>
    </row>
    <row r="1736" spans="3:13" x14ac:dyDescent="0.35">
      <c r="C1736" s="7"/>
      <c r="D1736" s="7"/>
      <c r="E1736" s="7"/>
      <c r="F1736" s="7"/>
      <c r="G1736" s="93"/>
      <c r="H1736" s="75"/>
      <c r="I1736" s="75"/>
      <c r="J1736" s="61"/>
      <c r="K1736" s="9"/>
      <c r="L1736" s="59"/>
      <c r="M1736" s="7"/>
    </row>
    <row r="1737" spans="3:13" x14ac:dyDescent="0.35">
      <c r="C1737" s="7"/>
      <c r="D1737" s="7"/>
      <c r="E1737" s="7"/>
      <c r="F1737" s="7"/>
      <c r="G1737" s="93"/>
      <c r="H1737" s="75"/>
      <c r="I1737" s="75"/>
      <c r="J1737" s="61"/>
      <c r="K1737" s="9"/>
      <c r="L1737" s="59"/>
      <c r="M1737" s="7"/>
    </row>
    <row r="1738" spans="3:13" x14ac:dyDescent="0.35">
      <c r="C1738" s="7"/>
      <c r="D1738" s="7"/>
      <c r="E1738" s="7"/>
      <c r="F1738" s="7"/>
      <c r="G1738" s="93"/>
      <c r="H1738" s="75"/>
      <c r="I1738" s="75"/>
      <c r="J1738" s="61"/>
      <c r="K1738" s="9"/>
      <c r="L1738" s="59"/>
      <c r="M1738" s="7"/>
    </row>
    <row r="1739" spans="3:13" x14ac:dyDescent="0.35">
      <c r="C1739" s="7"/>
      <c r="D1739" s="7"/>
      <c r="E1739" s="7"/>
      <c r="F1739" s="7"/>
      <c r="G1739" s="93"/>
      <c r="H1739" s="75"/>
      <c r="I1739" s="75"/>
      <c r="J1739" s="61"/>
      <c r="K1739" s="9"/>
      <c r="L1739" s="59"/>
      <c r="M1739" s="7"/>
    </row>
    <row r="1740" spans="3:13" x14ac:dyDescent="0.35">
      <c r="C1740" s="7"/>
      <c r="D1740" s="7"/>
      <c r="E1740" s="7"/>
      <c r="F1740" s="7"/>
      <c r="G1740" s="93"/>
      <c r="H1740" s="75"/>
      <c r="I1740" s="75"/>
      <c r="J1740" s="61"/>
      <c r="K1740" s="9"/>
      <c r="L1740" s="59"/>
      <c r="M1740" s="7"/>
    </row>
    <row r="1741" spans="3:13" x14ac:dyDescent="0.35">
      <c r="C1741" s="7"/>
      <c r="D1741" s="7"/>
      <c r="E1741" s="7"/>
      <c r="F1741" s="7"/>
      <c r="G1741" s="93"/>
      <c r="H1741" s="75"/>
      <c r="I1741" s="75"/>
      <c r="J1741" s="61"/>
      <c r="K1741" s="9"/>
      <c r="L1741" s="59"/>
      <c r="M1741" s="7"/>
    </row>
    <row r="1742" spans="3:13" x14ac:dyDescent="0.35">
      <c r="C1742" s="7"/>
      <c r="D1742" s="7"/>
      <c r="E1742" s="7"/>
      <c r="F1742" s="7"/>
      <c r="G1742" s="93"/>
      <c r="H1742" s="75"/>
      <c r="I1742" s="75"/>
      <c r="J1742" s="61"/>
      <c r="K1742" s="9"/>
      <c r="L1742" s="59"/>
      <c r="M1742" s="7"/>
    </row>
    <row r="1743" spans="3:13" x14ac:dyDescent="0.35">
      <c r="C1743" s="7"/>
      <c r="D1743" s="7"/>
      <c r="E1743" s="7"/>
      <c r="F1743" s="7"/>
      <c r="G1743" s="93"/>
      <c r="H1743" s="75"/>
      <c r="I1743" s="75"/>
      <c r="J1743" s="61"/>
      <c r="K1743" s="9"/>
      <c r="L1743" s="59"/>
      <c r="M1743" s="7"/>
    </row>
    <row r="1744" spans="3:13" x14ac:dyDescent="0.35">
      <c r="C1744" s="7"/>
      <c r="D1744" s="7"/>
      <c r="E1744" s="7"/>
      <c r="F1744" s="7"/>
      <c r="G1744" s="93"/>
      <c r="H1744" s="75"/>
      <c r="I1744" s="75"/>
      <c r="J1744" s="61"/>
      <c r="K1744" s="9"/>
      <c r="L1744" s="59"/>
      <c r="M1744" s="7"/>
    </row>
    <row r="1745" spans="3:13" x14ac:dyDescent="0.35">
      <c r="C1745" s="7"/>
      <c r="D1745" s="7"/>
      <c r="E1745" s="7"/>
      <c r="F1745" s="7"/>
      <c r="G1745" s="93"/>
      <c r="H1745" s="75"/>
      <c r="I1745" s="75"/>
      <c r="J1745" s="61"/>
      <c r="K1745" s="9"/>
      <c r="L1745" s="59"/>
      <c r="M1745" s="7"/>
    </row>
    <row r="1746" spans="3:13" x14ac:dyDescent="0.35">
      <c r="C1746" s="7"/>
      <c r="D1746" s="7"/>
      <c r="E1746" s="7"/>
      <c r="F1746" s="7"/>
      <c r="G1746" s="93"/>
      <c r="H1746" s="75"/>
      <c r="I1746" s="75"/>
      <c r="J1746" s="61"/>
      <c r="K1746" s="9"/>
      <c r="L1746" s="59"/>
      <c r="M1746" s="7"/>
    </row>
    <row r="1747" spans="3:13" x14ac:dyDescent="0.35">
      <c r="C1747" s="7"/>
      <c r="D1747" s="7"/>
      <c r="E1747" s="7"/>
      <c r="F1747" s="7"/>
      <c r="G1747" s="93"/>
      <c r="H1747" s="75"/>
      <c r="I1747" s="75"/>
      <c r="J1747" s="61"/>
      <c r="K1747" s="9"/>
      <c r="L1747" s="59"/>
      <c r="M1747" s="7"/>
    </row>
    <row r="1748" spans="3:13" x14ac:dyDescent="0.35">
      <c r="C1748" s="7"/>
      <c r="D1748" s="7"/>
      <c r="E1748" s="7"/>
      <c r="F1748" s="7"/>
      <c r="G1748" s="93"/>
      <c r="H1748" s="75"/>
      <c r="I1748" s="75"/>
      <c r="J1748" s="61"/>
      <c r="K1748" s="9"/>
      <c r="L1748" s="59"/>
      <c r="M1748" s="7"/>
    </row>
    <row r="1749" spans="3:13" x14ac:dyDescent="0.35">
      <c r="C1749" s="7"/>
      <c r="D1749" s="7"/>
      <c r="E1749" s="7"/>
      <c r="F1749" s="7"/>
      <c r="G1749" s="93"/>
      <c r="H1749" s="75"/>
      <c r="I1749" s="75"/>
      <c r="J1749" s="61"/>
      <c r="K1749" s="9"/>
      <c r="L1749" s="59"/>
      <c r="M1749" s="7"/>
    </row>
    <row r="1750" spans="3:13" x14ac:dyDescent="0.35">
      <c r="C1750" s="7"/>
      <c r="D1750" s="7"/>
      <c r="E1750" s="7"/>
      <c r="F1750" s="7"/>
      <c r="G1750" s="93"/>
      <c r="H1750" s="75"/>
      <c r="I1750" s="75"/>
      <c r="J1750" s="61"/>
      <c r="K1750" s="9"/>
      <c r="L1750" s="59"/>
      <c r="M1750" s="7"/>
    </row>
    <row r="1751" spans="3:13" x14ac:dyDescent="0.35">
      <c r="C1751" s="7"/>
      <c r="D1751" s="7"/>
      <c r="E1751" s="7"/>
      <c r="F1751" s="7"/>
      <c r="G1751" s="93"/>
      <c r="H1751" s="75"/>
      <c r="I1751" s="75"/>
      <c r="J1751" s="61"/>
      <c r="K1751" s="9"/>
      <c r="L1751" s="59"/>
      <c r="M1751" s="7"/>
    </row>
    <row r="1752" spans="3:13" x14ac:dyDescent="0.35">
      <c r="C1752" s="7"/>
      <c r="D1752" s="7"/>
      <c r="E1752" s="7"/>
      <c r="F1752" s="7"/>
      <c r="G1752" s="93"/>
      <c r="H1752" s="75"/>
      <c r="I1752" s="75"/>
      <c r="J1752" s="61"/>
      <c r="K1752" s="9"/>
      <c r="L1752" s="59"/>
      <c r="M1752" s="7"/>
    </row>
    <row r="1753" spans="3:13" x14ac:dyDescent="0.35">
      <c r="C1753" s="7"/>
      <c r="D1753" s="7"/>
      <c r="E1753" s="7"/>
      <c r="F1753" s="7"/>
      <c r="G1753" s="93"/>
      <c r="H1753" s="75"/>
      <c r="I1753" s="75"/>
      <c r="J1753" s="61"/>
      <c r="K1753" s="9"/>
      <c r="L1753" s="59"/>
      <c r="M1753" s="7"/>
    </row>
    <row r="1754" spans="3:13" x14ac:dyDescent="0.35">
      <c r="C1754" s="7"/>
      <c r="D1754" s="7"/>
      <c r="E1754" s="7"/>
      <c r="F1754" s="7"/>
      <c r="G1754" s="93"/>
      <c r="H1754" s="75"/>
      <c r="I1754" s="75"/>
      <c r="J1754" s="61"/>
      <c r="K1754" s="9"/>
      <c r="L1754" s="59"/>
      <c r="M1754" s="7"/>
    </row>
    <row r="1755" spans="3:13" x14ac:dyDescent="0.35">
      <c r="C1755" s="7"/>
      <c r="D1755" s="7"/>
      <c r="E1755" s="7"/>
      <c r="F1755" s="7"/>
      <c r="G1755" s="93"/>
      <c r="H1755" s="75"/>
      <c r="I1755" s="75"/>
      <c r="J1755" s="61"/>
      <c r="K1755" s="9"/>
      <c r="L1755" s="59"/>
      <c r="M1755" s="7"/>
    </row>
    <row r="1756" spans="3:13" x14ac:dyDescent="0.35">
      <c r="C1756" s="7"/>
      <c r="D1756" s="7"/>
      <c r="E1756" s="7"/>
      <c r="F1756" s="7"/>
      <c r="G1756" s="93"/>
      <c r="H1756" s="75"/>
      <c r="I1756" s="75"/>
      <c r="J1756" s="61"/>
      <c r="K1756" s="9"/>
      <c r="L1756" s="59"/>
      <c r="M1756" s="7"/>
    </row>
    <row r="1757" spans="3:13" x14ac:dyDescent="0.35">
      <c r="C1757" s="7"/>
      <c r="D1757" s="7"/>
      <c r="E1757" s="7"/>
      <c r="F1757" s="7"/>
      <c r="G1757" s="93"/>
      <c r="H1757" s="75"/>
      <c r="I1757" s="75"/>
      <c r="J1757" s="61"/>
      <c r="K1757" s="9"/>
      <c r="L1757" s="59"/>
      <c r="M1757" s="7"/>
    </row>
    <row r="1758" spans="3:13" x14ac:dyDescent="0.35">
      <c r="C1758" s="7"/>
      <c r="D1758" s="7"/>
      <c r="E1758" s="7"/>
      <c r="F1758" s="7"/>
      <c r="G1758" s="93"/>
      <c r="H1758" s="75"/>
      <c r="I1758" s="75"/>
      <c r="J1758" s="61"/>
      <c r="K1758" s="9"/>
      <c r="L1758" s="59"/>
      <c r="M1758" s="7"/>
    </row>
    <row r="1759" spans="3:13" x14ac:dyDescent="0.35">
      <c r="C1759" s="7"/>
      <c r="D1759" s="7"/>
      <c r="E1759" s="7"/>
      <c r="F1759" s="7"/>
      <c r="G1759" s="93"/>
      <c r="H1759" s="75"/>
      <c r="I1759" s="75"/>
      <c r="J1759" s="61"/>
      <c r="K1759" s="9"/>
      <c r="L1759" s="59"/>
      <c r="M1759" s="7"/>
    </row>
    <row r="1760" spans="3:13" x14ac:dyDescent="0.35">
      <c r="C1760" s="7"/>
      <c r="D1760" s="7"/>
      <c r="E1760" s="7"/>
      <c r="F1760" s="7"/>
      <c r="G1760" s="93"/>
      <c r="H1760" s="75"/>
      <c r="I1760" s="75"/>
      <c r="J1760" s="61"/>
      <c r="K1760" s="9"/>
      <c r="L1760" s="59"/>
      <c r="M1760" s="7"/>
    </row>
    <row r="1761" spans="3:13" x14ac:dyDescent="0.35">
      <c r="C1761" s="7"/>
      <c r="D1761" s="7"/>
      <c r="E1761" s="7"/>
      <c r="F1761" s="7"/>
      <c r="G1761" s="93"/>
      <c r="H1761" s="75"/>
      <c r="I1761" s="75"/>
      <c r="J1761" s="61"/>
      <c r="K1761" s="9"/>
      <c r="L1761" s="59"/>
      <c r="M1761" s="7"/>
    </row>
    <row r="1762" spans="3:13" x14ac:dyDescent="0.35">
      <c r="C1762" s="7"/>
      <c r="D1762" s="7"/>
      <c r="E1762" s="7"/>
      <c r="F1762" s="7"/>
      <c r="G1762" s="93"/>
      <c r="H1762" s="75"/>
      <c r="I1762" s="75"/>
      <c r="J1762" s="61"/>
      <c r="K1762" s="9"/>
      <c r="L1762" s="59"/>
      <c r="M1762" s="7"/>
    </row>
    <row r="1763" spans="3:13" x14ac:dyDescent="0.35">
      <c r="C1763" s="7"/>
      <c r="D1763" s="7"/>
      <c r="E1763" s="7"/>
      <c r="F1763" s="7"/>
      <c r="G1763" s="93"/>
      <c r="H1763" s="75"/>
      <c r="I1763" s="75"/>
      <c r="J1763" s="61"/>
      <c r="K1763" s="7"/>
      <c r="L1763" s="59"/>
      <c r="M1763" s="7"/>
    </row>
    <row r="1764" spans="3:13" x14ac:dyDescent="0.35">
      <c r="C1764" s="7"/>
      <c r="D1764" s="7"/>
      <c r="E1764" s="7"/>
      <c r="F1764" s="7"/>
      <c r="G1764" s="93"/>
      <c r="H1764" s="75"/>
      <c r="I1764" s="75"/>
      <c r="J1764" s="61"/>
      <c r="K1764" s="7"/>
      <c r="L1764" s="59"/>
      <c r="M1764" s="7"/>
    </row>
    <row r="1765" spans="3:13" x14ac:dyDescent="0.35">
      <c r="C1765" s="7"/>
      <c r="D1765" s="7"/>
      <c r="E1765" s="7"/>
      <c r="F1765" s="7"/>
      <c r="G1765" s="93"/>
      <c r="H1765" s="75"/>
      <c r="I1765" s="75"/>
      <c r="J1765" s="61"/>
      <c r="K1765" s="7"/>
      <c r="L1765" s="59"/>
      <c r="M1765" s="7"/>
    </row>
    <row r="1766" spans="3:13" x14ac:dyDescent="0.35">
      <c r="C1766" s="7"/>
      <c r="D1766" s="7"/>
      <c r="E1766" s="7"/>
      <c r="F1766" s="7"/>
      <c r="G1766" s="93"/>
      <c r="H1766" s="75"/>
      <c r="I1766" s="75"/>
      <c r="J1766" s="61"/>
      <c r="K1766" s="7"/>
      <c r="L1766" s="59"/>
      <c r="M1766" s="7"/>
    </row>
    <row r="1767" spans="3:13" x14ac:dyDescent="0.35">
      <c r="C1767" s="7"/>
      <c r="D1767" s="7"/>
      <c r="E1767" s="7"/>
      <c r="F1767" s="7"/>
      <c r="G1767" s="93"/>
      <c r="H1767" s="75"/>
      <c r="I1767" s="75"/>
      <c r="J1767" s="61"/>
      <c r="K1767" s="7"/>
      <c r="L1767" s="59"/>
      <c r="M1767" s="7"/>
    </row>
    <row r="1768" spans="3:13" x14ac:dyDescent="0.35">
      <c r="C1768" s="7"/>
      <c r="D1768" s="7"/>
      <c r="E1768" s="7"/>
      <c r="F1768" s="7"/>
      <c r="G1768" s="93"/>
      <c r="H1768" s="75"/>
      <c r="I1768" s="75"/>
      <c r="J1768" s="61"/>
      <c r="K1768" s="7"/>
      <c r="L1768" s="59"/>
      <c r="M1768" s="7"/>
    </row>
    <row r="1769" spans="3:13" x14ac:dyDescent="0.35">
      <c r="C1769" s="7"/>
      <c r="D1769" s="7"/>
      <c r="E1769" s="7"/>
      <c r="F1769" s="7"/>
      <c r="G1769" s="93"/>
      <c r="H1769" s="75"/>
      <c r="I1769" s="75"/>
      <c r="J1769" s="61"/>
      <c r="K1769" s="7"/>
      <c r="L1769" s="59"/>
      <c r="M1769" s="7"/>
    </row>
    <row r="1770" spans="3:13" x14ac:dyDescent="0.35">
      <c r="C1770" s="7"/>
      <c r="D1770" s="7"/>
      <c r="E1770" s="7"/>
      <c r="F1770" s="7"/>
      <c r="G1770" s="93"/>
      <c r="H1770" s="75"/>
      <c r="I1770" s="75"/>
      <c r="J1770" s="61"/>
      <c r="K1770" s="7"/>
      <c r="L1770" s="59"/>
      <c r="M1770" s="7"/>
    </row>
    <row r="1771" spans="3:13" x14ac:dyDescent="0.35">
      <c r="C1771" s="7"/>
      <c r="D1771" s="7"/>
      <c r="E1771" s="7"/>
      <c r="F1771" s="7"/>
      <c r="G1771" s="93"/>
      <c r="H1771" s="75"/>
      <c r="I1771" s="75"/>
      <c r="J1771" s="61"/>
      <c r="K1771" s="7"/>
      <c r="L1771" s="59"/>
      <c r="M1771" s="7"/>
    </row>
    <row r="1772" spans="3:13" x14ac:dyDescent="0.35">
      <c r="C1772" s="7"/>
      <c r="D1772" s="7"/>
      <c r="E1772" s="7"/>
      <c r="F1772" s="7"/>
      <c r="G1772" s="93"/>
      <c r="H1772" s="75"/>
      <c r="I1772" s="75"/>
      <c r="J1772" s="61"/>
      <c r="K1772" s="7"/>
      <c r="L1772" s="59"/>
      <c r="M1772" s="7"/>
    </row>
    <row r="1773" spans="3:13" x14ac:dyDescent="0.35">
      <c r="C1773" s="7"/>
      <c r="D1773" s="7"/>
      <c r="E1773" s="7"/>
      <c r="F1773" s="7"/>
      <c r="G1773" s="93"/>
      <c r="H1773" s="75"/>
      <c r="I1773" s="75"/>
      <c r="J1773" s="61"/>
      <c r="K1773" s="7"/>
      <c r="L1773" s="59"/>
      <c r="M1773" s="7"/>
    </row>
    <row r="1774" spans="3:13" x14ac:dyDescent="0.35">
      <c r="C1774" s="7"/>
      <c r="D1774" s="7"/>
      <c r="E1774" s="7"/>
      <c r="F1774" s="7"/>
      <c r="G1774" s="93"/>
      <c r="H1774" s="75"/>
      <c r="I1774" s="75"/>
      <c r="J1774" s="61"/>
      <c r="K1774" s="7"/>
      <c r="L1774" s="59"/>
      <c r="M1774" s="7"/>
    </row>
    <row r="1775" spans="3:13" x14ac:dyDescent="0.35">
      <c r="C1775" s="7"/>
      <c r="D1775" s="7"/>
      <c r="E1775" s="7"/>
      <c r="F1775" s="7"/>
      <c r="G1775" s="93"/>
      <c r="H1775" s="75"/>
      <c r="I1775" s="75"/>
      <c r="J1775" s="61"/>
      <c r="K1775" s="7"/>
      <c r="L1775" s="59"/>
      <c r="M1775" s="7"/>
    </row>
    <row r="1776" spans="3:13" x14ac:dyDescent="0.35">
      <c r="C1776" s="7"/>
      <c r="D1776" s="7"/>
      <c r="E1776" s="7"/>
      <c r="F1776" s="7"/>
      <c r="G1776" s="93"/>
      <c r="H1776" s="75"/>
      <c r="I1776" s="75"/>
      <c r="J1776" s="61"/>
      <c r="K1776" s="7"/>
      <c r="L1776" s="59"/>
      <c r="M1776" s="7"/>
    </row>
    <row r="1777" spans="3:13" x14ac:dyDescent="0.35">
      <c r="C1777" s="7"/>
      <c r="D1777" s="7"/>
      <c r="E1777" s="7"/>
      <c r="F1777" s="7"/>
      <c r="G1777" s="93"/>
      <c r="H1777" s="75"/>
      <c r="I1777" s="75"/>
      <c r="J1777" s="61"/>
      <c r="K1777" s="7"/>
      <c r="L1777" s="59"/>
      <c r="M1777" s="7"/>
    </row>
    <row r="1778" spans="3:13" x14ac:dyDescent="0.35">
      <c r="C1778" s="7"/>
      <c r="D1778" s="7"/>
      <c r="E1778" s="7"/>
      <c r="F1778" s="7"/>
      <c r="G1778" s="93"/>
      <c r="H1778" s="75"/>
      <c r="I1778" s="75"/>
      <c r="J1778" s="61"/>
      <c r="K1778" s="7"/>
      <c r="L1778" s="59"/>
      <c r="M1778" s="7"/>
    </row>
    <row r="1779" spans="3:13" x14ac:dyDescent="0.35">
      <c r="C1779" s="7"/>
      <c r="D1779" s="7"/>
      <c r="E1779" s="7"/>
      <c r="F1779" s="7"/>
      <c r="G1779" s="93"/>
      <c r="H1779" s="75"/>
      <c r="I1779" s="75"/>
      <c r="J1779" s="61"/>
      <c r="K1779" s="7"/>
      <c r="L1779" s="59"/>
      <c r="M1779" s="7"/>
    </row>
    <row r="1780" spans="3:13" x14ac:dyDescent="0.35">
      <c r="C1780" s="7"/>
      <c r="D1780" s="7"/>
      <c r="E1780" s="7"/>
      <c r="F1780" s="7"/>
      <c r="G1780" s="93"/>
      <c r="H1780" s="75"/>
      <c r="I1780" s="75"/>
      <c r="J1780" s="61"/>
      <c r="K1780" s="7"/>
      <c r="L1780" s="59"/>
      <c r="M1780" s="7"/>
    </row>
    <row r="1781" spans="3:13" x14ac:dyDescent="0.35">
      <c r="C1781" s="7"/>
      <c r="D1781" s="7"/>
      <c r="E1781" s="7"/>
      <c r="F1781" s="7"/>
      <c r="G1781" s="93"/>
      <c r="H1781" s="75"/>
      <c r="I1781" s="75"/>
      <c r="J1781" s="61"/>
      <c r="K1781" s="7"/>
      <c r="L1781" s="59"/>
      <c r="M1781" s="7"/>
    </row>
    <row r="1782" spans="3:13" x14ac:dyDescent="0.35">
      <c r="C1782" s="7"/>
      <c r="D1782" s="7"/>
      <c r="E1782" s="7"/>
      <c r="F1782" s="7"/>
      <c r="G1782" s="93"/>
      <c r="H1782" s="75"/>
      <c r="I1782" s="75"/>
      <c r="J1782" s="61"/>
      <c r="K1782" s="7"/>
      <c r="L1782" s="59"/>
      <c r="M1782" s="7"/>
    </row>
    <row r="1783" spans="3:13" x14ac:dyDescent="0.35">
      <c r="C1783" s="7"/>
      <c r="D1783" s="7"/>
      <c r="E1783" s="7"/>
      <c r="F1783" s="7"/>
      <c r="G1783" s="93"/>
      <c r="H1783" s="75"/>
      <c r="I1783" s="75"/>
      <c r="J1783" s="61"/>
      <c r="K1783" s="7"/>
      <c r="L1783" s="59"/>
      <c r="M1783" s="7"/>
    </row>
    <row r="1784" spans="3:13" x14ac:dyDescent="0.35">
      <c r="C1784" s="7"/>
      <c r="D1784" s="7"/>
      <c r="E1784" s="7"/>
      <c r="F1784" s="7"/>
      <c r="G1784" s="93"/>
      <c r="H1784" s="75"/>
      <c r="I1784" s="75"/>
      <c r="J1784" s="61"/>
      <c r="K1784" s="7"/>
      <c r="L1784" s="59"/>
      <c r="M1784" s="7"/>
    </row>
    <row r="1785" spans="3:13" x14ac:dyDescent="0.35">
      <c r="C1785" s="7"/>
      <c r="D1785" s="7"/>
      <c r="E1785" s="7"/>
      <c r="F1785" s="7"/>
      <c r="G1785" s="93"/>
      <c r="H1785" s="75"/>
      <c r="I1785" s="75"/>
      <c r="J1785" s="61"/>
      <c r="K1785" s="7"/>
      <c r="L1785" s="59"/>
      <c r="M1785" s="7"/>
    </row>
    <row r="1786" spans="3:13" x14ac:dyDescent="0.35">
      <c r="C1786" s="7"/>
      <c r="D1786" s="7"/>
      <c r="E1786" s="7"/>
      <c r="F1786" s="7"/>
      <c r="G1786" s="93"/>
      <c r="H1786" s="75"/>
      <c r="I1786" s="75"/>
      <c r="J1786" s="61"/>
      <c r="K1786" s="7"/>
      <c r="L1786" s="59"/>
      <c r="M1786" s="7"/>
    </row>
    <row r="1787" spans="3:13" x14ac:dyDescent="0.35">
      <c r="C1787" s="7"/>
      <c r="D1787" s="7"/>
      <c r="E1787" s="7"/>
      <c r="F1787" s="7"/>
      <c r="G1787" s="93"/>
      <c r="H1787" s="75"/>
      <c r="I1787" s="75"/>
      <c r="J1787" s="61"/>
      <c r="K1787" s="7"/>
      <c r="L1787" s="59"/>
      <c r="M1787" s="7"/>
    </row>
    <row r="1788" spans="3:13" x14ac:dyDescent="0.35">
      <c r="C1788" s="7"/>
      <c r="D1788" s="7"/>
      <c r="E1788" s="7"/>
      <c r="F1788" s="7"/>
      <c r="G1788" s="93"/>
      <c r="H1788" s="75"/>
      <c r="I1788" s="75"/>
      <c r="J1788" s="61"/>
      <c r="K1788" s="7"/>
      <c r="L1788" s="59"/>
      <c r="M1788" s="7"/>
    </row>
    <row r="1789" spans="3:13" x14ac:dyDescent="0.35">
      <c r="C1789" s="7"/>
      <c r="D1789" s="7"/>
      <c r="E1789" s="7"/>
      <c r="F1789" s="7"/>
      <c r="G1789" s="93"/>
      <c r="H1789" s="75"/>
      <c r="I1789" s="75"/>
      <c r="J1789" s="61"/>
      <c r="K1789" s="7"/>
      <c r="L1789" s="59"/>
      <c r="M1789" s="7"/>
    </row>
    <row r="1790" spans="3:13" x14ac:dyDescent="0.35">
      <c r="C1790" s="7"/>
      <c r="D1790" s="7"/>
      <c r="E1790" s="7"/>
      <c r="F1790" s="7"/>
      <c r="G1790" s="93"/>
      <c r="H1790" s="75"/>
      <c r="I1790" s="75"/>
      <c r="J1790" s="61"/>
      <c r="K1790" s="7"/>
      <c r="L1790" s="59"/>
      <c r="M1790" s="7"/>
    </row>
    <row r="1791" spans="3:13" x14ac:dyDescent="0.35">
      <c r="C1791" s="7"/>
      <c r="D1791" s="7"/>
      <c r="E1791" s="7"/>
      <c r="F1791" s="7"/>
      <c r="G1791" s="93"/>
      <c r="H1791" s="75"/>
      <c r="I1791" s="75"/>
      <c r="J1791" s="61"/>
      <c r="K1791" s="7"/>
      <c r="L1791" s="59"/>
      <c r="M1791" s="7"/>
    </row>
    <row r="1792" spans="3:13" x14ac:dyDescent="0.35">
      <c r="C1792" s="7"/>
      <c r="D1792" s="7"/>
      <c r="E1792" s="7"/>
      <c r="F1792" s="7"/>
      <c r="G1792" s="93"/>
      <c r="H1792" s="75"/>
      <c r="I1792" s="75"/>
      <c r="J1792" s="61"/>
      <c r="K1792" s="7"/>
      <c r="L1792" s="59"/>
      <c r="M1792" s="7"/>
    </row>
    <row r="1793" spans="3:13" x14ac:dyDescent="0.35">
      <c r="C1793" s="7"/>
      <c r="D1793" s="7"/>
      <c r="E1793" s="7"/>
      <c r="F1793" s="7"/>
      <c r="G1793" s="93"/>
      <c r="H1793" s="75"/>
      <c r="I1793" s="75"/>
      <c r="J1793" s="61"/>
      <c r="K1793" s="7"/>
      <c r="L1793" s="59"/>
      <c r="M1793" s="7"/>
    </row>
    <row r="1794" spans="3:13" x14ac:dyDescent="0.35">
      <c r="C1794" s="7"/>
      <c r="D1794" s="7"/>
      <c r="E1794" s="7"/>
      <c r="F1794" s="7"/>
      <c r="G1794" s="93"/>
      <c r="H1794" s="75"/>
      <c r="I1794" s="75"/>
      <c r="J1794" s="61"/>
      <c r="K1794" s="7"/>
      <c r="L1794" s="59"/>
      <c r="M1794" s="7"/>
    </row>
    <row r="1795" spans="3:13" x14ac:dyDescent="0.35">
      <c r="C1795" s="7"/>
      <c r="D1795" s="7"/>
      <c r="E1795" s="7"/>
      <c r="F1795" s="7"/>
      <c r="G1795" s="93"/>
      <c r="H1795" s="75"/>
      <c r="I1795" s="75"/>
      <c r="J1795" s="61"/>
      <c r="K1795" s="7"/>
      <c r="L1795" s="59"/>
      <c r="M1795" s="7"/>
    </row>
    <row r="1796" spans="3:13" x14ac:dyDescent="0.35">
      <c r="C1796" s="7"/>
      <c r="D1796" s="7"/>
      <c r="E1796" s="7"/>
      <c r="F1796" s="7"/>
      <c r="G1796" s="93"/>
      <c r="H1796" s="75"/>
      <c r="I1796" s="75"/>
      <c r="J1796" s="61"/>
      <c r="K1796" s="7"/>
      <c r="L1796" s="59"/>
      <c r="M1796" s="7"/>
    </row>
    <row r="1797" spans="3:13" x14ac:dyDescent="0.35">
      <c r="C1797" s="7"/>
      <c r="D1797" s="7"/>
      <c r="E1797" s="7"/>
      <c r="F1797" s="7"/>
      <c r="G1797" s="93"/>
      <c r="H1797" s="75"/>
      <c r="I1797" s="75"/>
      <c r="J1797" s="61"/>
      <c r="K1797" s="7"/>
      <c r="L1797" s="59"/>
      <c r="M1797" s="7"/>
    </row>
    <row r="1798" spans="3:13" x14ac:dyDescent="0.35">
      <c r="C1798" s="7"/>
      <c r="D1798" s="7"/>
      <c r="E1798" s="7"/>
      <c r="F1798" s="7"/>
      <c r="G1798" s="93"/>
      <c r="H1798" s="75"/>
      <c r="I1798" s="75"/>
      <c r="J1798" s="61"/>
      <c r="K1798" s="7"/>
      <c r="L1798" s="59"/>
      <c r="M1798" s="7"/>
    </row>
    <row r="1799" spans="3:13" x14ac:dyDescent="0.35">
      <c r="C1799" s="7"/>
      <c r="D1799" s="7"/>
      <c r="E1799" s="7"/>
      <c r="F1799" s="7"/>
      <c r="G1799" s="93"/>
      <c r="H1799" s="75"/>
      <c r="I1799" s="75"/>
      <c r="J1799" s="61"/>
      <c r="K1799" s="7"/>
      <c r="L1799" s="59"/>
      <c r="M1799" s="7"/>
    </row>
    <row r="1800" spans="3:13" x14ac:dyDescent="0.35">
      <c r="C1800" s="7"/>
      <c r="D1800" s="7"/>
      <c r="E1800" s="7"/>
      <c r="F1800" s="7"/>
      <c r="G1800" s="93"/>
      <c r="H1800" s="75"/>
      <c r="I1800" s="75"/>
      <c r="J1800" s="61"/>
      <c r="K1800" s="7"/>
      <c r="L1800" s="59"/>
      <c r="M1800" s="7"/>
    </row>
    <row r="1801" spans="3:13" x14ac:dyDescent="0.35">
      <c r="C1801" s="7"/>
      <c r="D1801" s="7"/>
      <c r="E1801" s="7"/>
      <c r="F1801" s="7"/>
      <c r="G1801" s="93"/>
      <c r="H1801" s="75"/>
      <c r="I1801" s="75"/>
      <c r="J1801" s="61"/>
      <c r="K1801" s="7"/>
      <c r="L1801" s="59"/>
      <c r="M1801" s="7"/>
    </row>
    <row r="1802" spans="3:13" x14ac:dyDescent="0.35">
      <c r="C1802" s="7"/>
      <c r="D1802" s="7"/>
      <c r="E1802" s="7"/>
      <c r="F1802" s="7"/>
      <c r="G1802" s="93"/>
      <c r="H1802" s="75"/>
      <c r="I1802" s="75"/>
      <c r="J1802" s="61"/>
      <c r="K1802" s="7"/>
      <c r="L1802" s="59"/>
      <c r="M1802" s="7"/>
    </row>
    <row r="1803" spans="3:13" x14ac:dyDescent="0.35">
      <c r="C1803" s="7"/>
      <c r="D1803" s="7"/>
      <c r="E1803" s="7"/>
      <c r="F1803" s="7"/>
      <c r="G1803" s="93"/>
      <c r="H1803" s="75"/>
      <c r="I1803" s="75"/>
      <c r="J1803" s="61"/>
      <c r="K1803" s="7"/>
      <c r="L1803" s="59"/>
      <c r="M1803" s="7"/>
    </row>
    <row r="1804" spans="3:13" x14ac:dyDescent="0.35">
      <c r="C1804" s="7"/>
      <c r="D1804" s="7"/>
      <c r="E1804" s="7"/>
      <c r="F1804" s="7"/>
      <c r="G1804" s="93"/>
      <c r="H1804" s="75"/>
      <c r="I1804" s="75"/>
      <c r="J1804" s="61"/>
      <c r="K1804" s="7"/>
      <c r="L1804" s="59"/>
      <c r="M1804" s="7"/>
    </row>
    <row r="1805" spans="3:13" x14ac:dyDescent="0.35">
      <c r="C1805" s="7"/>
      <c r="D1805" s="7"/>
      <c r="E1805" s="7"/>
      <c r="F1805" s="7"/>
      <c r="G1805" s="93"/>
      <c r="H1805" s="75"/>
      <c r="I1805" s="75"/>
      <c r="J1805" s="61"/>
      <c r="K1805" s="7"/>
      <c r="L1805" s="59"/>
      <c r="M1805" s="7"/>
    </row>
    <row r="1806" spans="3:13" x14ac:dyDescent="0.35">
      <c r="C1806" s="7"/>
      <c r="D1806" s="7"/>
      <c r="E1806" s="7"/>
      <c r="F1806" s="7"/>
      <c r="G1806" s="93"/>
      <c r="H1806" s="75"/>
      <c r="I1806" s="75"/>
      <c r="J1806" s="61"/>
      <c r="K1806" s="7"/>
      <c r="L1806" s="59"/>
      <c r="M1806" s="7"/>
    </row>
    <row r="1807" spans="3:13" x14ac:dyDescent="0.35">
      <c r="C1807" s="7"/>
      <c r="D1807" s="7"/>
      <c r="E1807" s="7"/>
      <c r="F1807" s="7"/>
      <c r="G1807" s="93"/>
      <c r="H1807" s="75"/>
      <c r="I1807" s="75"/>
      <c r="J1807" s="61"/>
      <c r="K1807" s="7"/>
      <c r="L1807" s="59"/>
      <c r="M1807" s="7"/>
    </row>
    <row r="1808" spans="3:13" x14ac:dyDescent="0.35">
      <c r="C1808" s="7"/>
      <c r="D1808" s="7"/>
      <c r="E1808" s="7"/>
      <c r="F1808" s="7"/>
      <c r="G1808" s="93"/>
      <c r="H1808" s="75"/>
      <c r="I1808" s="75"/>
      <c r="J1808" s="61"/>
      <c r="K1808" s="7"/>
      <c r="L1808" s="59"/>
      <c r="M1808" s="7"/>
    </row>
    <row r="1809" spans="3:13" x14ac:dyDescent="0.35">
      <c r="C1809" s="7"/>
      <c r="D1809" s="7"/>
      <c r="E1809" s="7"/>
      <c r="F1809" s="7"/>
      <c r="G1809" s="93"/>
      <c r="H1809" s="75"/>
      <c r="I1809" s="75"/>
      <c r="J1809" s="61"/>
      <c r="K1809" s="7"/>
      <c r="L1809" s="59"/>
      <c r="M1809" s="7"/>
    </row>
    <row r="1810" spans="3:13" x14ac:dyDescent="0.35">
      <c r="C1810" s="7"/>
      <c r="D1810" s="7"/>
      <c r="E1810" s="7"/>
      <c r="F1810" s="7"/>
      <c r="G1810" s="93"/>
      <c r="H1810" s="75"/>
      <c r="I1810" s="75"/>
      <c r="J1810" s="61"/>
      <c r="K1810" s="7"/>
      <c r="L1810" s="59"/>
      <c r="M1810" s="7"/>
    </row>
    <row r="1811" spans="3:13" x14ac:dyDescent="0.35">
      <c r="C1811" s="7"/>
      <c r="D1811" s="7"/>
      <c r="E1811" s="7"/>
      <c r="F1811" s="7"/>
      <c r="G1811" s="93"/>
      <c r="H1811" s="75"/>
      <c r="I1811" s="75"/>
      <c r="J1811" s="61"/>
      <c r="K1811" s="7"/>
      <c r="L1811" s="59"/>
      <c r="M1811" s="7"/>
    </row>
    <row r="1812" spans="3:13" x14ac:dyDescent="0.35">
      <c r="C1812" s="7"/>
      <c r="D1812" s="7"/>
      <c r="E1812" s="7"/>
      <c r="F1812" s="7"/>
      <c r="G1812" s="93"/>
      <c r="H1812" s="75"/>
      <c r="I1812" s="75"/>
      <c r="J1812" s="61"/>
      <c r="K1812" s="7"/>
      <c r="L1812" s="59"/>
      <c r="M1812" s="7"/>
    </row>
    <row r="1813" spans="3:13" x14ac:dyDescent="0.35">
      <c r="C1813" s="7"/>
      <c r="D1813" s="7"/>
      <c r="E1813" s="7"/>
      <c r="F1813" s="7"/>
      <c r="G1813" s="93"/>
      <c r="H1813" s="75"/>
      <c r="I1813" s="75"/>
      <c r="J1813" s="61"/>
      <c r="K1813" s="7"/>
      <c r="L1813" s="59"/>
      <c r="M1813" s="7"/>
    </row>
    <row r="1814" spans="3:13" x14ac:dyDescent="0.35">
      <c r="C1814" s="7"/>
      <c r="D1814" s="7"/>
      <c r="E1814" s="7"/>
      <c r="F1814" s="7"/>
      <c r="G1814" s="93"/>
      <c r="H1814" s="75"/>
      <c r="I1814" s="75"/>
      <c r="J1814" s="61"/>
      <c r="K1814" s="7"/>
      <c r="L1814" s="59"/>
      <c r="M1814" s="7"/>
    </row>
    <row r="1815" spans="3:13" x14ac:dyDescent="0.35">
      <c r="C1815" s="7"/>
      <c r="D1815" s="7"/>
      <c r="E1815" s="7"/>
      <c r="F1815" s="7"/>
      <c r="G1815" s="93"/>
      <c r="H1815" s="75"/>
      <c r="I1815" s="75"/>
      <c r="J1815" s="61"/>
      <c r="K1815" s="7"/>
      <c r="L1815" s="59"/>
      <c r="M1815" s="7"/>
    </row>
    <row r="1816" spans="3:13" x14ac:dyDescent="0.35">
      <c r="C1816" s="7"/>
      <c r="D1816" s="7"/>
      <c r="E1816" s="7"/>
      <c r="F1816" s="7"/>
      <c r="G1816" s="93"/>
      <c r="H1816" s="75"/>
      <c r="I1816" s="75"/>
      <c r="J1816" s="61"/>
      <c r="K1816" s="9"/>
      <c r="L1816" s="59"/>
      <c r="M1816" s="7"/>
    </row>
    <row r="1817" spans="3:13" x14ac:dyDescent="0.35">
      <c r="C1817" s="7"/>
      <c r="D1817" s="7"/>
      <c r="E1817" s="7"/>
      <c r="F1817" s="7"/>
      <c r="G1817" s="93"/>
      <c r="H1817" s="75"/>
      <c r="I1817" s="75"/>
      <c r="J1817" s="61"/>
      <c r="K1817" s="9"/>
      <c r="L1817" s="59"/>
      <c r="M1817" s="7"/>
    </row>
    <row r="1818" spans="3:13" x14ac:dyDescent="0.35">
      <c r="C1818" s="7"/>
      <c r="D1818" s="7"/>
      <c r="E1818" s="7"/>
      <c r="F1818" s="7"/>
      <c r="G1818" s="93"/>
      <c r="H1818" s="75"/>
      <c r="I1818" s="75"/>
      <c r="J1818" s="61"/>
      <c r="K1818" s="9"/>
      <c r="L1818" s="59"/>
      <c r="M1818" s="7"/>
    </row>
    <row r="1819" spans="3:13" x14ac:dyDescent="0.35">
      <c r="C1819" s="7"/>
      <c r="D1819" s="7"/>
      <c r="E1819" s="7"/>
      <c r="F1819" s="7"/>
      <c r="G1819" s="93"/>
      <c r="H1819" s="75"/>
      <c r="I1819" s="75"/>
      <c r="J1819" s="61"/>
      <c r="K1819" s="9"/>
      <c r="L1819" s="59"/>
      <c r="M1819" s="7"/>
    </row>
    <row r="1820" spans="3:13" x14ac:dyDescent="0.35">
      <c r="C1820" s="7"/>
      <c r="D1820" s="7"/>
      <c r="E1820" s="7"/>
      <c r="F1820" s="7"/>
      <c r="G1820" s="93"/>
      <c r="H1820" s="75"/>
      <c r="I1820" s="75"/>
      <c r="J1820" s="61"/>
      <c r="K1820" s="9"/>
      <c r="L1820" s="59"/>
      <c r="M1820" s="7"/>
    </row>
    <row r="1821" spans="3:13" x14ac:dyDescent="0.35">
      <c r="C1821" s="7"/>
      <c r="D1821" s="7"/>
      <c r="E1821" s="7"/>
      <c r="F1821" s="7"/>
      <c r="G1821" s="93"/>
      <c r="H1821" s="75"/>
      <c r="I1821" s="75"/>
      <c r="J1821" s="61"/>
      <c r="K1821" s="9"/>
      <c r="L1821" s="59"/>
      <c r="M1821" s="7"/>
    </row>
    <row r="1822" spans="3:13" x14ac:dyDescent="0.35">
      <c r="C1822" s="7"/>
      <c r="D1822" s="7"/>
      <c r="E1822" s="7"/>
      <c r="F1822" s="7"/>
      <c r="G1822" s="93"/>
      <c r="H1822" s="75"/>
      <c r="I1822" s="75"/>
      <c r="J1822" s="61"/>
      <c r="K1822" s="9"/>
      <c r="L1822" s="59"/>
      <c r="M1822" s="7"/>
    </row>
    <row r="1823" spans="3:13" x14ac:dyDescent="0.35">
      <c r="C1823" s="7"/>
      <c r="D1823" s="7"/>
      <c r="E1823" s="7"/>
      <c r="F1823" s="7"/>
      <c r="G1823" s="93"/>
      <c r="H1823" s="75"/>
      <c r="I1823" s="75"/>
      <c r="J1823" s="61"/>
      <c r="K1823" s="9"/>
      <c r="L1823" s="59"/>
      <c r="M1823" s="7"/>
    </row>
    <row r="1824" spans="3:13" x14ac:dyDescent="0.35">
      <c r="C1824" s="7"/>
      <c r="D1824" s="7"/>
      <c r="E1824" s="7"/>
      <c r="F1824" s="7"/>
      <c r="G1824" s="93"/>
      <c r="H1824" s="75"/>
      <c r="I1824" s="75"/>
      <c r="J1824" s="61"/>
      <c r="K1824" s="9"/>
      <c r="L1824" s="59"/>
      <c r="M1824" s="7"/>
    </row>
    <row r="1825" spans="3:13" x14ac:dyDescent="0.35">
      <c r="C1825" s="7"/>
      <c r="D1825" s="7"/>
      <c r="E1825" s="7"/>
      <c r="F1825" s="7"/>
      <c r="G1825" s="93"/>
      <c r="H1825" s="75"/>
      <c r="I1825" s="75"/>
      <c r="J1825" s="61"/>
      <c r="K1825" s="9"/>
      <c r="L1825" s="59"/>
      <c r="M1825" s="7"/>
    </row>
    <row r="1826" spans="3:13" x14ac:dyDescent="0.35">
      <c r="C1826" s="7"/>
      <c r="D1826" s="7"/>
      <c r="E1826" s="7"/>
      <c r="F1826" s="7"/>
      <c r="G1826" s="93"/>
      <c r="H1826" s="75"/>
      <c r="I1826" s="75"/>
      <c r="J1826" s="61"/>
      <c r="K1826" s="9"/>
      <c r="L1826" s="59"/>
      <c r="M1826" s="7"/>
    </row>
    <row r="1827" spans="3:13" x14ac:dyDescent="0.35">
      <c r="C1827" s="7"/>
      <c r="D1827" s="7"/>
      <c r="E1827" s="7"/>
      <c r="F1827" s="7"/>
      <c r="G1827" s="93"/>
      <c r="H1827" s="75"/>
      <c r="I1827" s="75"/>
      <c r="J1827" s="61"/>
      <c r="K1827" s="9"/>
      <c r="L1827" s="59"/>
      <c r="M1827" s="7"/>
    </row>
    <row r="1828" spans="3:13" x14ac:dyDescent="0.35">
      <c r="C1828" s="7"/>
      <c r="D1828" s="7"/>
      <c r="E1828" s="7"/>
      <c r="F1828" s="7"/>
      <c r="G1828" s="93"/>
      <c r="H1828" s="75"/>
      <c r="I1828" s="75"/>
      <c r="J1828" s="61"/>
      <c r="K1828" s="9"/>
      <c r="L1828" s="59"/>
      <c r="M1828" s="7"/>
    </row>
    <row r="1829" spans="3:13" x14ac:dyDescent="0.35">
      <c r="C1829" s="7"/>
      <c r="D1829" s="7"/>
      <c r="E1829" s="7"/>
      <c r="F1829" s="7"/>
      <c r="G1829" s="93"/>
      <c r="H1829" s="75"/>
      <c r="I1829" s="75"/>
      <c r="J1829" s="61"/>
      <c r="K1829" s="9"/>
      <c r="L1829" s="59"/>
      <c r="M1829" s="7"/>
    </row>
    <row r="1830" spans="3:13" x14ac:dyDescent="0.35">
      <c r="C1830" s="7"/>
      <c r="D1830" s="7"/>
      <c r="E1830" s="7"/>
      <c r="F1830" s="7"/>
      <c r="G1830" s="93"/>
      <c r="H1830" s="75"/>
      <c r="I1830" s="75"/>
      <c r="J1830" s="61"/>
      <c r="K1830" s="9"/>
      <c r="L1830" s="59"/>
      <c r="M1830" s="7"/>
    </row>
    <row r="1831" spans="3:13" x14ac:dyDescent="0.35">
      <c r="C1831" s="7"/>
      <c r="D1831" s="7"/>
      <c r="E1831" s="7"/>
      <c r="F1831" s="7"/>
      <c r="G1831" s="93"/>
      <c r="H1831" s="75"/>
      <c r="I1831" s="75"/>
      <c r="J1831" s="61"/>
      <c r="K1831" s="9"/>
      <c r="L1831" s="59"/>
      <c r="M1831" s="7"/>
    </row>
    <row r="1832" spans="3:13" x14ac:dyDescent="0.35">
      <c r="C1832" s="7"/>
      <c r="D1832" s="7"/>
      <c r="E1832" s="7"/>
      <c r="F1832" s="7"/>
      <c r="G1832" s="93"/>
      <c r="H1832" s="75"/>
      <c r="I1832" s="75"/>
      <c r="J1832" s="61"/>
      <c r="K1832" s="9"/>
      <c r="L1832" s="59"/>
      <c r="M1832" s="7"/>
    </row>
    <row r="1833" spans="3:13" x14ac:dyDescent="0.35">
      <c r="C1833" s="7"/>
      <c r="D1833" s="7"/>
      <c r="E1833" s="7"/>
      <c r="F1833" s="7"/>
      <c r="G1833" s="93"/>
      <c r="H1833" s="75"/>
      <c r="I1833" s="75"/>
      <c r="J1833" s="61"/>
      <c r="K1833" s="9"/>
      <c r="L1833" s="59"/>
      <c r="M1833" s="7"/>
    </row>
    <row r="1834" spans="3:13" x14ac:dyDescent="0.35">
      <c r="C1834" s="7"/>
      <c r="D1834" s="7"/>
      <c r="E1834" s="7"/>
      <c r="F1834" s="7"/>
      <c r="G1834" s="93"/>
      <c r="H1834" s="75"/>
      <c r="I1834" s="75"/>
      <c r="J1834" s="61"/>
      <c r="K1834" s="9"/>
      <c r="L1834" s="59"/>
      <c r="M1834" s="7"/>
    </row>
    <row r="1835" spans="3:13" x14ac:dyDescent="0.35">
      <c r="C1835" s="7"/>
      <c r="D1835" s="7"/>
      <c r="E1835" s="7"/>
      <c r="F1835" s="7"/>
      <c r="G1835" s="93"/>
      <c r="H1835" s="75"/>
      <c r="I1835" s="75"/>
      <c r="J1835" s="61"/>
      <c r="K1835" s="9"/>
      <c r="L1835" s="59"/>
      <c r="M1835" s="7"/>
    </row>
    <row r="1836" spans="3:13" x14ac:dyDescent="0.35">
      <c r="C1836" s="7"/>
      <c r="D1836" s="7"/>
      <c r="E1836" s="7"/>
      <c r="F1836" s="7"/>
      <c r="G1836" s="93"/>
      <c r="H1836" s="75"/>
      <c r="I1836" s="75"/>
      <c r="J1836" s="61"/>
      <c r="K1836" s="9"/>
      <c r="L1836" s="59"/>
      <c r="M1836" s="7"/>
    </row>
    <row r="1837" spans="3:13" x14ac:dyDescent="0.35">
      <c r="C1837" s="7"/>
      <c r="D1837" s="7"/>
      <c r="E1837" s="7"/>
      <c r="F1837" s="7"/>
      <c r="G1837" s="93"/>
      <c r="H1837" s="75"/>
      <c r="I1837" s="75"/>
      <c r="J1837" s="61"/>
      <c r="K1837" s="9"/>
      <c r="L1837" s="59"/>
      <c r="M1837" s="7"/>
    </row>
    <row r="1838" spans="3:13" x14ac:dyDescent="0.35">
      <c r="C1838" s="7"/>
      <c r="D1838" s="7"/>
      <c r="E1838" s="7"/>
      <c r="F1838" s="7"/>
      <c r="G1838" s="93"/>
      <c r="H1838" s="75"/>
      <c r="I1838" s="75"/>
      <c r="J1838" s="61"/>
      <c r="K1838" s="9"/>
      <c r="L1838" s="59"/>
      <c r="M1838" s="7"/>
    </row>
    <row r="1839" spans="3:13" x14ac:dyDescent="0.35">
      <c r="C1839" s="7"/>
      <c r="D1839" s="7"/>
      <c r="E1839" s="7"/>
      <c r="F1839" s="7"/>
      <c r="G1839" s="93"/>
      <c r="H1839" s="75"/>
      <c r="I1839" s="75"/>
      <c r="J1839" s="61"/>
      <c r="K1839" s="9"/>
      <c r="L1839" s="59"/>
      <c r="M1839" s="7"/>
    </row>
    <row r="1840" spans="3:13" x14ac:dyDescent="0.35">
      <c r="C1840" s="7"/>
      <c r="D1840" s="7"/>
      <c r="E1840" s="7"/>
      <c r="F1840" s="7"/>
      <c r="G1840" s="93"/>
      <c r="H1840" s="75"/>
      <c r="I1840" s="75"/>
      <c r="J1840" s="61"/>
      <c r="K1840" s="9"/>
      <c r="L1840" s="59"/>
      <c r="M1840" s="7"/>
    </row>
    <row r="1841" spans="3:13" x14ac:dyDescent="0.35">
      <c r="C1841" s="7"/>
      <c r="D1841" s="7"/>
      <c r="E1841" s="7"/>
      <c r="F1841" s="7"/>
      <c r="G1841" s="93"/>
      <c r="H1841" s="75"/>
      <c r="I1841" s="75"/>
      <c r="J1841" s="61"/>
      <c r="K1841" s="9"/>
      <c r="L1841" s="59"/>
      <c r="M1841" s="7"/>
    </row>
    <row r="1842" spans="3:13" x14ac:dyDescent="0.35">
      <c r="C1842" s="7"/>
      <c r="D1842" s="7"/>
      <c r="E1842" s="7"/>
      <c r="F1842" s="7"/>
      <c r="G1842" s="93"/>
      <c r="H1842" s="75"/>
      <c r="I1842" s="75"/>
      <c r="J1842" s="61"/>
      <c r="K1842" s="9"/>
      <c r="L1842" s="59"/>
      <c r="M1842" s="7"/>
    </row>
    <row r="1843" spans="3:13" x14ac:dyDescent="0.35">
      <c r="C1843" s="7"/>
      <c r="D1843" s="7"/>
      <c r="E1843" s="7"/>
      <c r="F1843" s="7"/>
      <c r="G1843" s="93"/>
      <c r="H1843" s="75"/>
      <c r="I1843" s="75"/>
      <c r="J1843" s="61"/>
      <c r="K1843" s="9"/>
      <c r="L1843" s="59"/>
      <c r="M1843" s="7"/>
    </row>
    <row r="1844" spans="3:13" x14ac:dyDescent="0.35">
      <c r="C1844" s="7"/>
      <c r="D1844" s="7"/>
      <c r="E1844" s="7"/>
      <c r="F1844" s="7"/>
      <c r="G1844" s="93"/>
      <c r="H1844" s="75"/>
      <c r="I1844" s="75"/>
      <c r="J1844" s="61"/>
      <c r="K1844" s="9"/>
      <c r="L1844" s="59"/>
      <c r="M1844" s="7"/>
    </row>
    <row r="1845" spans="3:13" x14ac:dyDescent="0.35">
      <c r="C1845" s="7"/>
      <c r="D1845" s="7"/>
      <c r="E1845" s="7"/>
      <c r="F1845" s="7"/>
      <c r="G1845" s="93"/>
      <c r="H1845" s="75"/>
      <c r="I1845" s="75"/>
      <c r="J1845" s="61"/>
      <c r="K1845" s="9"/>
      <c r="L1845" s="59"/>
      <c r="M1845" s="7"/>
    </row>
    <row r="1846" spans="3:13" x14ac:dyDescent="0.35">
      <c r="C1846" s="7"/>
      <c r="D1846" s="7"/>
      <c r="E1846" s="7"/>
      <c r="F1846" s="7"/>
      <c r="G1846" s="93"/>
      <c r="H1846" s="75"/>
      <c r="I1846" s="75"/>
      <c r="J1846" s="61"/>
      <c r="K1846" s="9"/>
      <c r="L1846" s="59"/>
      <c r="M1846" s="7"/>
    </row>
    <row r="1847" spans="3:13" x14ac:dyDescent="0.35">
      <c r="C1847" s="7"/>
      <c r="D1847" s="7"/>
      <c r="E1847" s="7"/>
      <c r="F1847" s="7"/>
      <c r="G1847" s="93"/>
      <c r="H1847" s="75"/>
      <c r="I1847" s="75"/>
      <c r="J1847" s="61"/>
      <c r="K1847" s="9"/>
      <c r="L1847" s="59"/>
      <c r="M1847" s="7"/>
    </row>
    <row r="1848" spans="3:13" x14ac:dyDescent="0.35">
      <c r="C1848" s="7"/>
      <c r="D1848" s="7"/>
      <c r="E1848" s="7"/>
      <c r="F1848" s="7"/>
      <c r="G1848" s="93"/>
      <c r="H1848" s="75"/>
      <c r="I1848" s="75"/>
      <c r="J1848" s="61"/>
      <c r="K1848" s="9"/>
      <c r="L1848" s="59"/>
      <c r="M1848" s="7"/>
    </row>
    <row r="1849" spans="3:13" x14ac:dyDescent="0.35">
      <c r="C1849" s="7"/>
      <c r="D1849" s="7"/>
      <c r="E1849" s="7"/>
      <c r="F1849" s="7"/>
      <c r="G1849" s="93"/>
      <c r="H1849" s="75"/>
      <c r="I1849" s="75"/>
      <c r="J1849" s="61"/>
      <c r="K1849" s="9"/>
      <c r="L1849" s="59"/>
      <c r="M1849" s="7"/>
    </row>
    <row r="1850" spans="3:13" x14ac:dyDescent="0.35">
      <c r="C1850" s="7"/>
      <c r="D1850" s="7"/>
      <c r="E1850" s="7"/>
      <c r="F1850" s="7"/>
      <c r="G1850" s="93"/>
      <c r="H1850" s="75"/>
      <c r="I1850" s="75"/>
      <c r="J1850" s="61"/>
      <c r="K1850" s="9"/>
      <c r="L1850" s="59"/>
      <c r="M1850" s="7"/>
    </row>
    <row r="1851" spans="3:13" x14ac:dyDescent="0.35">
      <c r="C1851" s="7"/>
      <c r="D1851" s="7"/>
      <c r="E1851" s="7"/>
      <c r="F1851" s="7"/>
      <c r="G1851" s="93"/>
      <c r="H1851" s="75"/>
      <c r="I1851" s="75"/>
      <c r="J1851" s="61"/>
      <c r="K1851" s="9"/>
      <c r="L1851" s="59"/>
      <c r="M1851" s="7"/>
    </row>
    <row r="1852" spans="3:13" x14ac:dyDescent="0.35">
      <c r="C1852" s="7"/>
      <c r="D1852" s="7"/>
      <c r="E1852" s="7"/>
      <c r="F1852" s="7"/>
      <c r="G1852" s="93"/>
      <c r="H1852" s="75"/>
      <c r="I1852" s="75"/>
      <c r="J1852" s="61"/>
      <c r="K1852" s="9"/>
      <c r="L1852" s="59"/>
      <c r="M1852" s="7"/>
    </row>
    <row r="1853" spans="3:13" x14ac:dyDescent="0.35">
      <c r="C1853" s="7"/>
      <c r="D1853" s="7"/>
      <c r="E1853" s="7"/>
      <c r="F1853" s="7"/>
      <c r="G1853" s="93"/>
      <c r="H1853" s="75"/>
      <c r="I1853" s="75"/>
      <c r="J1853" s="61"/>
      <c r="K1853" s="9"/>
      <c r="L1853" s="59"/>
      <c r="M1853" s="7"/>
    </row>
    <row r="1854" spans="3:13" x14ac:dyDescent="0.35">
      <c r="C1854" s="7"/>
      <c r="D1854" s="7"/>
      <c r="E1854" s="7"/>
      <c r="F1854" s="7"/>
      <c r="G1854" s="93"/>
      <c r="H1854" s="75"/>
      <c r="I1854" s="75"/>
      <c r="J1854" s="61"/>
      <c r="K1854" s="9"/>
      <c r="L1854" s="59"/>
      <c r="M1854" s="7"/>
    </row>
    <row r="1855" spans="3:13" x14ac:dyDescent="0.35">
      <c r="C1855" s="7"/>
      <c r="D1855" s="7"/>
      <c r="E1855" s="7"/>
      <c r="F1855" s="7"/>
      <c r="G1855" s="93"/>
      <c r="H1855" s="75"/>
      <c r="I1855" s="75"/>
      <c r="J1855" s="61"/>
      <c r="K1855" s="9"/>
      <c r="L1855" s="59"/>
      <c r="M1855" s="7"/>
    </row>
    <row r="1856" spans="3:13" x14ac:dyDescent="0.35">
      <c r="C1856" s="7"/>
      <c r="D1856" s="7"/>
      <c r="E1856" s="7"/>
      <c r="F1856" s="7"/>
      <c r="G1856" s="93"/>
      <c r="H1856" s="75"/>
      <c r="I1856" s="75"/>
      <c r="J1856" s="61"/>
      <c r="K1856" s="9"/>
      <c r="L1856" s="59"/>
      <c r="M1856" s="7"/>
    </row>
    <row r="1857" spans="3:13" x14ac:dyDescent="0.35">
      <c r="C1857" s="7"/>
      <c r="D1857" s="7"/>
      <c r="E1857" s="7"/>
      <c r="F1857" s="7"/>
      <c r="G1857" s="93"/>
      <c r="H1857" s="75"/>
      <c r="I1857" s="75"/>
      <c r="J1857" s="61"/>
      <c r="K1857" s="9"/>
      <c r="L1857" s="59"/>
      <c r="M1857" s="7"/>
    </row>
    <row r="1858" spans="3:13" x14ac:dyDescent="0.35">
      <c r="C1858" s="7"/>
      <c r="D1858" s="7"/>
      <c r="E1858" s="7"/>
      <c r="F1858" s="7"/>
      <c r="G1858" s="93"/>
      <c r="H1858" s="75"/>
      <c r="I1858" s="75"/>
      <c r="J1858" s="61"/>
      <c r="K1858" s="9"/>
      <c r="L1858" s="59"/>
      <c r="M1858" s="7"/>
    </row>
    <row r="1859" spans="3:13" x14ac:dyDescent="0.35">
      <c r="C1859" s="7"/>
      <c r="D1859" s="7"/>
      <c r="E1859" s="7"/>
      <c r="F1859" s="7"/>
      <c r="G1859" s="93"/>
      <c r="H1859" s="75"/>
      <c r="I1859" s="75"/>
      <c r="J1859" s="61"/>
      <c r="K1859" s="9"/>
      <c r="L1859" s="59"/>
      <c r="M1859" s="7"/>
    </row>
    <row r="1860" spans="3:13" x14ac:dyDescent="0.35">
      <c r="C1860" s="7"/>
      <c r="D1860" s="7"/>
      <c r="E1860" s="7"/>
      <c r="F1860" s="7"/>
      <c r="G1860" s="93"/>
      <c r="H1860" s="75"/>
      <c r="I1860" s="75"/>
      <c r="J1860" s="61"/>
      <c r="K1860" s="9"/>
      <c r="L1860" s="59"/>
      <c r="M1860" s="7"/>
    </row>
    <row r="1861" spans="3:13" x14ac:dyDescent="0.35">
      <c r="C1861" s="7"/>
      <c r="D1861" s="7"/>
      <c r="E1861" s="7"/>
      <c r="F1861" s="7"/>
      <c r="G1861" s="93"/>
      <c r="H1861" s="75"/>
      <c r="I1861" s="75"/>
      <c r="J1861" s="61"/>
      <c r="K1861" s="9"/>
      <c r="L1861" s="59"/>
      <c r="M1861" s="7"/>
    </row>
    <row r="1862" spans="3:13" x14ac:dyDescent="0.35">
      <c r="C1862" s="7"/>
      <c r="D1862" s="7"/>
      <c r="E1862" s="7"/>
      <c r="F1862" s="7"/>
      <c r="G1862" s="93"/>
      <c r="H1862" s="75"/>
      <c r="I1862" s="75"/>
      <c r="J1862" s="61"/>
      <c r="K1862" s="9"/>
      <c r="L1862" s="59"/>
      <c r="M1862" s="7"/>
    </row>
    <row r="1863" spans="3:13" x14ac:dyDescent="0.35">
      <c r="C1863" s="7"/>
      <c r="D1863" s="7"/>
      <c r="E1863" s="7"/>
      <c r="F1863" s="7"/>
      <c r="G1863" s="93"/>
      <c r="H1863" s="75"/>
      <c r="I1863" s="75"/>
      <c r="J1863" s="61"/>
      <c r="K1863" s="9"/>
      <c r="L1863" s="59"/>
      <c r="M1863" s="7"/>
    </row>
    <row r="1864" spans="3:13" x14ac:dyDescent="0.35">
      <c r="C1864" s="7"/>
      <c r="D1864" s="7"/>
      <c r="E1864" s="7"/>
      <c r="F1864" s="7"/>
      <c r="G1864" s="93"/>
      <c r="H1864" s="75"/>
      <c r="I1864" s="75"/>
      <c r="J1864" s="61"/>
      <c r="K1864" s="9"/>
      <c r="L1864" s="59"/>
      <c r="M1864" s="7"/>
    </row>
    <row r="1865" spans="3:13" x14ac:dyDescent="0.35">
      <c r="C1865" s="7"/>
      <c r="D1865" s="7"/>
      <c r="E1865" s="7"/>
      <c r="F1865" s="7"/>
      <c r="G1865" s="93"/>
      <c r="H1865" s="75"/>
      <c r="I1865" s="75"/>
      <c r="J1865" s="61"/>
      <c r="K1865" s="9"/>
      <c r="L1865" s="59"/>
      <c r="M1865" s="7"/>
    </row>
    <row r="1866" spans="3:13" x14ac:dyDescent="0.35">
      <c r="C1866" s="7"/>
      <c r="D1866" s="7"/>
      <c r="E1866" s="7"/>
      <c r="F1866" s="7"/>
      <c r="G1866" s="93"/>
      <c r="H1866" s="75"/>
      <c r="I1866" s="75"/>
      <c r="J1866" s="61"/>
      <c r="K1866" s="9"/>
      <c r="L1866" s="59"/>
      <c r="M1866" s="7"/>
    </row>
    <row r="1867" spans="3:13" x14ac:dyDescent="0.35">
      <c r="C1867" s="7"/>
      <c r="D1867" s="7"/>
      <c r="E1867" s="7"/>
      <c r="F1867" s="7"/>
      <c r="G1867" s="93"/>
      <c r="H1867" s="75"/>
      <c r="I1867" s="75"/>
      <c r="J1867" s="61"/>
      <c r="K1867" s="9"/>
      <c r="L1867" s="59"/>
      <c r="M1867" s="7"/>
    </row>
    <row r="1868" spans="3:13" x14ac:dyDescent="0.35">
      <c r="C1868" s="7"/>
      <c r="D1868" s="7"/>
      <c r="E1868" s="7"/>
      <c r="F1868" s="7"/>
      <c r="G1868" s="93"/>
      <c r="H1868" s="75"/>
      <c r="I1868" s="75"/>
      <c r="J1868" s="61"/>
      <c r="K1868" s="9"/>
      <c r="L1868" s="59"/>
      <c r="M1868" s="7"/>
    </row>
    <row r="1869" spans="3:13" x14ac:dyDescent="0.35">
      <c r="C1869" s="7"/>
      <c r="D1869" s="7"/>
      <c r="E1869" s="7"/>
      <c r="F1869" s="7"/>
      <c r="G1869" s="93"/>
      <c r="H1869" s="75"/>
      <c r="I1869" s="75"/>
      <c r="J1869" s="61"/>
      <c r="K1869" s="9"/>
      <c r="L1869" s="59"/>
      <c r="M1869" s="7"/>
    </row>
    <row r="1870" spans="3:13" x14ac:dyDescent="0.35">
      <c r="C1870" s="7"/>
      <c r="D1870" s="7"/>
      <c r="E1870" s="7"/>
      <c r="F1870" s="7"/>
      <c r="G1870" s="93"/>
      <c r="H1870" s="75"/>
      <c r="I1870" s="75"/>
      <c r="J1870" s="61"/>
      <c r="K1870" s="9"/>
      <c r="L1870" s="59"/>
      <c r="M1870" s="7"/>
    </row>
    <row r="1871" spans="3:13" x14ac:dyDescent="0.35">
      <c r="C1871" s="7"/>
      <c r="D1871" s="7"/>
      <c r="E1871" s="7"/>
      <c r="F1871" s="7"/>
      <c r="G1871" s="93"/>
      <c r="H1871" s="75"/>
      <c r="I1871" s="75"/>
      <c r="J1871" s="61"/>
      <c r="K1871" s="9"/>
      <c r="L1871" s="59"/>
      <c r="M1871" s="7"/>
    </row>
    <row r="1872" spans="3:13" x14ac:dyDescent="0.35">
      <c r="C1872" s="7"/>
      <c r="D1872" s="7"/>
      <c r="E1872" s="7"/>
      <c r="F1872" s="7"/>
      <c r="G1872" s="93"/>
      <c r="H1872" s="75"/>
      <c r="I1872" s="75"/>
      <c r="J1872" s="61"/>
      <c r="K1872" s="9"/>
      <c r="L1872" s="59"/>
      <c r="M1872" s="7"/>
    </row>
    <row r="1873" spans="3:13" x14ac:dyDescent="0.35">
      <c r="C1873" s="7"/>
      <c r="D1873" s="7"/>
      <c r="E1873" s="7"/>
      <c r="F1873" s="7"/>
      <c r="G1873" s="93"/>
      <c r="H1873" s="75"/>
      <c r="I1873" s="75"/>
      <c r="J1873" s="61"/>
      <c r="K1873" s="9"/>
      <c r="L1873" s="59"/>
      <c r="M1873" s="7"/>
    </row>
    <row r="1874" spans="3:13" x14ac:dyDescent="0.35">
      <c r="C1874" s="7"/>
      <c r="D1874" s="7"/>
      <c r="E1874" s="7"/>
      <c r="F1874" s="7"/>
      <c r="G1874" s="93"/>
      <c r="H1874" s="75"/>
      <c r="I1874" s="75"/>
      <c r="J1874" s="61"/>
      <c r="K1874" s="9"/>
      <c r="L1874" s="59"/>
      <c r="M1874" s="7"/>
    </row>
    <row r="1875" spans="3:13" x14ac:dyDescent="0.35">
      <c r="C1875" s="7"/>
      <c r="D1875" s="7"/>
      <c r="E1875" s="7"/>
      <c r="F1875" s="7"/>
      <c r="G1875" s="93"/>
      <c r="H1875" s="75"/>
      <c r="I1875" s="75"/>
      <c r="J1875" s="61"/>
      <c r="K1875" s="9"/>
      <c r="L1875" s="59"/>
      <c r="M1875" s="7"/>
    </row>
    <row r="1876" spans="3:13" x14ac:dyDescent="0.35">
      <c r="C1876" s="7"/>
      <c r="D1876" s="7"/>
      <c r="E1876" s="7"/>
      <c r="F1876" s="7"/>
      <c r="G1876" s="93"/>
      <c r="H1876" s="75"/>
      <c r="I1876" s="75"/>
      <c r="J1876" s="61"/>
      <c r="K1876" s="9"/>
      <c r="L1876" s="59"/>
      <c r="M1876" s="7"/>
    </row>
    <row r="1877" spans="3:13" x14ac:dyDescent="0.35">
      <c r="C1877" s="7"/>
      <c r="D1877" s="7"/>
      <c r="E1877" s="7"/>
      <c r="F1877" s="7"/>
      <c r="G1877" s="93"/>
      <c r="H1877" s="75"/>
      <c r="I1877" s="75"/>
      <c r="J1877" s="61"/>
      <c r="K1877" s="9"/>
      <c r="L1877" s="59"/>
      <c r="M1877" s="7"/>
    </row>
    <row r="1878" spans="3:13" x14ac:dyDescent="0.35">
      <c r="C1878" s="7"/>
      <c r="D1878" s="7"/>
      <c r="E1878" s="7"/>
      <c r="F1878" s="7"/>
      <c r="G1878" s="93"/>
      <c r="H1878" s="75"/>
      <c r="I1878" s="75"/>
      <c r="J1878" s="61"/>
      <c r="K1878" s="9"/>
      <c r="L1878" s="59"/>
      <c r="M1878" s="7"/>
    </row>
    <row r="1879" spans="3:13" x14ac:dyDescent="0.35">
      <c r="C1879" s="7"/>
      <c r="D1879" s="7"/>
      <c r="E1879" s="7"/>
      <c r="F1879" s="7"/>
      <c r="G1879" s="93"/>
      <c r="H1879" s="75"/>
      <c r="I1879" s="75"/>
      <c r="J1879" s="61"/>
      <c r="K1879" s="9"/>
      <c r="L1879" s="59"/>
      <c r="M1879" s="7"/>
    </row>
    <row r="1880" spans="3:13" x14ac:dyDescent="0.35">
      <c r="C1880" s="7"/>
      <c r="D1880" s="7"/>
      <c r="E1880" s="7"/>
      <c r="F1880" s="7"/>
      <c r="G1880" s="93"/>
      <c r="H1880" s="75"/>
      <c r="I1880" s="75"/>
      <c r="J1880" s="61"/>
      <c r="K1880" s="9"/>
      <c r="L1880" s="59"/>
      <c r="M1880" s="7"/>
    </row>
    <row r="1881" spans="3:13" x14ac:dyDescent="0.35">
      <c r="C1881" s="7"/>
      <c r="D1881" s="7"/>
      <c r="E1881" s="7"/>
      <c r="F1881" s="7"/>
      <c r="G1881" s="93"/>
      <c r="H1881" s="75"/>
      <c r="I1881" s="75"/>
      <c r="J1881" s="61"/>
      <c r="K1881" s="9"/>
      <c r="L1881" s="59"/>
      <c r="M1881" s="7"/>
    </row>
    <row r="1882" spans="3:13" x14ac:dyDescent="0.35">
      <c r="C1882" s="7"/>
      <c r="D1882" s="7"/>
      <c r="E1882" s="7"/>
      <c r="F1882" s="7"/>
      <c r="G1882" s="93"/>
      <c r="H1882" s="75"/>
      <c r="I1882" s="75"/>
      <c r="J1882" s="61"/>
      <c r="K1882" s="9"/>
      <c r="L1882" s="59"/>
      <c r="M1882" s="7"/>
    </row>
    <row r="1883" spans="3:13" x14ac:dyDescent="0.35">
      <c r="C1883" s="7"/>
      <c r="D1883" s="7"/>
      <c r="E1883" s="7"/>
      <c r="F1883" s="7"/>
      <c r="G1883" s="93"/>
      <c r="H1883" s="75"/>
      <c r="I1883" s="75"/>
      <c r="J1883" s="61"/>
      <c r="K1883" s="9"/>
      <c r="L1883" s="59"/>
      <c r="M1883" s="7"/>
    </row>
    <row r="1884" spans="3:13" x14ac:dyDescent="0.35">
      <c r="C1884" s="7"/>
      <c r="D1884" s="7"/>
      <c r="E1884" s="7"/>
      <c r="F1884" s="7"/>
      <c r="G1884" s="93"/>
      <c r="H1884" s="75"/>
      <c r="I1884" s="75"/>
      <c r="J1884" s="61"/>
      <c r="K1884" s="9"/>
      <c r="L1884" s="59"/>
      <c r="M1884" s="7"/>
    </row>
    <row r="1885" spans="3:13" x14ac:dyDescent="0.35">
      <c r="C1885" s="7"/>
      <c r="D1885" s="7"/>
      <c r="E1885" s="7"/>
      <c r="F1885" s="7"/>
      <c r="G1885" s="93"/>
      <c r="H1885" s="75"/>
      <c r="I1885" s="75"/>
      <c r="J1885" s="61"/>
      <c r="K1885" s="9"/>
      <c r="L1885" s="59"/>
      <c r="M1885" s="7"/>
    </row>
    <row r="1886" spans="3:13" x14ac:dyDescent="0.35">
      <c r="C1886" s="7"/>
      <c r="D1886" s="7"/>
      <c r="E1886" s="7"/>
      <c r="F1886" s="7"/>
      <c r="G1886" s="93"/>
      <c r="H1886" s="75"/>
      <c r="I1886" s="75"/>
      <c r="J1886" s="61"/>
      <c r="K1886" s="9"/>
      <c r="L1886" s="59"/>
      <c r="M1886" s="7"/>
    </row>
    <row r="1887" spans="3:13" x14ac:dyDescent="0.35">
      <c r="C1887" s="7"/>
      <c r="D1887" s="7"/>
      <c r="E1887" s="7"/>
      <c r="F1887" s="7"/>
      <c r="G1887" s="93"/>
      <c r="H1887" s="75"/>
      <c r="I1887" s="75"/>
      <c r="J1887" s="61"/>
      <c r="K1887" s="9"/>
      <c r="L1887" s="59"/>
      <c r="M1887" s="7"/>
    </row>
    <row r="1888" spans="3:13" x14ac:dyDescent="0.35">
      <c r="C1888" s="7"/>
      <c r="D1888" s="7"/>
      <c r="E1888" s="7"/>
      <c r="F1888" s="7"/>
      <c r="G1888" s="93"/>
      <c r="H1888" s="75"/>
      <c r="I1888" s="75"/>
      <c r="J1888" s="61"/>
      <c r="K1888" s="9"/>
      <c r="L1888" s="59"/>
      <c r="M1888" s="7"/>
    </row>
    <row r="1889" spans="3:13" x14ac:dyDescent="0.35">
      <c r="C1889" s="7"/>
      <c r="D1889" s="7"/>
      <c r="E1889" s="7"/>
      <c r="F1889" s="7"/>
      <c r="G1889" s="93"/>
      <c r="H1889" s="75"/>
      <c r="I1889" s="75"/>
      <c r="J1889" s="61"/>
      <c r="K1889" s="9"/>
      <c r="L1889" s="59"/>
      <c r="M1889" s="7"/>
    </row>
    <row r="1890" spans="3:13" x14ac:dyDescent="0.35">
      <c r="C1890" s="7"/>
      <c r="D1890" s="7"/>
      <c r="E1890" s="7"/>
      <c r="F1890" s="7"/>
      <c r="G1890" s="93"/>
      <c r="H1890" s="75"/>
      <c r="I1890" s="75"/>
      <c r="J1890" s="61"/>
      <c r="K1890" s="9"/>
      <c r="L1890" s="59"/>
      <c r="M1890" s="7"/>
    </row>
    <row r="1891" spans="3:13" x14ac:dyDescent="0.35">
      <c r="C1891" s="7"/>
      <c r="D1891" s="7"/>
      <c r="E1891" s="7"/>
      <c r="F1891" s="7"/>
      <c r="G1891" s="93"/>
      <c r="H1891" s="75"/>
      <c r="I1891" s="75"/>
      <c r="J1891" s="61"/>
      <c r="K1891" s="9"/>
      <c r="L1891" s="59"/>
      <c r="M1891" s="7"/>
    </row>
    <row r="1892" spans="3:13" x14ac:dyDescent="0.35">
      <c r="C1892" s="7"/>
      <c r="D1892" s="7"/>
      <c r="E1892" s="7"/>
      <c r="F1892" s="7"/>
      <c r="G1892" s="93"/>
      <c r="H1892" s="75"/>
      <c r="I1892" s="75"/>
      <c r="J1892" s="61"/>
      <c r="K1892" s="9"/>
      <c r="L1892" s="59"/>
      <c r="M1892" s="7"/>
    </row>
    <row r="1893" spans="3:13" x14ac:dyDescent="0.35">
      <c r="C1893" s="7"/>
      <c r="D1893" s="7"/>
      <c r="E1893" s="7"/>
      <c r="F1893" s="7"/>
      <c r="G1893" s="93"/>
      <c r="H1893" s="75"/>
      <c r="I1893" s="75"/>
      <c r="J1893" s="61"/>
      <c r="K1893" s="9"/>
      <c r="L1893" s="59"/>
      <c r="M1893" s="7"/>
    </row>
    <row r="1894" spans="3:13" x14ac:dyDescent="0.35">
      <c r="C1894" s="7"/>
      <c r="D1894" s="7"/>
      <c r="E1894" s="7"/>
      <c r="F1894" s="7"/>
      <c r="G1894" s="93"/>
      <c r="H1894" s="75"/>
      <c r="I1894" s="75"/>
      <c r="J1894" s="61"/>
      <c r="K1894" s="9"/>
      <c r="L1894" s="59"/>
      <c r="M1894" s="7"/>
    </row>
    <row r="1895" spans="3:13" x14ac:dyDescent="0.35">
      <c r="C1895" s="7"/>
      <c r="D1895" s="7"/>
      <c r="E1895" s="7"/>
      <c r="F1895" s="7"/>
      <c r="G1895" s="93"/>
      <c r="H1895" s="75"/>
      <c r="I1895" s="75"/>
      <c r="J1895" s="61"/>
      <c r="K1895" s="9"/>
      <c r="L1895" s="59"/>
      <c r="M1895" s="7"/>
    </row>
    <row r="1896" spans="3:13" x14ac:dyDescent="0.35">
      <c r="C1896" s="7"/>
      <c r="D1896" s="7"/>
      <c r="E1896" s="7"/>
      <c r="F1896" s="7"/>
      <c r="G1896" s="93"/>
      <c r="H1896" s="75"/>
      <c r="I1896" s="75"/>
      <c r="J1896" s="61"/>
      <c r="K1896" s="9"/>
      <c r="L1896" s="59"/>
      <c r="M1896" s="7"/>
    </row>
    <row r="1897" spans="3:13" x14ac:dyDescent="0.35">
      <c r="C1897" s="7"/>
      <c r="D1897" s="7"/>
      <c r="E1897" s="7"/>
      <c r="F1897" s="7"/>
      <c r="G1897" s="93"/>
      <c r="H1897" s="75"/>
      <c r="I1897" s="75"/>
      <c r="J1897" s="61"/>
      <c r="K1897" s="7"/>
      <c r="L1897" s="59"/>
      <c r="M1897" s="7"/>
    </row>
    <row r="1898" spans="3:13" x14ac:dyDescent="0.35">
      <c r="C1898" s="7"/>
      <c r="D1898" s="7"/>
      <c r="E1898" s="7"/>
      <c r="F1898" s="7"/>
      <c r="G1898" s="93"/>
      <c r="H1898" s="75"/>
      <c r="I1898" s="75"/>
      <c r="J1898" s="61"/>
      <c r="K1898" s="7"/>
      <c r="L1898" s="59"/>
      <c r="M1898" s="7"/>
    </row>
    <row r="1899" spans="3:13" x14ac:dyDescent="0.35">
      <c r="C1899" s="7"/>
      <c r="D1899" s="7"/>
      <c r="E1899" s="7"/>
      <c r="F1899" s="7"/>
      <c r="G1899" s="93"/>
      <c r="H1899" s="75"/>
      <c r="I1899" s="75"/>
      <c r="J1899" s="61"/>
      <c r="K1899" s="7"/>
      <c r="L1899" s="59"/>
      <c r="M1899" s="7"/>
    </row>
    <row r="1900" spans="3:13" x14ac:dyDescent="0.35">
      <c r="C1900" s="7"/>
      <c r="D1900" s="7"/>
      <c r="E1900" s="7"/>
      <c r="F1900" s="7"/>
      <c r="G1900" s="93"/>
      <c r="H1900" s="75"/>
      <c r="I1900" s="75"/>
      <c r="J1900" s="61"/>
      <c r="K1900" s="7"/>
      <c r="L1900" s="59"/>
      <c r="M1900" s="7"/>
    </row>
    <row r="1901" spans="3:13" x14ac:dyDescent="0.35">
      <c r="C1901" s="7"/>
      <c r="D1901" s="7"/>
      <c r="E1901" s="7"/>
      <c r="F1901" s="7"/>
      <c r="G1901" s="93"/>
      <c r="H1901" s="75"/>
      <c r="I1901" s="75"/>
      <c r="J1901" s="61"/>
      <c r="K1901" s="7"/>
      <c r="L1901" s="59"/>
      <c r="M1901" s="7"/>
    </row>
    <row r="1902" spans="3:13" x14ac:dyDescent="0.35">
      <c r="C1902" s="7"/>
      <c r="D1902" s="7"/>
      <c r="E1902" s="7"/>
      <c r="F1902" s="7"/>
      <c r="G1902" s="93"/>
      <c r="H1902" s="75"/>
      <c r="I1902" s="75"/>
      <c r="J1902" s="61"/>
      <c r="K1902" s="7"/>
      <c r="L1902" s="59"/>
      <c r="M1902" s="7"/>
    </row>
    <row r="1903" spans="3:13" x14ac:dyDescent="0.35">
      <c r="C1903" s="7"/>
      <c r="D1903" s="7"/>
      <c r="E1903" s="7"/>
      <c r="F1903" s="7"/>
      <c r="G1903" s="93"/>
      <c r="H1903" s="75"/>
      <c r="I1903" s="75"/>
      <c r="J1903" s="61"/>
      <c r="K1903" s="7"/>
      <c r="L1903" s="59"/>
      <c r="M1903" s="7"/>
    </row>
    <row r="1904" spans="3:13" x14ac:dyDescent="0.35">
      <c r="C1904" s="7"/>
      <c r="D1904" s="7"/>
      <c r="E1904" s="7"/>
      <c r="F1904" s="7"/>
      <c r="G1904" s="93"/>
      <c r="H1904" s="75"/>
      <c r="I1904" s="75"/>
      <c r="J1904" s="61"/>
      <c r="K1904" s="7"/>
      <c r="L1904" s="59"/>
      <c r="M1904" s="7"/>
    </row>
    <row r="1905" spans="3:13" x14ac:dyDescent="0.35">
      <c r="C1905" s="7"/>
      <c r="D1905" s="7"/>
      <c r="E1905" s="7"/>
      <c r="F1905" s="7"/>
      <c r="G1905" s="93"/>
      <c r="H1905" s="75"/>
      <c r="I1905" s="75"/>
      <c r="J1905" s="61"/>
      <c r="K1905" s="7"/>
      <c r="L1905" s="59"/>
      <c r="M1905" s="7"/>
    </row>
    <row r="1906" spans="3:13" x14ac:dyDescent="0.35">
      <c r="C1906" s="7"/>
      <c r="D1906" s="7"/>
      <c r="E1906" s="7"/>
      <c r="F1906" s="7"/>
      <c r="G1906" s="93"/>
      <c r="H1906" s="75"/>
      <c r="I1906" s="75"/>
      <c r="J1906" s="61"/>
      <c r="K1906" s="7"/>
      <c r="L1906" s="59"/>
      <c r="M1906" s="7"/>
    </row>
    <row r="1907" spans="3:13" x14ac:dyDescent="0.35">
      <c r="C1907" s="7"/>
      <c r="D1907" s="7"/>
      <c r="E1907" s="7"/>
      <c r="F1907" s="7"/>
      <c r="G1907" s="93"/>
      <c r="H1907" s="75"/>
      <c r="I1907" s="75"/>
      <c r="J1907" s="61"/>
      <c r="K1907" s="7"/>
      <c r="L1907" s="59"/>
      <c r="M1907" s="7"/>
    </row>
    <row r="1908" spans="3:13" x14ac:dyDescent="0.35">
      <c r="C1908" s="7"/>
      <c r="D1908" s="7"/>
      <c r="E1908" s="7"/>
      <c r="F1908" s="7"/>
      <c r="G1908" s="93"/>
      <c r="H1908" s="75"/>
      <c r="I1908" s="75"/>
      <c r="J1908" s="61"/>
      <c r="K1908" s="7"/>
      <c r="L1908" s="59"/>
      <c r="M1908" s="7"/>
    </row>
    <row r="1909" spans="3:13" x14ac:dyDescent="0.35">
      <c r="C1909" s="7"/>
      <c r="D1909" s="7"/>
      <c r="E1909" s="7"/>
      <c r="F1909" s="7"/>
      <c r="G1909" s="93"/>
      <c r="H1909" s="75"/>
      <c r="I1909" s="75"/>
      <c r="J1909" s="61"/>
      <c r="K1909" s="7"/>
      <c r="L1909" s="59"/>
      <c r="M1909" s="7"/>
    </row>
    <row r="1910" spans="3:13" x14ac:dyDescent="0.35">
      <c r="C1910" s="7"/>
      <c r="D1910" s="7"/>
      <c r="E1910" s="7"/>
      <c r="F1910" s="7"/>
      <c r="G1910" s="93"/>
      <c r="H1910" s="75"/>
      <c r="I1910" s="75"/>
      <c r="J1910" s="61"/>
      <c r="K1910" s="7"/>
      <c r="L1910" s="59"/>
      <c r="M1910" s="7"/>
    </row>
    <row r="1911" spans="3:13" x14ac:dyDescent="0.35">
      <c r="C1911" s="7"/>
      <c r="D1911" s="7"/>
      <c r="E1911" s="7"/>
      <c r="F1911" s="7"/>
      <c r="G1911" s="93"/>
      <c r="H1911" s="75"/>
      <c r="I1911" s="75"/>
      <c r="J1911" s="61"/>
      <c r="K1911" s="7"/>
      <c r="L1911" s="59"/>
      <c r="M1911" s="7"/>
    </row>
    <row r="1912" spans="3:13" x14ac:dyDescent="0.35">
      <c r="C1912" s="7"/>
      <c r="D1912" s="7"/>
      <c r="E1912" s="7"/>
      <c r="F1912" s="7"/>
      <c r="G1912" s="93"/>
      <c r="H1912" s="75"/>
      <c r="I1912" s="75"/>
      <c r="J1912" s="61"/>
      <c r="K1912" s="7"/>
      <c r="L1912" s="59"/>
      <c r="M1912" s="7"/>
    </row>
    <row r="1913" spans="3:13" x14ac:dyDescent="0.35">
      <c r="C1913" s="7"/>
      <c r="D1913" s="7"/>
      <c r="E1913" s="7"/>
      <c r="F1913" s="7"/>
      <c r="G1913" s="93"/>
      <c r="H1913" s="75"/>
      <c r="I1913" s="75"/>
      <c r="J1913" s="61"/>
      <c r="K1913" s="7"/>
      <c r="L1913" s="59"/>
      <c r="M1913" s="7"/>
    </row>
    <row r="1914" spans="3:13" x14ac:dyDescent="0.35">
      <c r="C1914" s="7"/>
      <c r="D1914" s="7"/>
      <c r="E1914" s="7"/>
      <c r="F1914" s="7"/>
      <c r="G1914" s="93"/>
      <c r="H1914" s="75"/>
      <c r="I1914" s="75"/>
      <c r="J1914" s="61"/>
      <c r="K1914" s="7"/>
      <c r="L1914" s="59"/>
      <c r="M1914" s="7"/>
    </row>
    <row r="1915" spans="3:13" x14ac:dyDescent="0.35">
      <c r="C1915" s="7"/>
      <c r="D1915" s="7"/>
      <c r="E1915" s="7"/>
      <c r="F1915" s="7"/>
      <c r="G1915" s="93"/>
      <c r="H1915" s="75"/>
      <c r="I1915" s="75"/>
      <c r="J1915" s="61"/>
      <c r="K1915" s="7"/>
      <c r="L1915" s="59"/>
      <c r="M1915" s="7"/>
    </row>
    <row r="1916" spans="3:13" x14ac:dyDescent="0.35">
      <c r="C1916" s="7"/>
      <c r="D1916" s="7"/>
      <c r="E1916" s="7"/>
      <c r="F1916" s="7"/>
      <c r="G1916" s="93"/>
      <c r="H1916" s="75"/>
      <c r="I1916" s="75"/>
      <c r="J1916" s="61"/>
      <c r="K1916" s="7"/>
      <c r="L1916" s="59"/>
      <c r="M1916" s="7"/>
    </row>
    <row r="1917" spans="3:13" x14ac:dyDescent="0.35">
      <c r="C1917" s="7"/>
      <c r="D1917" s="7"/>
      <c r="E1917" s="7"/>
      <c r="F1917" s="7"/>
      <c r="G1917" s="93"/>
      <c r="H1917" s="75"/>
      <c r="I1917" s="75"/>
      <c r="J1917" s="61"/>
      <c r="K1917" s="7"/>
      <c r="L1917" s="59"/>
      <c r="M1917" s="7"/>
    </row>
    <row r="1918" spans="3:13" x14ac:dyDescent="0.35">
      <c r="C1918" s="7"/>
      <c r="D1918" s="7"/>
      <c r="E1918" s="7"/>
      <c r="F1918" s="7"/>
      <c r="G1918" s="93"/>
      <c r="H1918" s="75"/>
      <c r="I1918" s="75"/>
      <c r="J1918" s="61"/>
      <c r="K1918" s="7"/>
      <c r="L1918" s="59"/>
      <c r="M1918" s="7"/>
    </row>
    <row r="1919" spans="3:13" x14ac:dyDescent="0.35">
      <c r="C1919" s="7"/>
      <c r="D1919" s="7"/>
      <c r="E1919" s="7"/>
      <c r="F1919" s="7"/>
      <c r="G1919" s="93"/>
      <c r="H1919" s="75"/>
      <c r="I1919" s="75"/>
      <c r="J1919" s="61"/>
      <c r="K1919" s="7"/>
      <c r="L1919" s="59"/>
      <c r="M1919" s="7"/>
    </row>
    <row r="1920" spans="3:13" x14ac:dyDescent="0.35">
      <c r="C1920" s="7"/>
      <c r="D1920" s="7"/>
      <c r="E1920" s="7"/>
      <c r="F1920" s="7"/>
      <c r="G1920" s="93"/>
      <c r="H1920" s="75"/>
      <c r="I1920" s="75"/>
      <c r="J1920" s="61"/>
      <c r="K1920" s="7"/>
      <c r="L1920" s="59"/>
      <c r="M1920" s="7"/>
    </row>
    <row r="1921" spans="3:13" x14ac:dyDescent="0.35">
      <c r="C1921" s="7"/>
      <c r="D1921" s="7"/>
      <c r="E1921" s="7"/>
      <c r="F1921" s="7"/>
      <c r="G1921" s="93"/>
      <c r="H1921" s="75"/>
      <c r="I1921" s="75"/>
      <c r="J1921" s="61"/>
      <c r="K1921" s="7"/>
      <c r="L1921" s="59"/>
      <c r="M1921" s="7"/>
    </row>
    <row r="1922" spans="3:13" x14ac:dyDescent="0.35">
      <c r="C1922" s="7"/>
      <c r="D1922" s="7"/>
      <c r="E1922" s="7"/>
      <c r="F1922" s="7"/>
      <c r="G1922" s="93"/>
      <c r="H1922" s="75"/>
      <c r="I1922" s="75"/>
      <c r="J1922" s="61"/>
      <c r="K1922" s="7"/>
      <c r="L1922" s="59"/>
      <c r="M1922" s="7"/>
    </row>
    <row r="1923" spans="3:13" x14ac:dyDescent="0.35">
      <c r="C1923" s="7"/>
      <c r="D1923" s="7"/>
      <c r="E1923" s="7"/>
      <c r="F1923" s="7"/>
      <c r="G1923" s="93"/>
      <c r="H1923" s="75"/>
      <c r="I1923" s="75"/>
      <c r="J1923" s="61"/>
      <c r="K1923" s="7"/>
      <c r="L1923" s="59"/>
      <c r="M1923" s="7"/>
    </row>
    <row r="1924" spans="3:13" x14ac:dyDescent="0.35">
      <c r="C1924" s="7"/>
      <c r="D1924" s="7"/>
      <c r="E1924" s="7"/>
      <c r="F1924" s="7"/>
      <c r="G1924" s="93"/>
      <c r="H1924" s="75"/>
      <c r="I1924" s="75"/>
      <c r="J1924" s="61"/>
      <c r="K1924" s="7"/>
      <c r="L1924" s="59"/>
      <c r="M1924" s="7"/>
    </row>
    <row r="1925" spans="3:13" x14ac:dyDescent="0.35">
      <c r="C1925" s="7"/>
      <c r="D1925" s="7"/>
      <c r="E1925" s="7"/>
      <c r="F1925" s="7"/>
      <c r="G1925" s="93"/>
      <c r="H1925" s="75"/>
      <c r="I1925" s="75"/>
      <c r="J1925" s="61"/>
      <c r="K1925" s="7"/>
      <c r="L1925" s="59"/>
      <c r="M1925" s="7"/>
    </row>
    <row r="1926" spans="3:13" x14ac:dyDescent="0.35">
      <c r="C1926" s="7"/>
      <c r="D1926" s="7"/>
      <c r="E1926" s="7"/>
      <c r="F1926" s="7"/>
      <c r="G1926" s="93"/>
      <c r="H1926" s="75"/>
      <c r="I1926" s="75"/>
      <c r="J1926" s="61"/>
      <c r="K1926" s="7"/>
      <c r="L1926" s="59"/>
      <c r="M1926" s="7"/>
    </row>
    <row r="1927" spans="3:13" x14ac:dyDescent="0.35">
      <c r="C1927" s="7"/>
      <c r="D1927" s="7"/>
      <c r="E1927" s="7"/>
      <c r="F1927" s="7"/>
      <c r="G1927" s="93"/>
      <c r="H1927" s="75"/>
      <c r="I1927" s="75"/>
      <c r="J1927" s="61"/>
      <c r="K1927" s="7"/>
      <c r="L1927" s="59"/>
      <c r="M1927" s="7"/>
    </row>
    <row r="1928" spans="3:13" x14ac:dyDescent="0.35">
      <c r="C1928" s="7"/>
      <c r="D1928" s="7"/>
      <c r="E1928" s="7"/>
      <c r="F1928" s="7"/>
      <c r="G1928" s="93"/>
      <c r="H1928" s="75"/>
      <c r="I1928" s="75"/>
      <c r="J1928" s="61"/>
      <c r="K1928" s="7"/>
      <c r="L1928" s="59"/>
      <c r="M1928" s="7"/>
    </row>
    <row r="1929" spans="3:13" x14ac:dyDescent="0.35">
      <c r="C1929" s="7"/>
      <c r="D1929" s="7"/>
      <c r="E1929" s="7"/>
      <c r="F1929" s="7"/>
      <c r="G1929" s="93"/>
      <c r="H1929" s="75"/>
      <c r="I1929" s="75"/>
      <c r="J1929" s="61"/>
      <c r="K1929" s="7"/>
      <c r="L1929" s="59"/>
      <c r="M1929" s="7"/>
    </row>
    <row r="1930" spans="3:13" x14ac:dyDescent="0.35">
      <c r="C1930" s="7"/>
      <c r="D1930" s="7"/>
      <c r="E1930" s="7"/>
      <c r="F1930" s="7"/>
      <c r="G1930" s="93"/>
      <c r="H1930" s="75"/>
      <c r="I1930" s="75"/>
      <c r="J1930" s="61"/>
      <c r="K1930" s="7"/>
      <c r="L1930" s="59"/>
      <c r="M1930" s="7"/>
    </row>
    <row r="1931" spans="3:13" x14ac:dyDescent="0.35">
      <c r="C1931" s="7"/>
      <c r="D1931" s="7"/>
      <c r="E1931" s="7"/>
      <c r="F1931" s="7"/>
      <c r="G1931" s="93"/>
      <c r="H1931" s="75"/>
      <c r="I1931" s="75"/>
      <c r="J1931" s="61"/>
      <c r="K1931" s="7"/>
      <c r="L1931" s="59"/>
      <c r="M1931" s="7"/>
    </row>
    <row r="1932" spans="3:13" x14ac:dyDescent="0.35">
      <c r="C1932" s="7"/>
      <c r="D1932" s="7"/>
      <c r="E1932" s="7"/>
      <c r="F1932" s="7"/>
      <c r="G1932" s="93"/>
      <c r="H1932" s="75"/>
      <c r="I1932" s="75"/>
      <c r="J1932" s="61"/>
      <c r="K1932" s="7"/>
      <c r="L1932" s="59"/>
      <c r="M1932" s="7"/>
    </row>
    <row r="1933" spans="3:13" x14ac:dyDescent="0.35">
      <c r="C1933" s="7"/>
      <c r="D1933" s="7"/>
      <c r="E1933" s="7"/>
      <c r="F1933" s="7"/>
      <c r="G1933" s="93"/>
      <c r="H1933" s="75"/>
      <c r="I1933" s="75"/>
      <c r="J1933" s="61"/>
      <c r="K1933" s="7"/>
      <c r="L1933" s="59"/>
      <c r="M1933" s="7"/>
    </row>
    <row r="1934" spans="3:13" x14ac:dyDescent="0.35">
      <c r="C1934" s="7"/>
      <c r="D1934" s="7"/>
      <c r="E1934" s="7"/>
      <c r="F1934" s="7"/>
      <c r="G1934" s="93"/>
      <c r="H1934" s="75"/>
      <c r="I1934" s="75"/>
      <c r="J1934" s="61"/>
      <c r="K1934" s="7"/>
      <c r="L1934" s="59"/>
      <c r="M1934" s="7"/>
    </row>
    <row r="1935" spans="3:13" x14ac:dyDescent="0.35">
      <c r="C1935" s="7"/>
      <c r="D1935" s="7"/>
      <c r="E1935" s="7"/>
      <c r="F1935" s="7"/>
      <c r="G1935" s="93"/>
      <c r="H1935" s="75"/>
      <c r="I1935" s="75"/>
      <c r="J1935" s="61"/>
      <c r="K1935" s="7"/>
      <c r="L1935" s="59"/>
      <c r="M1935" s="7"/>
    </row>
    <row r="1936" spans="3:13" x14ac:dyDescent="0.35">
      <c r="C1936" s="7"/>
      <c r="D1936" s="7"/>
      <c r="E1936" s="7"/>
      <c r="F1936" s="7"/>
      <c r="G1936" s="93"/>
      <c r="H1936" s="75"/>
      <c r="I1936" s="75"/>
      <c r="J1936" s="61"/>
      <c r="K1936" s="7"/>
      <c r="L1936" s="59"/>
      <c r="M1936" s="7"/>
    </row>
    <row r="1937" spans="3:13" x14ac:dyDescent="0.35">
      <c r="C1937" s="7"/>
      <c r="D1937" s="7"/>
      <c r="E1937" s="7"/>
      <c r="F1937" s="7"/>
      <c r="G1937" s="93"/>
      <c r="H1937" s="75"/>
      <c r="I1937" s="75"/>
      <c r="J1937" s="61"/>
      <c r="K1937" s="7"/>
      <c r="L1937" s="59"/>
      <c r="M1937" s="7"/>
    </row>
    <row r="1938" spans="3:13" x14ac:dyDescent="0.35">
      <c r="C1938" s="7"/>
      <c r="D1938" s="7"/>
      <c r="E1938" s="7"/>
      <c r="F1938" s="7"/>
      <c r="G1938" s="93"/>
      <c r="H1938" s="75"/>
      <c r="I1938" s="75"/>
      <c r="J1938" s="61"/>
      <c r="K1938" s="7"/>
      <c r="L1938" s="59"/>
      <c r="M1938" s="7"/>
    </row>
    <row r="1939" spans="3:13" x14ac:dyDescent="0.35">
      <c r="C1939" s="7"/>
      <c r="D1939" s="7"/>
      <c r="E1939" s="7"/>
      <c r="F1939" s="7"/>
      <c r="G1939" s="93"/>
      <c r="H1939" s="75"/>
      <c r="I1939" s="75"/>
      <c r="J1939" s="61"/>
      <c r="K1939" s="7"/>
      <c r="L1939" s="59"/>
      <c r="M1939" s="7"/>
    </row>
    <row r="1940" spans="3:13" x14ac:dyDescent="0.35">
      <c r="C1940" s="7"/>
      <c r="D1940" s="7"/>
      <c r="E1940" s="7"/>
      <c r="F1940" s="7"/>
      <c r="G1940" s="93"/>
      <c r="H1940" s="75"/>
      <c r="I1940" s="75"/>
      <c r="J1940" s="61"/>
      <c r="K1940" s="7"/>
      <c r="L1940" s="59"/>
      <c r="M1940" s="7"/>
    </row>
    <row r="1941" spans="3:13" x14ac:dyDescent="0.35">
      <c r="C1941" s="7"/>
      <c r="D1941" s="7"/>
      <c r="E1941" s="7"/>
      <c r="F1941" s="7"/>
      <c r="G1941" s="93"/>
      <c r="H1941" s="75"/>
      <c r="I1941" s="75"/>
      <c r="J1941" s="61"/>
      <c r="K1941" s="7"/>
      <c r="L1941" s="59"/>
      <c r="M1941" s="7"/>
    </row>
    <row r="1942" spans="3:13" x14ac:dyDescent="0.35">
      <c r="C1942" s="7"/>
      <c r="D1942" s="7"/>
      <c r="E1942" s="7"/>
      <c r="F1942" s="7"/>
      <c r="G1942" s="93"/>
      <c r="H1942" s="75"/>
      <c r="I1942" s="75"/>
      <c r="J1942" s="61"/>
      <c r="K1942" s="7"/>
      <c r="L1942" s="59"/>
      <c r="M1942" s="7"/>
    </row>
    <row r="1943" spans="3:13" x14ac:dyDescent="0.35">
      <c r="C1943" s="7"/>
      <c r="D1943" s="7"/>
      <c r="E1943" s="7"/>
      <c r="F1943" s="7"/>
      <c r="G1943" s="93"/>
      <c r="H1943" s="75"/>
      <c r="I1943" s="75"/>
      <c r="J1943" s="61"/>
      <c r="K1943" s="7"/>
      <c r="L1943" s="59"/>
      <c r="M1943" s="7"/>
    </row>
    <row r="1944" spans="3:13" x14ac:dyDescent="0.35">
      <c r="C1944" s="7"/>
      <c r="D1944" s="7"/>
      <c r="E1944" s="7"/>
      <c r="F1944" s="7"/>
      <c r="G1944" s="93"/>
      <c r="H1944" s="75"/>
      <c r="I1944" s="75"/>
      <c r="J1944" s="61"/>
      <c r="K1944" s="7"/>
      <c r="L1944" s="59"/>
      <c r="M1944" s="7"/>
    </row>
    <row r="1945" spans="3:13" x14ac:dyDescent="0.35">
      <c r="C1945" s="7"/>
      <c r="D1945" s="7"/>
      <c r="E1945" s="7"/>
      <c r="F1945" s="7"/>
      <c r="G1945" s="93"/>
      <c r="H1945" s="75"/>
      <c r="I1945" s="75"/>
      <c r="J1945" s="61"/>
      <c r="K1945" s="7"/>
      <c r="L1945" s="59"/>
      <c r="M1945" s="7"/>
    </row>
    <row r="1946" spans="3:13" x14ac:dyDescent="0.35">
      <c r="C1946" s="7"/>
      <c r="D1946" s="7"/>
      <c r="E1946" s="7"/>
      <c r="F1946" s="7"/>
      <c r="G1946" s="93"/>
      <c r="H1946" s="75"/>
      <c r="I1946" s="75"/>
      <c r="J1946" s="61"/>
      <c r="K1946" s="7"/>
      <c r="L1946" s="59"/>
      <c r="M1946" s="7"/>
    </row>
    <row r="1947" spans="3:13" x14ac:dyDescent="0.35">
      <c r="C1947" s="7"/>
      <c r="D1947" s="7"/>
      <c r="E1947" s="7"/>
      <c r="F1947" s="7"/>
      <c r="G1947" s="93"/>
      <c r="H1947" s="75"/>
      <c r="I1947" s="75"/>
      <c r="J1947" s="61"/>
      <c r="K1947" s="7"/>
      <c r="L1947" s="59"/>
      <c r="M1947" s="7"/>
    </row>
    <row r="1948" spans="3:13" x14ac:dyDescent="0.35">
      <c r="C1948" s="7"/>
      <c r="D1948" s="7"/>
      <c r="E1948" s="7"/>
      <c r="F1948" s="7"/>
      <c r="G1948" s="93"/>
      <c r="H1948" s="75"/>
      <c r="I1948" s="75"/>
      <c r="J1948" s="61"/>
      <c r="K1948" s="7"/>
      <c r="L1948" s="59"/>
      <c r="M1948" s="7"/>
    </row>
    <row r="1949" spans="3:13" x14ac:dyDescent="0.35">
      <c r="C1949" s="7"/>
      <c r="D1949" s="7"/>
      <c r="E1949" s="7"/>
      <c r="F1949" s="7"/>
      <c r="G1949" s="93"/>
      <c r="H1949" s="75"/>
      <c r="I1949" s="75"/>
      <c r="J1949" s="61"/>
      <c r="K1949" s="7"/>
      <c r="L1949" s="59"/>
      <c r="M1949" s="7"/>
    </row>
    <row r="1950" spans="3:13" x14ac:dyDescent="0.35">
      <c r="C1950" s="7"/>
      <c r="D1950" s="7"/>
      <c r="E1950" s="7"/>
      <c r="F1950" s="7"/>
      <c r="G1950" s="93"/>
      <c r="H1950" s="75"/>
      <c r="I1950" s="75"/>
      <c r="J1950" s="61"/>
      <c r="K1950" s="7"/>
      <c r="L1950" s="59"/>
      <c r="M1950" s="7"/>
    </row>
    <row r="1951" spans="3:13" x14ac:dyDescent="0.35">
      <c r="C1951" s="7"/>
      <c r="D1951" s="7"/>
      <c r="E1951" s="7"/>
      <c r="F1951" s="7"/>
      <c r="G1951" s="93"/>
      <c r="H1951" s="75"/>
      <c r="I1951" s="75"/>
      <c r="J1951" s="61"/>
      <c r="K1951" s="7"/>
      <c r="L1951" s="59"/>
      <c r="M1951" s="7"/>
    </row>
    <row r="1952" spans="3:13" x14ac:dyDescent="0.35">
      <c r="C1952" s="7"/>
      <c r="D1952" s="7"/>
      <c r="E1952" s="7"/>
      <c r="F1952" s="7"/>
      <c r="G1952" s="93"/>
      <c r="H1952" s="75"/>
      <c r="I1952" s="75"/>
      <c r="J1952" s="61"/>
      <c r="K1952" s="7"/>
      <c r="L1952" s="59"/>
      <c r="M1952" s="7"/>
    </row>
    <row r="1953" spans="3:13" x14ac:dyDescent="0.35">
      <c r="C1953" s="7"/>
      <c r="D1953" s="7"/>
      <c r="E1953" s="7"/>
      <c r="F1953" s="7"/>
      <c r="G1953" s="93"/>
      <c r="H1953" s="75"/>
      <c r="I1953" s="75"/>
      <c r="J1953" s="61"/>
      <c r="K1953" s="7"/>
      <c r="L1953" s="59"/>
      <c r="M1953" s="7"/>
    </row>
    <row r="1954" spans="3:13" x14ac:dyDescent="0.35">
      <c r="C1954" s="7"/>
      <c r="D1954" s="7"/>
      <c r="E1954" s="7"/>
      <c r="F1954" s="7"/>
      <c r="G1954" s="93"/>
      <c r="H1954" s="75"/>
      <c r="I1954" s="75"/>
      <c r="J1954" s="61"/>
      <c r="K1954" s="7"/>
      <c r="L1954" s="7"/>
      <c r="M1954" s="7"/>
    </row>
    <row r="1955" spans="3:13" x14ac:dyDescent="0.35">
      <c r="C1955" s="7"/>
      <c r="D1955" s="7"/>
      <c r="E1955" s="7"/>
      <c r="F1955" s="7"/>
      <c r="G1955" s="93"/>
      <c r="H1955" s="75"/>
      <c r="I1955" s="75"/>
      <c r="J1955" s="61"/>
      <c r="K1955" s="7"/>
      <c r="L1955" s="7"/>
      <c r="M1955" s="7"/>
    </row>
    <row r="1956" spans="3:13" x14ac:dyDescent="0.35">
      <c r="C1956" s="7"/>
      <c r="D1956" s="7"/>
      <c r="E1956" s="7"/>
      <c r="F1956" s="7"/>
      <c r="G1956" s="93"/>
      <c r="H1956" s="75"/>
      <c r="I1956" s="75"/>
      <c r="J1956" s="61"/>
      <c r="K1956" s="7"/>
      <c r="L1956" s="7"/>
      <c r="M1956" s="7"/>
    </row>
    <row r="1957" spans="3:13" x14ac:dyDescent="0.35">
      <c r="C1957" s="7"/>
      <c r="D1957" s="7"/>
      <c r="E1957" s="7"/>
      <c r="F1957" s="7"/>
      <c r="G1957" s="93"/>
      <c r="H1957" s="75"/>
      <c r="I1957" s="75"/>
      <c r="J1957" s="61"/>
      <c r="K1957" s="7"/>
      <c r="L1957" s="7"/>
      <c r="M1957" s="7"/>
    </row>
    <row r="1958" spans="3:13" x14ac:dyDescent="0.35">
      <c r="C1958" s="7"/>
      <c r="D1958" s="7"/>
      <c r="E1958" s="7"/>
      <c r="F1958" s="7"/>
      <c r="G1958" s="93"/>
      <c r="H1958" s="75"/>
      <c r="I1958" s="75"/>
      <c r="J1958" s="61"/>
      <c r="K1958" s="7"/>
      <c r="L1958" s="7"/>
      <c r="M1958" s="7"/>
    </row>
    <row r="1959" spans="3:13" x14ac:dyDescent="0.35">
      <c r="C1959" s="7"/>
      <c r="D1959" s="7"/>
      <c r="E1959" s="7"/>
      <c r="F1959" s="7"/>
      <c r="G1959" s="93"/>
      <c r="H1959" s="75"/>
      <c r="I1959" s="75"/>
      <c r="J1959" s="61"/>
      <c r="K1959" s="7"/>
      <c r="L1959" s="7"/>
      <c r="M1959" s="7"/>
    </row>
    <row r="1960" spans="3:13" x14ac:dyDescent="0.35">
      <c r="C1960" s="7"/>
      <c r="D1960" s="7"/>
      <c r="E1960" s="7"/>
      <c r="F1960" s="7"/>
      <c r="G1960" s="93"/>
      <c r="H1960" s="75"/>
      <c r="I1960" s="75"/>
      <c r="J1960" s="61"/>
      <c r="K1960" s="7"/>
      <c r="L1960" s="7"/>
      <c r="M1960" s="7"/>
    </row>
    <row r="1961" spans="3:13" x14ac:dyDescent="0.35">
      <c r="C1961" s="7"/>
      <c r="D1961" s="7"/>
      <c r="E1961" s="7"/>
      <c r="F1961" s="7"/>
      <c r="G1961" s="93"/>
      <c r="H1961" s="75"/>
      <c r="I1961" s="75"/>
      <c r="J1961" s="61"/>
      <c r="K1961" s="7"/>
      <c r="L1961" s="7"/>
      <c r="M1961" s="7"/>
    </row>
    <row r="1962" spans="3:13" x14ac:dyDescent="0.35">
      <c r="C1962" s="7"/>
      <c r="D1962" s="7"/>
      <c r="E1962" s="7"/>
      <c r="F1962" s="7"/>
      <c r="G1962" s="93"/>
      <c r="H1962" s="75"/>
      <c r="I1962" s="75"/>
      <c r="J1962" s="61"/>
      <c r="K1962" s="7"/>
      <c r="L1962" s="7"/>
      <c r="M1962" s="7"/>
    </row>
    <row r="1963" spans="3:13" x14ac:dyDescent="0.35">
      <c r="C1963" s="7"/>
      <c r="D1963" s="7"/>
      <c r="E1963" s="7"/>
      <c r="F1963" s="7"/>
      <c r="G1963" s="93"/>
      <c r="H1963" s="75"/>
      <c r="I1963" s="75"/>
      <c r="J1963" s="61"/>
      <c r="K1963" s="7"/>
      <c r="L1963" s="7"/>
      <c r="M1963" s="7"/>
    </row>
    <row r="1964" spans="3:13" x14ac:dyDescent="0.35">
      <c r="C1964" s="7"/>
      <c r="D1964" s="7"/>
      <c r="E1964" s="7"/>
      <c r="F1964" s="7"/>
      <c r="G1964" s="93"/>
      <c r="H1964" s="75"/>
      <c r="I1964" s="75"/>
      <c r="J1964" s="61"/>
      <c r="K1964" s="7"/>
      <c r="L1964" s="7"/>
      <c r="M1964" s="7"/>
    </row>
    <row r="1965" spans="3:13" x14ac:dyDescent="0.35">
      <c r="C1965" s="7"/>
      <c r="D1965" s="7"/>
      <c r="E1965" s="7"/>
      <c r="F1965" s="7"/>
      <c r="G1965" s="93"/>
      <c r="H1965" s="75"/>
      <c r="I1965" s="75"/>
      <c r="J1965" s="61"/>
      <c r="K1965" s="7"/>
      <c r="L1965" s="7"/>
      <c r="M1965" s="7"/>
    </row>
    <row r="1966" spans="3:13" x14ac:dyDescent="0.35">
      <c r="C1966" s="7"/>
      <c r="D1966" s="7"/>
      <c r="E1966" s="7"/>
      <c r="F1966" s="7"/>
      <c r="G1966" s="93"/>
      <c r="H1966" s="75"/>
      <c r="I1966" s="75"/>
      <c r="J1966" s="61"/>
      <c r="K1966" s="7"/>
      <c r="L1966" s="7"/>
      <c r="M1966" s="7"/>
    </row>
    <row r="1967" spans="3:13" x14ac:dyDescent="0.35">
      <c r="C1967" s="7"/>
      <c r="D1967" s="7"/>
      <c r="E1967" s="7"/>
      <c r="F1967" s="7"/>
      <c r="G1967" s="93"/>
      <c r="H1967" s="75"/>
      <c r="I1967" s="75"/>
      <c r="J1967" s="61"/>
      <c r="K1967" s="7"/>
      <c r="L1967" s="7"/>
      <c r="M1967" s="7"/>
    </row>
    <row r="1968" spans="3:13" x14ac:dyDescent="0.35">
      <c r="C1968" s="7"/>
      <c r="D1968" s="7"/>
      <c r="E1968" s="7"/>
      <c r="F1968" s="7"/>
      <c r="G1968" s="93"/>
      <c r="H1968" s="75"/>
      <c r="I1968" s="75"/>
      <c r="J1968" s="61"/>
      <c r="K1968" s="7"/>
      <c r="L1968" s="7"/>
      <c r="M1968" s="7"/>
    </row>
    <row r="1969" spans="3:13" x14ac:dyDescent="0.35">
      <c r="C1969" s="7"/>
      <c r="D1969" s="7"/>
      <c r="E1969" s="7"/>
      <c r="F1969" s="7"/>
      <c r="G1969" s="93"/>
      <c r="H1969" s="75"/>
      <c r="I1969" s="75"/>
      <c r="J1969" s="61"/>
      <c r="K1969" s="7"/>
      <c r="L1969" s="7"/>
      <c r="M1969" s="7"/>
    </row>
    <row r="1970" spans="3:13" x14ac:dyDescent="0.35">
      <c r="C1970" s="7"/>
      <c r="D1970" s="7"/>
      <c r="E1970" s="7"/>
      <c r="F1970" s="7"/>
      <c r="G1970" s="93"/>
      <c r="H1970" s="75"/>
      <c r="I1970" s="75"/>
      <c r="J1970" s="61"/>
      <c r="K1970" s="7"/>
      <c r="L1970" s="7"/>
      <c r="M1970" s="7"/>
    </row>
    <row r="1971" spans="3:13" x14ac:dyDescent="0.35">
      <c r="C1971" s="7"/>
      <c r="D1971" s="7"/>
      <c r="E1971" s="7"/>
      <c r="F1971" s="7"/>
      <c r="G1971" s="93"/>
      <c r="H1971" s="75"/>
      <c r="I1971" s="75"/>
      <c r="J1971" s="61"/>
      <c r="K1971" s="7"/>
      <c r="L1971" s="7"/>
      <c r="M1971" s="7"/>
    </row>
    <row r="1972" spans="3:13" x14ac:dyDescent="0.35">
      <c r="C1972" s="7"/>
      <c r="D1972" s="7"/>
      <c r="E1972" s="7"/>
      <c r="F1972" s="7"/>
      <c r="G1972" s="93"/>
      <c r="H1972" s="75"/>
      <c r="I1972" s="75"/>
      <c r="J1972" s="61"/>
      <c r="K1972" s="7"/>
      <c r="L1972" s="7"/>
      <c r="M1972" s="7"/>
    </row>
    <row r="1973" spans="3:13" x14ac:dyDescent="0.35">
      <c r="C1973" s="7"/>
      <c r="D1973" s="7"/>
      <c r="E1973" s="7"/>
      <c r="F1973" s="7"/>
      <c r="G1973" s="93"/>
      <c r="H1973" s="75"/>
      <c r="I1973" s="75"/>
      <c r="J1973" s="61"/>
      <c r="K1973" s="7"/>
      <c r="L1973" s="7"/>
      <c r="M1973" s="7"/>
    </row>
    <row r="1974" spans="3:13" x14ac:dyDescent="0.35">
      <c r="C1974" s="7"/>
      <c r="D1974" s="7"/>
      <c r="E1974" s="7"/>
      <c r="F1974" s="7"/>
      <c r="G1974" s="93"/>
      <c r="H1974" s="75"/>
      <c r="I1974" s="75"/>
      <c r="J1974" s="61"/>
      <c r="K1974" s="7"/>
      <c r="L1974" s="7"/>
      <c r="M1974" s="7"/>
    </row>
    <row r="1975" spans="3:13" x14ac:dyDescent="0.35">
      <c r="C1975" s="7"/>
      <c r="D1975" s="7"/>
      <c r="E1975" s="7"/>
      <c r="F1975" s="7"/>
      <c r="G1975" s="93"/>
      <c r="H1975" s="75"/>
      <c r="I1975" s="75"/>
      <c r="J1975" s="61"/>
      <c r="K1975" s="7"/>
      <c r="L1975" s="7"/>
      <c r="M1975" s="7"/>
    </row>
    <row r="1976" spans="3:13" x14ac:dyDescent="0.35">
      <c r="C1976" s="7"/>
      <c r="D1976" s="7"/>
      <c r="E1976" s="7"/>
      <c r="F1976" s="7"/>
      <c r="G1976" s="93"/>
      <c r="H1976" s="75"/>
      <c r="I1976" s="75"/>
      <c r="J1976" s="61"/>
      <c r="K1976" s="7"/>
      <c r="L1976" s="7"/>
      <c r="M1976" s="7"/>
    </row>
    <row r="1977" spans="3:13" x14ac:dyDescent="0.35">
      <c r="C1977" s="7"/>
      <c r="D1977" s="7"/>
      <c r="E1977" s="7"/>
      <c r="F1977" s="7"/>
      <c r="G1977" s="93"/>
      <c r="H1977" s="75"/>
      <c r="I1977" s="75"/>
      <c r="J1977" s="61"/>
      <c r="K1977" s="7"/>
      <c r="L1977" s="7"/>
      <c r="M1977" s="7"/>
    </row>
    <row r="1978" spans="3:13" x14ac:dyDescent="0.35">
      <c r="C1978" s="7"/>
      <c r="D1978" s="7"/>
      <c r="E1978" s="7"/>
      <c r="F1978" s="7"/>
      <c r="G1978" s="93"/>
      <c r="H1978" s="75"/>
      <c r="I1978" s="75"/>
      <c r="J1978" s="61"/>
      <c r="K1978" s="7"/>
      <c r="L1978" s="7"/>
      <c r="M1978" s="7"/>
    </row>
    <row r="1979" spans="3:13" x14ac:dyDescent="0.35">
      <c r="C1979" s="7"/>
      <c r="D1979" s="7"/>
      <c r="E1979" s="7"/>
      <c r="F1979" s="7"/>
      <c r="G1979" s="93"/>
      <c r="H1979" s="75"/>
      <c r="I1979" s="75"/>
      <c r="J1979" s="61"/>
      <c r="K1979" s="7"/>
      <c r="L1979" s="7"/>
      <c r="M1979" s="7"/>
    </row>
    <row r="1980" spans="3:13" x14ac:dyDescent="0.35">
      <c r="C1980" s="7"/>
      <c r="D1980" s="7"/>
      <c r="E1980" s="7"/>
      <c r="F1980" s="7"/>
      <c r="G1980" s="93"/>
      <c r="H1980" s="75"/>
      <c r="I1980" s="75"/>
      <c r="J1980" s="61"/>
      <c r="K1980" s="7"/>
      <c r="L1980" s="7"/>
      <c r="M1980" s="7"/>
    </row>
    <row r="1981" spans="3:13" x14ac:dyDescent="0.35">
      <c r="C1981" s="7"/>
      <c r="D1981" s="7"/>
      <c r="E1981" s="7"/>
      <c r="F1981" s="7"/>
      <c r="G1981" s="93"/>
      <c r="H1981" s="75"/>
      <c r="I1981" s="75"/>
      <c r="J1981" s="61"/>
      <c r="K1981" s="7"/>
      <c r="L1981" s="7"/>
      <c r="M1981" s="7"/>
    </row>
    <row r="1982" spans="3:13" x14ac:dyDescent="0.35">
      <c r="C1982" s="7"/>
      <c r="D1982" s="7"/>
      <c r="E1982" s="7"/>
      <c r="F1982" s="7"/>
      <c r="G1982" s="93"/>
      <c r="H1982" s="75"/>
      <c r="I1982" s="75"/>
      <c r="J1982" s="61"/>
      <c r="K1982" s="7"/>
      <c r="L1982" s="7"/>
      <c r="M1982" s="7"/>
    </row>
    <row r="1983" spans="3:13" x14ac:dyDescent="0.35">
      <c r="C1983" s="7"/>
      <c r="D1983" s="7"/>
      <c r="E1983" s="7"/>
      <c r="F1983" s="7"/>
      <c r="G1983" s="93"/>
      <c r="H1983" s="75"/>
      <c r="I1983" s="75"/>
      <c r="J1983" s="61"/>
      <c r="K1983" s="7"/>
      <c r="L1983" s="7"/>
      <c r="M1983" s="7"/>
    </row>
    <row r="1984" spans="3:13" x14ac:dyDescent="0.35">
      <c r="C1984" s="7"/>
      <c r="D1984" s="7"/>
      <c r="E1984" s="7"/>
      <c r="F1984" s="7"/>
      <c r="G1984" s="93"/>
      <c r="H1984" s="75"/>
      <c r="I1984" s="75"/>
      <c r="J1984" s="61"/>
      <c r="K1984" s="7"/>
      <c r="L1984" s="7"/>
      <c r="M1984" s="7"/>
    </row>
    <row r="1985" spans="3:13" x14ac:dyDescent="0.35">
      <c r="C1985" s="7"/>
      <c r="D1985" s="7"/>
      <c r="E1985" s="7"/>
      <c r="F1985" s="7"/>
      <c r="G1985" s="93"/>
      <c r="H1985" s="75"/>
      <c r="I1985" s="75"/>
      <c r="J1985" s="61"/>
      <c r="K1985" s="7"/>
      <c r="L1985" s="7"/>
      <c r="M1985" s="7"/>
    </row>
    <row r="1986" spans="3:13" x14ac:dyDescent="0.35">
      <c r="C1986" s="7"/>
      <c r="D1986" s="7"/>
      <c r="E1986" s="7"/>
      <c r="F1986" s="7"/>
      <c r="G1986" s="93"/>
      <c r="H1986" s="75"/>
      <c r="I1986" s="75"/>
      <c r="J1986" s="61"/>
      <c r="K1986" s="7"/>
      <c r="L1986" s="7"/>
      <c r="M1986" s="7"/>
    </row>
    <row r="1987" spans="3:13" x14ac:dyDescent="0.35">
      <c r="C1987" s="7"/>
      <c r="D1987" s="7"/>
      <c r="E1987" s="7"/>
      <c r="F1987" s="7"/>
      <c r="G1987" s="93"/>
      <c r="H1987" s="75"/>
      <c r="I1987" s="75"/>
      <c r="J1987" s="61"/>
      <c r="K1987" s="7"/>
      <c r="L1987" s="7"/>
      <c r="M1987" s="7"/>
    </row>
    <row r="1988" spans="3:13" x14ac:dyDescent="0.35">
      <c r="C1988" s="7"/>
      <c r="D1988" s="7"/>
      <c r="E1988" s="7"/>
      <c r="F1988" s="7"/>
      <c r="G1988" s="93"/>
      <c r="H1988" s="75"/>
      <c r="I1988" s="75"/>
      <c r="J1988" s="61"/>
      <c r="K1988" s="7"/>
      <c r="L1988" s="7"/>
      <c r="M1988" s="7"/>
    </row>
    <row r="1989" spans="3:13" x14ac:dyDescent="0.35">
      <c r="C1989" s="7"/>
      <c r="D1989" s="7"/>
      <c r="E1989" s="7"/>
      <c r="F1989" s="7"/>
      <c r="G1989" s="93"/>
      <c r="H1989" s="75"/>
      <c r="I1989" s="75"/>
      <c r="J1989" s="61"/>
      <c r="K1989" s="7"/>
      <c r="L1989" s="7"/>
      <c r="M1989" s="7"/>
    </row>
    <row r="1990" spans="3:13" x14ac:dyDescent="0.35">
      <c r="C1990" s="7"/>
      <c r="D1990" s="7"/>
      <c r="E1990" s="7"/>
      <c r="F1990" s="7"/>
      <c r="G1990" s="93"/>
      <c r="H1990" s="75"/>
      <c r="I1990" s="75"/>
      <c r="J1990" s="61"/>
      <c r="K1990" s="7"/>
      <c r="L1990" s="7"/>
      <c r="M1990" s="7"/>
    </row>
    <row r="1991" spans="3:13" x14ac:dyDescent="0.35">
      <c r="C1991" s="7"/>
      <c r="D1991" s="7"/>
      <c r="E1991" s="7"/>
      <c r="F1991" s="7"/>
      <c r="G1991" s="93"/>
      <c r="H1991" s="75"/>
      <c r="I1991" s="75"/>
      <c r="J1991" s="61"/>
      <c r="K1991" s="7"/>
      <c r="L1991" s="7"/>
      <c r="M1991" s="7"/>
    </row>
    <row r="1992" spans="3:13" x14ac:dyDescent="0.35">
      <c r="C1992" s="7"/>
      <c r="D1992" s="7"/>
      <c r="E1992" s="7"/>
      <c r="F1992" s="7"/>
      <c r="G1992" s="93"/>
      <c r="H1992" s="75"/>
      <c r="I1992" s="75"/>
      <c r="J1992" s="61"/>
      <c r="K1992" s="7"/>
      <c r="L1992" s="7"/>
      <c r="M1992" s="7"/>
    </row>
    <row r="1993" spans="3:13" x14ac:dyDescent="0.35">
      <c r="C1993" s="7"/>
      <c r="D1993" s="7"/>
      <c r="E1993" s="7"/>
      <c r="F1993" s="7"/>
      <c r="G1993" s="93"/>
      <c r="H1993" s="75"/>
      <c r="I1993" s="75"/>
      <c r="J1993" s="61"/>
      <c r="K1993" s="7"/>
      <c r="L1993" s="7"/>
      <c r="M1993" s="7"/>
    </row>
    <row r="1994" spans="3:13" x14ac:dyDescent="0.35">
      <c r="C1994" s="7"/>
      <c r="D1994" s="7"/>
      <c r="E1994" s="7"/>
      <c r="F1994" s="7"/>
      <c r="G1994" s="93"/>
      <c r="H1994" s="75"/>
      <c r="I1994" s="75"/>
      <c r="J1994" s="61"/>
      <c r="K1994" s="7"/>
      <c r="L1994" s="7"/>
      <c r="M1994" s="7"/>
    </row>
    <row r="1995" spans="3:13" x14ac:dyDescent="0.35">
      <c r="C1995" s="7"/>
      <c r="D1995" s="7"/>
      <c r="E1995" s="7"/>
      <c r="F1995" s="7"/>
      <c r="G1995" s="93"/>
      <c r="H1995" s="75"/>
      <c r="I1995" s="75"/>
      <c r="J1995" s="61"/>
      <c r="K1995" s="7"/>
      <c r="L1995" s="7"/>
      <c r="M1995" s="7"/>
    </row>
    <row r="1996" spans="3:13" x14ac:dyDescent="0.35">
      <c r="C1996" s="7"/>
      <c r="D1996" s="7"/>
      <c r="E1996" s="7"/>
      <c r="F1996" s="7"/>
      <c r="G1996" s="93"/>
      <c r="H1996" s="75"/>
      <c r="I1996" s="75"/>
      <c r="J1996" s="61"/>
      <c r="K1996" s="7"/>
      <c r="L1996" s="7"/>
      <c r="M1996" s="7"/>
    </row>
    <row r="1997" spans="3:13" x14ac:dyDescent="0.35">
      <c r="C1997" s="7"/>
      <c r="D1997" s="7"/>
      <c r="E1997" s="7"/>
      <c r="F1997" s="7"/>
      <c r="G1997" s="93"/>
      <c r="H1997" s="75"/>
      <c r="I1997" s="75"/>
      <c r="J1997" s="61"/>
      <c r="K1997" s="7"/>
      <c r="L1997" s="7"/>
      <c r="M1997" s="7"/>
    </row>
    <row r="1998" spans="3:13" x14ac:dyDescent="0.35">
      <c r="C1998" s="7"/>
      <c r="D1998" s="7"/>
      <c r="E1998" s="7"/>
      <c r="F1998" s="7"/>
      <c r="G1998" s="93"/>
      <c r="H1998" s="75"/>
      <c r="I1998" s="75"/>
      <c r="J1998" s="61"/>
      <c r="K1998" s="7"/>
      <c r="L1998" s="7"/>
      <c r="M1998" s="7"/>
    </row>
    <row r="1999" spans="3:13" x14ac:dyDescent="0.35">
      <c r="C1999" s="7"/>
      <c r="D1999" s="7"/>
      <c r="E1999" s="7"/>
      <c r="F1999" s="7"/>
      <c r="G1999" s="93"/>
      <c r="H1999" s="75"/>
      <c r="I1999" s="75"/>
      <c r="J1999" s="61"/>
      <c r="K1999" s="7"/>
      <c r="L1999" s="7"/>
      <c r="M1999" s="7"/>
    </row>
    <row r="2000" spans="3:13" x14ac:dyDescent="0.35">
      <c r="C2000" s="7"/>
      <c r="D2000" s="7"/>
      <c r="E2000" s="7"/>
      <c r="F2000" s="7"/>
      <c r="G2000" s="93"/>
      <c r="H2000" s="75"/>
      <c r="I2000" s="75"/>
      <c r="J2000" s="61"/>
      <c r="K2000" s="7"/>
      <c r="L2000" s="7"/>
      <c r="M2000" s="7"/>
    </row>
    <row r="2001" spans="3:13" x14ac:dyDescent="0.35">
      <c r="C2001" s="7"/>
      <c r="D2001" s="7"/>
      <c r="E2001" s="7"/>
      <c r="F2001" s="7"/>
      <c r="G2001" s="93"/>
      <c r="H2001" s="75"/>
      <c r="I2001" s="75"/>
      <c r="J2001" s="61"/>
      <c r="K2001" s="7"/>
      <c r="L2001" s="7"/>
      <c r="M2001" s="7"/>
    </row>
    <row r="2002" spans="3:13" x14ac:dyDescent="0.35">
      <c r="C2002" s="7"/>
      <c r="D2002" s="7"/>
      <c r="E2002" s="7"/>
      <c r="F2002" s="7"/>
      <c r="G2002" s="93"/>
      <c r="H2002" s="75"/>
      <c r="I2002" s="75"/>
      <c r="J2002" s="61"/>
      <c r="K2002" s="7"/>
      <c r="L2002" s="7"/>
      <c r="M2002" s="7"/>
    </row>
    <row r="2003" spans="3:13" x14ac:dyDescent="0.35">
      <c r="C2003" s="7"/>
      <c r="D2003" s="7"/>
      <c r="E2003" s="7"/>
      <c r="F2003" s="7"/>
      <c r="G2003" s="93"/>
      <c r="H2003" s="75"/>
      <c r="I2003" s="75"/>
      <c r="J2003" s="61"/>
      <c r="K2003" s="7"/>
      <c r="L2003" s="7"/>
      <c r="M2003" s="7"/>
    </row>
    <row r="2004" spans="3:13" x14ac:dyDescent="0.35">
      <c r="C2004" s="7"/>
      <c r="D2004" s="7"/>
      <c r="E2004" s="7"/>
      <c r="F2004" s="7"/>
      <c r="G2004" s="93"/>
      <c r="H2004" s="75"/>
      <c r="I2004" s="75"/>
      <c r="J2004" s="61"/>
      <c r="K2004" s="7"/>
      <c r="L2004" s="7"/>
      <c r="M2004" s="7"/>
    </row>
    <row r="2005" spans="3:13" x14ac:dyDescent="0.35">
      <c r="C2005" s="7"/>
      <c r="D2005" s="7"/>
      <c r="E2005" s="7"/>
      <c r="F2005" s="7"/>
      <c r="G2005" s="93"/>
      <c r="H2005" s="75"/>
      <c r="I2005" s="75"/>
      <c r="J2005" s="61"/>
      <c r="K2005" s="7"/>
      <c r="L2005" s="7"/>
      <c r="M2005" s="7"/>
    </row>
    <row r="2006" spans="3:13" x14ac:dyDescent="0.35">
      <c r="C2006" s="7"/>
      <c r="D2006" s="7"/>
      <c r="E2006" s="7"/>
      <c r="F2006" s="7"/>
      <c r="G2006" s="93"/>
      <c r="H2006" s="75"/>
      <c r="I2006" s="75"/>
      <c r="J2006" s="61"/>
      <c r="K2006" s="7"/>
      <c r="L2006" s="7"/>
      <c r="M2006" s="7"/>
    </row>
    <row r="2007" spans="3:13" x14ac:dyDescent="0.35">
      <c r="C2007" s="7"/>
      <c r="D2007" s="7"/>
      <c r="E2007" s="7"/>
      <c r="F2007" s="7"/>
      <c r="G2007" s="93"/>
      <c r="H2007" s="75"/>
      <c r="I2007" s="75"/>
      <c r="J2007" s="61"/>
      <c r="K2007" s="7"/>
      <c r="L2007" s="7"/>
      <c r="M2007" s="7"/>
    </row>
    <row r="2008" spans="3:13" x14ac:dyDescent="0.35">
      <c r="C2008" s="7"/>
      <c r="D2008" s="7"/>
      <c r="E2008" s="7"/>
      <c r="F2008" s="7"/>
      <c r="G2008" s="93"/>
      <c r="H2008" s="75"/>
      <c r="I2008" s="75"/>
      <c r="J2008" s="61"/>
      <c r="K2008" s="7"/>
      <c r="L2008" s="7"/>
      <c r="M2008" s="7"/>
    </row>
    <row r="2009" spans="3:13" x14ac:dyDescent="0.35">
      <c r="C2009" s="7"/>
      <c r="D2009" s="7"/>
      <c r="E2009" s="7"/>
      <c r="F2009" s="7"/>
      <c r="G2009" s="93"/>
      <c r="H2009" s="75"/>
      <c r="I2009" s="75"/>
      <c r="J2009" s="61"/>
      <c r="K2009" s="7"/>
      <c r="L2009" s="7"/>
      <c r="M2009" s="7"/>
    </row>
    <row r="2010" spans="3:13" x14ac:dyDescent="0.35">
      <c r="C2010" s="7"/>
      <c r="D2010" s="7"/>
      <c r="E2010" s="7"/>
      <c r="F2010" s="7"/>
      <c r="G2010" s="93"/>
      <c r="H2010" s="75"/>
      <c r="I2010" s="75"/>
      <c r="J2010" s="61"/>
      <c r="K2010" s="7"/>
      <c r="L2010" s="7"/>
      <c r="M2010" s="7"/>
    </row>
    <row r="2011" spans="3:13" x14ac:dyDescent="0.35">
      <c r="C2011" s="7"/>
      <c r="D2011" s="7"/>
      <c r="E2011" s="7"/>
      <c r="F2011" s="7"/>
      <c r="G2011" s="93"/>
      <c r="H2011" s="75"/>
      <c r="I2011" s="75"/>
      <c r="J2011" s="61"/>
      <c r="K2011" s="7"/>
      <c r="L2011" s="7"/>
      <c r="M2011" s="7"/>
    </row>
    <row r="2012" spans="3:13" x14ac:dyDescent="0.35">
      <c r="C2012" s="7"/>
      <c r="D2012" s="7"/>
      <c r="E2012" s="7"/>
      <c r="F2012" s="7"/>
      <c r="G2012" s="93"/>
      <c r="H2012" s="75"/>
      <c r="I2012" s="75"/>
      <c r="J2012" s="61"/>
      <c r="K2012" s="7"/>
      <c r="L2012" s="7"/>
      <c r="M2012" s="7"/>
    </row>
    <row r="2013" spans="3:13" x14ac:dyDescent="0.35">
      <c r="C2013" s="7"/>
      <c r="D2013" s="7"/>
      <c r="E2013" s="7"/>
      <c r="F2013" s="7"/>
      <c r="G2013" s="93"/>
      <c r="H2013" s="75"/>
      <c r="I2013" s="75"/>
      <c r="J2013" s="61"/>
      <c r="K2013" s="7"/>
      <c r="L2013" s="7"/>
      <c r="M2013" s="7"/>
    </row>
    <row r="2014" spans="3:13" x14ac:dyDescent="0.35">
      <c r="C2014" s="7"/>
      <c r="D2014" s="7"/>
      <c r="E2014" s="7"/>
      <c r="F2014" s="7"/>
      <c r="G2014" s="93"/>
      <c r="H2014" s="75"/>
      <c r="I2014" s="75"/>
      <c r="J2014" s="61"/>
      <c r="K2014" s="7"/>
      <c r="L2014" s="7"/>
      <c r="M2014" s="7"/>
    </row>
    <row r="2015" spans="3:13" x14ac:dyDescent="0.35">
      <c r="C2015" s="7"/>
      <c r="D2015" s="7"/>
      <c r="E2015" s="7"/>
      <c r="F2015" s="7"/>
      <c r="G2015" s="93"/>
      <c r="H2015" s="75"/>
      <c r="I2015" s="75"/>
      <c r="J2015" s="61"/>
      <c r="K2015" s="7"/>
      <c r="L2015" s="7"/>
      <c r="M2015" s="7"/>
    </row>
    <row r="2016" spans="3:13" x14ac:dyDescent="0.35">
      <c r="C2016" s="7"/>
      <c r="D2016" s="7"/>
      <c r="E2016" s="7"/>
      <c r="F2016" s="7"/>
      <c r="G2016" s="93"/>
      <c r="H2016" s="75"/>
      <c r="I2016" s="75"/>
      <c r="J2016" s="61"/>
      <c r="K2016" s="7"/>
      <c r="L2016" s="7"/>
      <c r="M2016" s="7"/>
    </row>
    <row r="2017" spans="3:13" x14ac:dyDescent="0.35">
      <c r="C2017" s="7"/>
      <c r="D2017" s="7"/>
      <c r="E2017" s="7"/>
      <c r="F2017" s="7"/>
      <c r="G2017" s="93"/>
      <c r="H2017" s="75"/>
      <c r="I2017" s="75"/>
      <c r="J2017" s="61"/>
      <c r="K2017" s="7"/>
      <c r="L2017" s="7"/>
      <c r="M2017" s="7"/>
    </row>
    <row r="2018" spans="3:13" x14ac:dyDescent="0.35">
      <c r="C2018" s="7"/>
      <c r="D2018" s="7"/>
      <c r="E2018" s="7"/>
      <c r="F2018" s="7"/>
      <c r="G2018" s="93"/>
      <c r="H2018" s="75"/>
      <c r="I2018" s="75"/>
      <c r="J2018" s="61"/>
      <c r="K2018" s="7"/>
      <c r="L2018" s="7"/>
      <c r="M2018" s="7"/>
    </row>
    <row r="2019" spans="3:13" x14ac:dyDescent="0.35">
      <c r="C2019" s="7"/>
      <c r="D2019" s="7"/>
      <c r="E2019" s="7"/>
      <c r="F2019" s="7"/>
      <c r="G2019" s="93"/>
      <c r="H2019" s="75"/>
      <c r="I2019" s="75"/>
      <c r="J2019" s="61"/>
      <c r="K2019" s="7"/>
      <c r="L2019" s="7"/>
      <c r="M2019" s="7"/>
    </row>
    <row r="2020" spans="3:13" x14ac:dyDescent="0.35">
      <c r="C2020" s="7"/>
      <c r="D2020" s="7"/>
      <c r="E2020" s="7"/>
      <c r="F2020" s="7"/>
      <c r="G2020" s="93"/>
      <c r="H2020" s="75"/>
      <c r="I2020" s="75"/>
      <c r="J2020" s="61"/>
      <c r="K2020" s="7"/>
      <c r="L2020" s="7"/>
      <c r="M2020" s="7"/>
    </row>
    <row r="2021" spans="3:13" x14ac:dyDescent="0.35">
      <c r="C2021" s="7"/>
      <c r="D2021" s="7"/>
      <c r="E2021" s="7"/>
      <c r="F2021" s="7"/>
      <c r="G2021" s="93"/>
      <c r="H2021" s="75"/>
      <c r="I2021" s="75"/>
      <c r="J2021" s="61"/>
      <c r="K2021" s="7"/>
      <c r="L2021" s="7"/>
      <c r="M2021" s="7"/>
    </row>
    <row r="2022" spans="3:13" x14ac:dyDescent="0.35">
      <c r="C2022" s="7"/>
      <c r="D2022" s="7"/>
      <c r="E2022" s="7"/>
      <c r="F2022" s="7"/>
      <c r="G2022" s="93"/>
      <c r="H2022" s="75"/>
      <c r="I2022" s="75"/>
      <c r="J2022" s="61"/>
      <c r="K2022" s="7"/>
      <c r="L2022" s="7"/>
      <c r="M2022" s="7"/>
    </row>
    <row r="2023" spans="3:13" x14ac:dyDescent="0.35">
      <c r="C2023" s="7"/>
      <c r="D2023" s="7"/>
      <c r="E2023" s="7"/>
      <c r="F2023" s="7"/>
      <c r="G2023" s="93"/>
      <c r="H2023" s="75"/>
      <c r="I2023" s="75"/>
      <c r="J2023" s="61"/>
      <c r="K2023" s="7"/>
      <c r="L2023" s="7"/>
      <c r="M2023" s="7"/>
    </row>
    <row r="2024" spans="3:13" x14ac:dyDescent="0.35">
      <c r="C2024" s="7"/>
      <c r="D2024" s="7"/>
      <c r="E2024" s="7"/>
      <c r="F2024" s="7"/>
      <c r="G2024" s="93"/>
      <c r="H2024" s="75"/>
      <c r="I2024" s="75"/>
      <c r="J2024" s="61"/>
      <c r="K2024" s="7"/>
      <c r="L2024" s="7"/>
      <c r="M2024" s="7"/>
    </row>
    <row r="2025" spans="3:13" x14ac:dyDescent="0.35">
      <c r="C2025" s="7"/>
      <c r="D2025" s="7"/>
      <c r="E2025" s="7"/>
      <c r="F2025" s="7"/>
      <c r="G2025" s="93"/>
      <c r="H2025" s="75"/>
      <c r="I2025" s="75"/>
      <c r="J2025" s="61"/>
      <c r="K2025" s="7"/>
      <c r="L2025" s="7"/>
      <c r="M2025" s="7"/>
    </row>
    <row r="2026" spans="3:13" x14ac:dyDescent="0.35">
      <c r="C2026" s="7"/>
      <c r="D2026" s="7"/>
      <c r="E2026" s="7"/>
      <c r="F2026" s="7"/>
      <c r="G2026" s="93"/>
      <c r="H2026" s="75"/>
      <c r="I2026" s="75"/>
      <c r="J2026" s="61"/>
      <c r="K2026" s="7"/>
      <c r="L2026" s="7"/>
      <c r="M2026" s="7"/>
    </row>
    <row r="2027" spans="3:13" x14ac:dyDescent="0.35">
      <c r="C2027" s="7"/>
      <c r="D2027" s="7"/>
      <c r="E2027" s="7"/>
      <c r="F2027" s="7"/>
      <c r="G2027" s="93"/>
      <c r="H2027" s="75"/>
      <c r="I2027" s="75"/>
      <c r="J2027" s="61"/>
      <c r="K2027" s="7"/>
      <c r="L2027" s="7"/>
      <c r="M2027" s="7"/>
    </row>
    <row r="2028" spans="3:13" x14ac:dyDescent="0.35">
      <c r="C2028" s="7"/>
      <c r="D2028" s="7"/>
      <c r="E2028" s="7"/>
      <c r="F2028" s="7"/>
      <c r="G2028" s="93"/>
      <c r="H2028" s="75"/>
      <c r="I2028" s="75"/>
      <c r="J2028" s="61"/>
      <c r="K2028" s="7"/>
      <c r="L2028" s="7"/>
      <c r="M2028" s="7"/>
    </row>
    <row r="2029" spans="3:13" x14ac:dyDescent="0.35">
      <c r="C2029" s="7"/>
      <c r="D2029" s="7"/>
      <c r="E2029" s="7"/>
      <c r="F2029" s="7"/>
      <c r="G2029" s="93"/>
      <c r="H2029" s="75"/>
      <c r="I2029" s="75"/>
      <c r="J2029" s="61"/>
      <c r="K2029" s="7"/>
      <c r="L2029" s="7"/>
      <c r="M2029" s="7"/>
    </row>
    <row r="2030" spans="3:13" x14ac:dyDescent="0.35">
      <c r="C2030" s="7"/>
      <c r="D2030" s="7"/>
      <c r="E2030" s="7"/>
      <c r="F2030" s="7"/>
      <c r="G2030" s="93"/>
      <c r="H2030" s="75"/>
      <c r="I2030" s="75"/>
      <c r="J2030" s="61"/>
      <c r="K2030" s="7"/>
      <c r="L2030" s="7"/>
      <c r="M2030" s="7"/>
    </row>
    <row r="2031" spans="3:13" x14ac:dyDescent="0.35">
      <c r="C2031" s="7"/>
      <c r="D2031" s="7"/>
      <c r="E2031" s="7"/>
      <c r="F2031" s="7"/>
      <c r="G2031" s="93"/>
      <c r="H2031" s="75"/>
      <c r="I2031" s="75"/>
      <c r="J2031" s="61"/>
      <c r="K2031" s="7"/>
      <c r="L2031" s="7"/>
      <c r="M2031" s="7"/>
    </row>
    <row r="2032" spans="3:13" x14ac:dyDescent="0.35">
      <c r="C2032" s="7"/>
      <c r="D2032" s="7"/>
      <c r="E2032" s="7"/>
      <c r="F2032" s="7"/>
      <c r="G2032" s="93"/>
      <c r="H2032" s="75"/>
      <c r="I2032" s="75"/>
      <c r="J2032" s="61"/>
      <c r="K2032" s="7"/>
      <c r="L2032" s="7"/>
      <c r="M2032" s="7"/>
    </row>
    <row r="2033" spans="1:13" x14ac:dyDescent="0.35">
      <c r="C2033" s="7"/>
      <c r="D2033" s="7"/>
      <c r="E2033" s="7"/>
      <c r="F2033" s="7"/>
      <c r="G2033" s="93"/>
      <c r="H2033" s="75"/>
      <c r="I2033" s="75"/>
      <c r="J2033" s="61"/>
      <c r="K2033" s="7"/>
      <c r="L2033" s="7"/>
      <c r="M2033" s="7"/>
    </row>
    <row r="2034" spans="1:13" x14ac:dyDescent="0.35">
      <c r="C2034" s="7"/>
      <c r="D2034" s="7"/>
      <c r="E2034" s="7"/>
      <c r="F2034" s="7"/>
      <c r="G2034" s="93"/>
      <c r="H2034" s="75"/>
      <c r="I2034" s="75"/>
      <c r="J2034" s="61"/>
      <c r="K2034" s="7"/>
      <c r="L2034" s="7"/>
      <c r="M2034" s="7"/>
    </row>
    <row r="2035" spans="1:13" x14ac:dyDescent="0.35">
      <c r="C2035" s="7"/>
      <c r="D2035" s="7"/>
      <c r="E2035" s="7"/>
      <c r="F2035" s="7"/>
      <c r="G2035" s="93"/>
      <c r="H2035" s="75"/>
      <c r="I2035" s="75"/>
      <c r="J2035" s="61"/>
      <c r="K2035" s="7"/>
      <c r="L2035" s="7"/>
      <c r="M2035" s="7"/>
    </row>
    <row r="2036" spans="1:13" x14ac:dyDescent="0.35">
      <c r="C2036" s="7"/>
      <c r="D2036" s="7"/>
      <c r="E2036" s="7"/>
      <c r="F2036" s="7"/>
      <c r="G2036" s="93"/>
      <c r="H2036" s="75"/>
      <c r="I2036" s="75"/>
      <c r="J2036" s="61"/>
      <c r="K2036" s="7"/>
      <c r="L2036" s="7"/>
      <c r="M2036" s="7"/>
    </row>
    <row r="2037" spans="1:13" x14ac:dyDescent="0.35">
      <c r="C2037" s="7"/>
      <c r="D2037" s="7"/>
      <c r="E2037" s="7"/>
      <c r="F2037" s="7"/>
      <c r="G2037" s="93"/>
      <c r="H2037" s="75"/>
      <c r="I2037" s="75"/>
      <c r="J2037" s="61"/>
      <c r="K2037" s="7"/>
      <c r="L2037" s="7"/>
      <c r="M2037" s="7"/>
    </row>
    <row r="2038" spans="1:13" x14ac:dyDescent="0.35">
      <c r="C2038" s="7"/>
      <c r="D2038" s="7"/>
      <c r="E2038" s="7"/>
      <c r="F2038" s="7"/>
      <c r="G2038" s="93"/>
      <c r="H2038" s="75"/>
      <c r="I2038" s="75"/>
      <c r="J2038" s="61"/>
      <c r="K2038" s="7"/>
      <c r="L2038" s="7"/>
      <c r="M2038" s="7"/>
    </row>
    <row r="2039" spans="1:13" x14ac:dyDescent="0.35">
      <c r="C2039" s="7"/>
      <c r="D2039" s="7"/>
      <c r="E2039" s="7"/>
      <c r="F2039" s="7"/>
      <c r="G2039" s="93"/>
      <c r="H2039" s="75"/>
      <c r="I2039" s="75"/>
      <c r="J2039" s="61"/>
      <c r="K2039" s="7"/>
      <c r="L2039" s="7"/>
      <c r="M2039" s="7"/>
    </row>
    <row r="2040" spans="1:13" x14ac:dyDescent="0.35">
      <c r="A2040" s="227"/>
      <c r="B2040" s="59"/>
      <c r="C2040" s="93"/>
      <c r="D2040" s="93"/>
      <c r="E2040" s="93"/>
      <c r="F2040" s="93"/>
      <c r="G2040" s="93"/>
      <c r="H2040" s="242"/>
      <c r="I2040" s="75"/>
      <c r="J2040" s="7"/>
      <c r="K2040" s="9"/>
      <c r="L2040" s="7"/>
      <c r="M2040" s="7"/>
    </row>
    <row r="2041" spans="1:13" x14ac:dyDescent="0.35">
      <c r="A2041" s="227"/>
      <c r="B2041" s="59"/>
      <c r="C2041" s="93"/>
      <c r="D2041" s="93"/>
      <c r="E2041" s="93"/>
      <c r="F2041" s="93"/>
      <c r="G2041" s="93"/>
      <c r="H2041" s="242"/>
      <c r="I2041" s="75"/>
      <c r="J2041" s="7"/>
      <c r="K2041" s="9"/>
      <c r="L2041" s="7"/>
      <c r="M2041" s="7"/>
    </row>
    <row r="2042" spans="1:13" x14ac:dyDescent="0.35">
      <c r="A2042" s="227"/>
      <c r="B2042" s="59"/>
      <c r="C2042" s="93"/>
      <c r="D2042" s="93"/>
      <c r="E2042" s="93"/>
      <c r="F2042" s="93"/>
      <c r="G2042" s="93"/>
      <c r="H2042" s="242"/>
      <c r="I2042" s="75"/>
      <c r="J2042" s="7"/>
      <c r="K2042" s="9"/>
      <c r="L2042" s="7"/>
      <c r="M2042" s="7"/>
    </row>
    <row r="2043" spans="1:13" x14ac:dyDescent="0.35">
      <c r="A2043" s="227"/>
      <c r="B2043" s="59"/>
      <c r="C2043" s="93"/>
      <c r="D2043" s="93"/>
      <c r="E2043" s="93"/>
      <c r="F2043" s="93"/>
      <c r="G2043" s="93"/>
      <c r="H2043" s="242"/>
      <c r="I2043" s="75"/>
      <c r="J2043" s="7"/>
      <c r="K2043" s="9"/>
      <c r="L2043" s="7"/>
      <c r="M2043" s="7"/>
    </row>
    <row r="2044" spans="1:13" x14ac:dyDescent="0.35">
      <c r="A2044" s="227"/>
      <c r="B2044" s="59"/>
      <c r="C2044" s="93"/>
      <c r="D2044" s="93"/>
      <c r="E2044" s="93"/>
      <c r="F2044" s="93"/>
      <c r="G2044" s="93"/>
      <c r="H2044" s="242"/>
      <c r="I2044" s="75"/>
      <c r="J2044" s="7"/>
      <c r="K2044" s="7"/>
      <c r="L2044" s="7"/>
      <c r="M2044" s="7"/>
    </row>
    <row r="2045" spans="1:13" x14ac:dyDescent="0.35">
      <c r="A2045" s="227"/>
      <c r="B2045" s="59"/>
      <c r="C2045" s="93"/>
      <c r="D2045" s="93"/>
      <c r="E2045" s="93"/>
      <c r="F2045" s="93"/>
      <c r="G2045" s="93"/>
      <c r="H2045" s="242"/>
      <c r="I2045" s="75"/>
      <c r="J2045" s="7"/>
      <c r="K2045" s="7"/>
      <c r="L2045" s="7"/>
      <c r="M2045" s="7"/>
    </row>
    <row r="2046" spans="1:13" x14ac:dyDescent="0.35">
      <c r="A2046" s="227"/>
      <c r="B2046" s="59"/>
      <c r="C2046" s="93"/>
      <c r="D2046" s="93"/>
      <c r="E2046" s="93"/>
      <c r="F2046" s="93"/>
      <c r="G2046" s="93"/>
      <c r="H2046" s="242"/>
      <c r="I2046" s="75"/>
      <c r="J2046" s="7"/>
      <c r="K2046" s="7"/>
      <c r="L2046" s="7"/>
      <c r="M2046" s="7"/>
    </row>
    <row r="2047" spans="1:13" x14ac:dyDescent="0.35">
      <c r="A2047" s="227"/>
      <c r="B2047" s="59"/>
      <c r="C2047" s="93"/>
      <c r="D2047" s="93"/>
      <c r="E2047" s="93"/>
      <c r="F2047" s="93"/>
      <c r="G2047" s="93"/>
      <c r="H2047" s="242"/>
      <c r="I2047" s="75"/>
      <c r="J2047" s="7"/>
      <c r="K2047" s="7"/>
      <c r="L2047" s="7"/>
      <c r="M2047" s="7"/>
    </row>
    <row r="2048" spans="1:13" x14ac:dyDescent="0.35">
      <c r="A2048" s="227"/>
      <c r="B2048" s="59"/>
      <c r="C2048" s="93"/>
      <c r="D2048" s="93"/>
      <c r="E2048" s="93"/>
      <c r="F2048" s="93"/>
      <c r="G2048" s="93"/>
      <c r="H2048" s="242"/>
      <c r="I2048" s="75"/>
      <c r="J2048" s="7"/>
      <c r="K2048" s="7"/>
      <c r="L2048" s="7"/>
      <c r="M2048" s="7"/>
    </row>
    <row r="2049" spans="1:13" x14ac:dyDescent="0.35">
      <c r="A2049" s="227"/>
      <c r="B2049" s="59"/>
      <c r="C2049" s="93"/>
      <c r="D2049" s="93"/>
      <c r="E2049" s="93"/>
      <c r="F2049" s="93"/>
      <c r="G2049" s="93"/>
      <c r="H2049" s="242"/>
      <c r="I2049" s="75"/>
      <c r="J2049" s="7"/>
      <c r="K2049" s="7"/>
      <c r="L2049" s="7"/>
      <c r="M2049" s="7"/>
    </row>
    <row r="2050" spans="1:13" x14ac:dyDescent="0.35">
      <c r="A2050" s="227"/>
      <c r="B2050" s="59"/>
      <c r="C2050" s="93"/>
      <c r="D2050" s="93"/>
      <c r="E2050" s="93"/>
      <c r="F2050" s="93"/>
      <c r="G2050" s="93"/>
      <c r="H2050" s="242"/>
      <c r="I2050" s="75"/>
      <c r="J2050" s="7"/>
      <c r="K2050" s="7"/>
      <c r="L2050" s="7"/>
      <c r="M2050" s="7"/>
    </row>
    <row r="2051" spans="1:13" x14ac:dyDescent="0.35">
      <c r="A2051" s="227"/>
      <c r="B2051" s="59"/>
      <c r="C2051" s="93"/>
      <c r="D2051" s="93"/>
      <c r="E2051" s="93"/>
      <c r="F2051" s="93"/>
      <c r="G2051" s="93"/>
      <c r="H2051" s="242"/>
      <c r="I2051" s="75"/>
      <c r="J2051" s="7"/>
      <c r="K2051" s="7"/>
      <c r="L2051" s="7"/>
      <c r="M2051" s="7"/>
    </row>
    <row r="2052" spans="1:13" x14ac:dyDescent="0.35">
      <c r="A2052" s="227"/>
      <c r="B2052" s="59"/>
      <c r="C2052" s="93"/>
      <c r="D2052" s="93"/>
      <c r="E2052" s="93"/>
      <c r="F2052" s="93"/>
      <c r="G2052" s="93"/>
      <c r="H2052" s="242"/>
      <c r="I2052" s="75"/>
      <c r="J2052" s="7"/>
      <c r="K2052" s="7"/>
      <c r="L2052" s="7"/>
      <c r="M2052" s="7"/>
    </row>
    <row r="2053" spans="1:13" x14ac:dyDescent="0.35">
      <c r="A2053" s="227"/>
      <c r="B2053" s="59"/>
      <c r="C2053" s="93"/>
      <c r="D2053" s="93"/>
      <c r="E2053" s="93"/>
      <c r="F2053" s="93"/>
      <c r="G2053" s="93"/>
      <c r="H2053" s="242"/>
      <c r="I2053" s="75"/>
      <c r="J2053" s="7"/>
      <c r="K2053" s="7"/>
      <c r="L2053" s="7"/>
      <c r="M2053" s="7"/>
    </row>
    <row r="2054" spans="1:13" x14ac:dyDescent="0.35">
      <c r="A2054" s="227"/>
      <c r="B2054" s="59"/>
      <c r="C2054" s="93"/>
      <c r="D2054" s="93"/>
      <c r="E2054" s="93"/>
      <c r="F2054" s="93"/>
      <c r="G2054" s="93"/>
      <c r="H2054" s="242"/>
      <c r="I2054" s="75"/>
      <c r="J2054" s="7"/>
      <c r="K2054" s="7"/>
      <c r="L2054" s="7"/>
      <c r="M2054" s="7"/>
    </row>
    <row r="2055" spans="1:13" x14ac:dyDescent="0.35">
      <c r="A2055" s="227"/>
      <c r="B2055" s="59"/>
      <c r="C2055" s="93"/>
      <c r="D2055" s="93"/>
      <c r="E2055" s="93"/>
      <c r="F2055" s="93"/>
      <c r="G2055" s="93"/>
      <c r="H2055" s="242"/>
      <c r="I2055" s="75"/>
      <c r="J2055" s="7"/>
      <c r="K2055" s="7"/>
      <c r="L2055" s="7"/>
      <c r="M2055" s="7"/>
    </row>
    <row r="2056" spans="1:13" x14ac:dyDescent="0.35">
      <c r="A2056" s="227"/>
      <c r="B2056" s="59"/>
      <c r="C2056" s="93"/>
      <c r="D2056" s="93"/>
      <c r="E2056" s="93"/>
      <c r="F2056" s="93"/>
      <c r="G2056" s="93"/>
      <c r="H2056" s="242"/>
      <c r="I2056" s="75"/>
      <c r="J2056" s="7"/>
      <c r="K2056" s="7"/>
      <c r="L2056" s="7"/>
      <c r="M2056" s="7"/>
    </row>
    <row r="2057" spans="1:13" x14ac:dyDescent="0.35">
      <c r="A2057" s="227"/>
      <c r="B2057" s="59"/>
      <c r="C2057" s="93"/>
      <c r="D2057" s="93"/>
      <c r="E2057" s="93"/>
      <c r="F2057" s="93"/>
      <c r="G2057" s="93"/>
      <c r="H2057" s="242"/>
      <c r="I2057" s="75"/>
      <c r="J2057" s="7"/>
      <c r="K2057" s="7"/>
      <c r="L2057" s="7"/>
      <c r="M2057" s="7"/>
    </row>
    <row r="2058" spans="1:13" x14ac:dyDescent="0.35">
      <c r="A2058" s="227"/>
      <c r="B2058" s="59"/>
      <c r="C2058" s="93"/>
      <c r="D2058" s="93"/>
      <c r="E2058" s="93"/>
      <c r="F2058" s="93"/>
      <c r="G2058" s="93"/>
      <c r="H2058" s="242"/>
      <c r="I2058" s="75"/>
      <c r="J2058" s="7"/>
      <c r="K2058" s="7"/>
      <c r="L2058" s="7"/>
      <c r="M2058" s="7"/>
    </row>
    <row r="2059" spans="1:13" x14ac:dyDescent="0.35">
      <c r="A2059" s="227"/>
      <c r="B2059" s="59"/>
      <c r="C2059" s="93"/>
      <c r="D2059" s="93"/>
      <c r="E2059" s="93"/>
      <c r="F2059" s="93"/>
      <c r="G2059" s="93"/>
      <c r="H2059" s="242"/>
      <c r="I2059" s="75"/>
      <c r="J2059" s="7"/>
      <c r="K2059" s="7"/>
      <c r="L2059" s="7"/>
      <c r="M2059" s="7"/>
    </row>
    <row r="2060" spans="1:13" x14ac:dyDescent="0.35">
      <c r="A2060" s="227"/>
      <c r="B2060" s="59"/>
      <c r="C2060" s="93"/>
      <c r="D2060" s="93"/>
      <c r="E2060" s="93"/>
      <c r="F2060" s="93"/>
      <c r="G2060" s="93"/>
      <c r="H2060" s="242"/>
      <c r="I2060" s="75"/>
      <c r="J2060" s="7"/>
      <c r="K2060" s="7"/>
      <c r="L2060" s="7"/>
      <c r="M2060" s="7"/>
    </row>
    <row r="2061" spans="1:13" x14ac:dyDescent="0.35">
      <c r="A2061" s="227"/>
      <c r="B2061" s="59"/>
      <c r="C2061" s="93"/>
      <c r="D2061" s="93"/>
      <c r="E2061" s="93"/>
      <c r="F2061" s="93"/>
      <c r="G2061" s="93"/>
      <c r="H2061" s="242"/>
      <c r="I2061" s="75"/>
      <c r="J2061" s="7"/>
      <c r="K2061" s="7"/>
      <c r="L2061" s="7"/>
      <c r="M2061" s="7"/>
    </row>
    <row r="2062" spans="1:13" x14ac:dyDescent="0.35">
      <c r="A2062" s="227"/>
      <c r="B2062" s="59"/>
      <c r="C2062" s="93"/>
      <c r="D2062" s="93"/>
      <c r="E2062" s="93"/>
      <c r="F2062" s="93"/>
      <c r="G2062" s="93"/>
      <c r="H2062" s="242"/>
      <c r="I2062" s="75"/>
      <c r="J2062" s="7"/>
      <c r="K2062" s="7"/>
      <c r="L2062" s="7"/>
      <c r="M2062" s="7"/>
    </row>
    <row r="2063" spans="1:13" x14ac:dyDescent="0.35">
      <c r="A2063" s="227"/>
      <c r="B2063" s="59"/>
      <c r="C2063" s="93"/>
      <c r="D2063" s="93"/>
      <c r="E2063" s="93"/>
      <c r="F2063" s="93"/>
      <c r="G2063" s="93"/>
      <c r="H2063" s="242"/>
      <c r="I2063" s="75"/>
      <c r="J2063" s="7"/>
      <c r="K2063" s="7"/>
      <c r="L2063" s="7"/>
      <c r="M2063" s="7"/>
    </row>
    <row r="2064" spans="1:13" x14ac:dyDescent="0.35">
      <c r="A2064" s="227"/>
      <c r="B2064" s="59"/>
      <c r="C2064" s="93"/>
      <c r="D2064" s="93"/>
      <c r="E2064" s="93"/>
      <c r="F2064" s="93"/>
      <c r="G2064" s="93"/>
      <c r="H2064" s="242"/>
      <c r="I2064" s="75"/>
      <c r="J2064" s="7"/>
      <c r="K2064" s="7"/>
      <c r="L2064" s="7"/>
      <c r="M2064" s="7"/>
    </row>
    <row r="2065" spans="1:13" x14ac:dyDescent="0.35">
      <c r="A2065" s="227"/>
      <c r="B2065" s="59"/>
      <c r="C2065" s="93"/>
      <c r="D2065" s="93"/>
      <c r="E2065" s="93"/>
      <c r="F2065" s="93"/>
      <c r="G2065" s="93"/>
      <c r="H2065" s="242"/>
      <c r="I2065" s="75"/>
      <c r="J2065" s="7"/>
      <c r="K2065" s="7"/>
      <c r="L2065" s="7"/>
      <c r="M2065" s="7"/>
    </row>
    <row r="2066" spans="1:13" x14ac:dyDescent="0.35">
      <c r="A2066" s="227"/>
      <c r="B2066" s="59"/>
      <c r="C2066" s="93"/>
      <c r="D2066" s="93"/>
      <c r="E2066" s="93"/>
      <c r="F2066" s="93"/>
      <c r="G2066" s="93"/>
      <c r="H2066" s="242"/>
      <c r="I2066" s="75"/>
      <c r="J2066" s="7"/>
      <c r="K2066" s="7"/>
      <c r="L2066" s="7"/>
      <c r="M2066" s="7"/>
    </row>
    <row r="2067" spans="1:13" x14ac:dyDescent="0.35">
      <c r="A2067" s="227"/>
      <c r="B2067" s="59"/>
      <c r="C2067" s="93"/>
      <c r="D2067" s="93"/>
      <c r="E2067" s="93"/>
      <c r="F2067" s="93"/>
      <c r="G2067" s="93"/>
      <c r="H2067" s="242"/>
      <c r="I2067" s="75"/>
      <c r="J2067" s="7"/>
      <c r="K2067" s="7"/>
      <c r="L2067" s="7"/>
      <c r="M2067" s="7"/>
    </row>
    <row r="2068" spans="1:13" x14ac:dyDescent="0.35">
      <c r="A2068" s="227"/>
      <c r="B2068" s="59"/>
      <c r="C2068" s="93"/>
      <c r="D2068" s="93"/>
      <c r="E2068" s="93"/>
      <c r="F2068" s="93"/>
      <c r="G2068" s="93"/>
      <c r="H2068" s="242"/>
      <c r="I2068" s="75"/>
      <c r="J2068" s="7"/>
      <c r="K2068" s="7"/>
      <c r="L2068" s="7"/>
      <c r="M2068" s="7"/>
    </row>
    <row r="2069" spans="1:13" x14ac:dyDescent="0.35">
      <c r="A2069" s="227"/>
      <c r="B2069" s="59"/>
      <c r="C2069" s="93"/>
      <c r="D2069" s="93"/>
      <c r="E2069" s="93"/>
      <c r="F2069" s="93"/>
      <c r="G2069" s="93"/>
      <c r="H2069" s="242"/>
      <c r="I2069" s="75"/>
      <c r="J2069" s="7"/>
      <c r="K2069" s="7"/>
      <c r="L2069" s="7"/>
      <c r="M2069" s="7"/>
    </row>
    <row r="2070" spans="1:13" x14ac:dyDescent="0.35">
      <c r="A2070" s="227"/>
      <c r="B2070" s="59"/>
      <c r="C2070" s="93"/>
      <c r="D2070" s="93"/>
      <c r="E2070" s="93"/>
      <c r="F2070" s="93"/>
      <c r="G2070" s="93"/>
      <c r="H2070" s="242"/>
      <c r="I2070" s="75"/>
      <c r="J2070" s="7"/>
      <c r="K2070" s="7"/>
      <c r="L2070" s="7"/>
      <c r="M2070" s="7"/>
    </row>
    <row r="2071" spans="1:13" x14ac:dyDescent="0.35">
      <c r="A2071" s="227"/>
      <c r="B2071" s="59"/>
      <c r="C2071" s="93"/>
      <c r="D2071" s="93"/>
      <c r="E2071" s="93"/>
      <c r="F2071" s="93"/>
      <c r="G2071" s="93"/>
      <c r="H2071" s="242"/>
      <c r="I2071" s="75"/>
      <c r="J2071" s="7"/>
      <c r="K2071" s="7"/>
      <c r="L2071" s="7"/>
      <c r="M2071" s="7"/>
    </row>
    <row r="2072" spans="1:13" x14ac:dyDescent="0.35">
      <c r="A2072" s="227"/>
      <c r="B2072" s="59"/>
      <c r="C2072" s="93"/>
      <c r="D2072" s="93"/>
      <c r="E2072" s="93"/>
      <c r="F2072" s="93"/>
      <c r="G2072" s="93"/>
      <c r="H2072" s="242"/>
      <c r="I2072" s="75"/>
      <c r="J2072" s="7"/>
      <c r="K2072" s="7"/>
      <c r="L2072" s="7"/>
      <c r="M2072" s="7"/>
    </row>
    <row r="2073" spans="1:13" x14ac:dyDescent="0.35">
      <c r="A2073" s="227"/>
      <c r="B2073" s="59"/>
      <c r="C2073" s="93"/>
      <c r="D2073" s="93"/>
      <c r="E2073" s="93"/>
      <c r="F2073" s="93"/>
      <c r="G2073" s="93"/>
      <c r="H2073" s="242"/>
      <c r="I2073" s="75"/>
      <c r="J2073" s="7"/>
      <c r="K2073" s="7"/>
      <c r="L2073" s="7"/>
      <c r="M2073" s="7"/>
    </row>
    <row r="2074" spans="1:13" x14ac:dyDescent="0.35">
      <c r="A2074" s="227"/>
      <c r="B2074" s="59"/>
      <c r="C2074" s="93"/>
      <c r="D2074" s="93"/>
      <c r="E2074" s="93"/>
      <c r="F2074" s="93"/>
      <c r="G2074" s="93"/>
      <c r="H2074" s="242"/>
      <c r="I2074" s="75"/>
      <c r="J2074" s="7"/>
      <c r="K2074" s="7"/>
      <c r="L2074" s="7"/>
      <c r="M2074" s="7"/>
    </row>
    <row r="2075" spans="1:13" x14ac:dyDescent="0.35">
      <c r="A2075" s="227"/>
      <c r="B2075" s="59"/>
      <c r="C2075" s="93"/>
      <c r="D2075" s="93"/>
      <c r="E2075" s="93"/>
      <c r="F2075" s="93"/>
      <c r="G2075" s="93"/>
      <c r="H2075" s="242"/>
      <c r="I2075" s="75"/>
      <c r="J2075" s="7"/>
      <c r="K2075" s="7"/>
      <c r="L2075" s="7"/>
      <c r="M2075" s="7"/>
    </row>
    <row r="2076" spans="1:13" x14ac:dyDescent="0.35">
      <c r="A2076" s="227"/>
      <c r="B2076" s="59"/>
      <c r="C2076" s="93"/>
      <c r="D2076" s="93"/>
      <c r="E2076" s="93"/>
      <c r="F2076" s="93"/>
      <c r="G2076" s="93"/>
      <c r="H2076" s="242"/>
      <c r="I2076" s="75"/>
      <c r="J2076" s="7"/>
      <c r="K2076" s="7"/>
      <c r="L2076" s="7"/>
      <c r="M2076" s="7"/>
    </row>
    <row r="2077" spans="1:13" x14ac:dyDescent="0.35">
      <c r="A2077" s="227"/>
      <c r="B2077" s="59"/>
      <c r="C2077" s="93"/>
      <c r="D2077" s="93"/>
      <c r="E2077" s="93"/>
      <c r="F2077" s="93"/>
      <c r="G2077" s="93"/>
      <c r="H2077" s="242"/>
      <c r="I2077" s="75"/>
      <c r="J2077" s="7"/>
      <c r="K2077" s="7"/>
      <c r="L2077" s="7"/>
      <c r="M2077" s="7"/>
    </row>
    <row r="2078" spans="1:13" x14ac:dyDescent="0.35">
      <c r="A2078" s="227"/>
      <c r="B2078" s="59"/>
      <c r="C2078" s="93"/>
      <c r="D2078" s="93"/>
      <c r="E2078" s="93"/>
      <c r="F2078" s="93"/>
      <c r="G2078" s="93"/>
      <c r="H2078" s="242"/>
      <c r="I2078" s="75"/>
      <c r="J2078" s="7"/>
      <c r="K2078" s="7"/>
      <c r="L2078" s="7"/>
      <c r="M2078" s="7"/>
    </row>
    <row r="2079" spans="1:13" x14ac:dyDescent="0.35">
      <c r="A2079" s="227"/>
      <c r="B2079" s="59"/>
      <c r="C2079" s="93"/>
      <c r="D2079" s="93"/>
      <c r="E2079" s="93"/>
      <c r="F2079" s="93"/>
      <c r="G2079" s="93"/>
      <c r="H2079" s="242"/>
      <c r="I2079" s="75"/>
      <c r="J2079" s="7"/>
      <c r="K2079" s="7"/>
      <c r="L2079" s="7"/>
      <c r="M2079" s="7"/>
    </row>
    <row r="2080" spans="1:13" x14ac:dyDescent="0.35">
      <c r="A2080" s="227"/>
      <c r="B2080" s="59"/>
      <c r="C2080" s="93"/>
      <c r="D2080" s="93"/>
      <c r="E2080" s="93"/>
      <c r="F2080" s="93"/>
      <c r="G2080" s="93"/>
      <c r="H2080" s="242"/>
      <c r="I2080" s="75"/>
      <c r="J2080" s="7"/>
      <c r="K2080" s="7"/>
      <c r="L2080" s="7"/>
      <c r="M2080" s="7"/>
    </row>
    <row r="2081" spans="1:13" x14ac:dyDescent="0.35">
      <c r="A2081" s="227"/>
      <c r="B2081" s="59"/>
      <c r="C2081" s="93"/>
      <c r="D2081" s="93"/>
      <c r="E2081" s="93"/>
      <c r="F2081" s="93"/>
      <c r="G2081" s="93"/>
      <c r="H2081" s="242"/>
      <c r="I2081" s="75"/>
      <c r="J2081" s="7"/>
      <c r="K2081" s="7"/>
      <c r="L2081" s="7"/>
      <c r="M2081" s="7"/>
    </row>
    <row r="2082" spans="1:13" x14ac:dyDescent="0.35">
      <c r="A2082" s="227"/>
      <c r="B2082" s="59"/>
      <c r="C2082" s="93"/>
      <c r="D2082" s="93"/>
      <c r="E2082" s="93"/>
      <c r="F2082" s="93"/>
      <c r="G2082" s="93"/>
      <c r="H2082" s="242"/>
      <c r="I2082" s="75"/>
      <c r="J2082" s="7"/>
      <c r="K2082" s="7"/>
      <c r="L2082" s="7"/>
      <c r="M2082" s="7"/>
    </row>
    <row r="2083" spans="1:13" x14ac:dyDescent="0.35">
      <c r="A2083" s="227"/>
      <c r="B2083" s="59"/>
      <c r="C2083" s="93"/>
      <c r="D2083" s="93"/>
      <c r="E2083" s="93"/>
      <c r="F2083" s="93"/>
      <c r="G2083" s="93"/>
      <c r="H2083" s="242"/>
      <c r="I2083" s="75"/>
      <c r="J2083" s="7"/>
      <c r="K2083" s="7"/>
      <c r="L2083" s="7"/>
      <c r="M2083" s="7"/>
    </row>
    <row r="2084" spans="1:13" x14ac:dyDescent="0.35">
      <c r="A2084" s="227"/>
      <c r="B2084" s="59"/>
      <c r="C2084" s="93"/>
      <c r="D2084" s="93"/>
      <c r="E2084" s="93"/>
      <c r="F2084" s="93"/>
      <c r="G2084" s="93"/>
      <c r="H2084" s="242"/>
      <c r="I2084" s="75"/>
      <c r="J2084" s="7"/>
      <c r="K2084" s="7"/>
      <c r="L2084" s="7"/>
      <c r="M2084" s="7"/>
    </row>
    <row r="2085" spans="1:13" x14ac:dyDescent="0.35">
      <c r="A2085" s="227"/>
      <c r="B2085" s="59"/>
      <c r="C2085" s="93"/>
      <c r="D2085" s="93"/>
      <c r="E2085" s="93"/>
      <c r="F2085" s="93"/>
      <c r="G2085" s="93"/>
      <c r="H2085" s="242"/>
      <c r="I2085" s="75"/>
      <c r="J2085" s="7"/>
      <c r="K2085" s="7"/>
      <c r="L2085" s="7"/>
      <c r="M2085" s="7"/>
    </row>
    <row r="2086" spans="1:13" x14ac:dyDescent="0.35">
      <c r="A2086" s="227"/>
      <c r="B2086" s="59"/>
      <c r="C2086" s="93"/>
      <c r="D2086" s="93"/>
      <c r="E2086" s="93"/>
      <c r="F2086" s="93"/>
      <c r="G2086" s="93"/>
      <c r="H2086" s="242"/>
      <c r="I2086" s="75"/>
      <c r="J2086" s="7"/>
      <c r="K2086" s="7"/>
      <c r="L2086" s="7"/>
      <c r="M2086" s="7"/>
    </row>
    <row r="2087" spans="1:13" x14ac:dyDescent="0.35">
      <c r="A2087" s="227"/>
      <c r="B2087" s="59"/>
      <c r="C2087" s="7"/>
      <c r="D2087" s="7"/>
      <c r="E2087" s="7"/>
      <c r="F2087" s="7"/>
      <c r="G2087" s="7"/>
      <c r="H2087" s="75"/>
      <c r="I2087" s="75"/>
      <c r="J2087" s="7"/>
      <c r="K2087" s="7"/>
      <c r="L2087" s="7"/>
      <c r="M2087" s="7"/>
    </row>
    <row r="2088" spans="1:13" x14ac:dyDescent="0.35">
      <c r="A2088" s="227"/>
      <c r="B2088" s="59"/>
      <c r="C2088" s="7"/>
      <c r="D2088" s="7"/>
      <c r="E2088" s="7"/>
      <c r="F2088" s="7"/>
      <c r="G2088" s="7"/>
      <c r="H2088" s="75"/>
      <c r="I2088" s="75"/>
      <c r="J2088" s="7"/>
      <c r="K2088" s="7"/>
      <c r="L2088" s="7"/>
      <c r="M2088" s="7"/>
    </row>
    <row r="2089" spans="1:13" x14ac:dyDescent="0.35">
      <c r="A2089" s="227"/>
      <c r="B2089" s="59"/>
      <c r="C2089" s="7"/>
      <c r="D2089" s="7"/>
      <c r="E2089" s="7"/>
      <c r="F2089" s="7"/>
      <c r="G2089" s="7"/>
      <c r="H2089" s="75"/>
      <c r="I2089" s="75"/>
      <c r="J2089" s="7"/>
      <c r="K2089" s="7"/>
      <c r="L2089" s="7"/>
      <c r="M2089" s="7"/>
    </row>
    <row r="2090" spans="1:13" x14ac:dyDescent="0.35">
      <c r="A2090" s="227"/>
      <c r="B2090" s="59"/>
      <c r="C2090" s="7"/>
      <c r="D2090" s="7"/>
      <c r="E2090" s="7"/>
      <c r="F2090" s="7"/>
      <c r="G2090" s="7"/>
      <c r="H2090" s="75"/>
      <c r="I2090" s="75"/>
      <c r="J2090" s="7"/>
      <c r="K2090" s="7"/>
      <c r="L2090" s="7"/>
      <c r="M2090" s="7"/>
    </row>
    <row r="2091" spans="1:13" x14ac:dyDescent="0.35">
      <c r="A2091" s="227"/>
      <c r="B2091" s="59"/>
      <c r="C2091" s="7"/>
      <c r="D2091" s="7"/>
      <c r="E2091" s="7"/>
      <c r="F2091" s="7"/>
      <c r="G2091" s="7"/>
      <c r="H2091" s="75"/>
      <c r="I2091" s="75"/>
      <c r="J2091" s="7"/>
      <c r="K2091" s="7"/>
      <c r="L2091" s="7"/>
      <c r="M2091" s="7"/>
    </row>
    <row r="2092" spans="1:13" x14ac:dyDescent="0.35">
      <c r="A2092" s="227"/>
      <c r="B2092" s="59"/>
      <c r="C2092" s="7"/>
      <c r="D2092" s="7"/>
      <c r="E2092" s="7"/>
      <c r="F2092" s="7"/>
      <c r="G2092" s="7"/>
      <c r="H2092" s="75"/>
      <c r="I2092" s="75"/>
      <c r="J2092" s="7"/>
      <c r="K2092" s="7"/>
      <c r="L2092" s="7"/>
      <c r="M2092" s="7"/>
    </row>
    <row r="2093" spans="1:13" x14ac:dyDescent="0.35">
      <c r="A2093" s="227"/>
      <c r="B2093" s="59"/>
      <c r="C2093" s="7"/>
      <c r="D2093" s="7"/>
      <c r="E2093" s="7"/>
      <c r="F2093" s="7"/>
      <c r="G2093" s="7"/>
      <c r="H2093" s="75"/>
      <c r="I2093" s="75"/>
      <c r="J2093" s="7"/>
      <c r="K2093" s="7"/>
      <c r="L2093" s="7"/>
      <c r="M2093" s="7"/>
    </row>
    <row r="2094" spans="1:13" x14ac:dyDescent="0.35">
      <c r="A2094" s="227"/>
      <c r="B2094" s="59"/>
      <c r="C2094" s="7"/>
      <c r="D2094" s="7"/>
      <c r="E2094" s="7"/>
      <c r="F2094" s="7"/>
      <c r="G2094" s="7"/>
      <c r="H2094" s="75"/>
      <c r="I2094" s="75"/>
      <c r="J2094" s="7"/>
      <c r="K2094" s="7"/>
      <c r="L2094" s="7"/>
      <c r="M2094" s="7"/>
    </row>
    <row r="2095" spans="1:13" x14ac:dyDescent="0.35">
      <c r="A2095" s="227"/>
      <c r="B2095" s="59"/>
      <c r="C2095" s="7"/>
      <c r="D2095" s="7"/>
      <c r="E2095" s="7"/>
      <c r="F2095" s="7"/>
      <c r="G2095" s="7"/>
      <c r="H2095" s="75"/>
      <c r="I2095" s="75"/>
      <c r="J2095" s="7"/>
      <c r="K2095" s="7"/>
      <c r="L2095" s="7"/>
      <c r="M2095" s="7"/>
    </row>
    <row r="2096" spans="1:13" x14ac:dyDescent="0.35">
      <c r="A2096" s="227"/>
      <c r="B2096" s="59"/>
      <c r="C2096" s="7"/>
      <c r="D2096" s="7"/>
      <c r="E2096" s="7"/>
      <c r="F2096" s="7"/>
      <c r="G2096" s="7"/>
      <c r="H2096" s="75"/>
      <c r="I2096" s="75"/>
      <c r="J2096" s="7"/>
      <c r="K2096" s="7"/>
      <c r="L2096" s="7"/>
      <c r="M2096" s="7"/>
    </row>
    <row r="2097" spans="1:13" x14ac:dyDescent="0.35">
      <c r="A2097" s="227"/>
      <c r="B2097" s="59"/>
      <c r="C2097" s="7"/>
      <c r="D2097" s="7"/>
      <c r="E2097" s="7"/>
      <c r="F2097" s="7"/>
      <c r="G2097" s="7"/>
      <c r="H2097" s="75"/>
      <c r="I2097" s="75"/>
      <c r="J2097" s="7"/>
      <c r="K2097" s="7"/>
      <c r="L2097" s="7"/>
      <c r="M2097" s="7"/>
    </row>
    <row r="2098" spans="1:13" x14ac:dyDescent="0.35">
      <c r="A2098" s="227"/>
      <c r="B2098" s="59"/>
      <c r="C2098" s="7"/>
      <c r="D2098" s="7"/>
      <c r="E2098" s="7"/>
      <c r="F2098" s="7"/>
      <c r="G2098" s="7"/>
      <c r="H2098" s="75"/>
      <c r="I2098" s="75"/>
      <c r="J2098" s="7"/>
      <c r="K2098" s="7"/>
      <c r="L2098" s="7"/>
      <c r="M2098" s="7"/>
    </row>
    <row r="2099" spans="1:13" x14ac:dyDescent="0.35">
      <c r="A2099" s="227"/>
      <c r="B2099" s="59"/>
      <c r="C2099" s="7"/>
      <c r="D2099" s="7"/>
      <c r="E2099" s="7"/>
      <c r="F2099" s="7"/>
      <c r="G2099" s="7"/>
      <c r="H2099" s="75"/>
      <c r="I2099" s="75"/>
      <c r="J2099" s="7"/>
      <c r="K2099" s="7"/>
      <c r="L2099" s="7"/>
      <c r="M2099" s="7"/>
    </row>
    <row r="2100" spans="1:13" x14ac:dyDescent="0.35">
      <c r="A2100" s="227"/>
      <c r="B2100" s="59"/>
      <c r="C2100" s="7"/>
      <c r="D2100" s="7"/>
      <c r="E2100" s="7"/>
      <c r="F2100" s="7"/>
      <c r="G2100" s="7"/>
      <c r="H2100" s="75"/>
      <c r="I2100" s="75"/>
      <c r="J2100" s="7"/>
      <c r="K2100" s="7"/>
      <c r="L2100" s="7"/>
      <c r="M2100" s="7"/>
    </row>
    <row r="2101" spans="1:13" x14ac:dyDescent="0.35">
      <c r="A2101" s="227"/>
      <c r="B2101" s="59"/>
      <c r="C2101" s="7"/>
      <c r="D2101" s="7"/>
      <c r="E2101" s="7"/>
      <c r="F2101" s="7"/>
      <c r="G2101" s="7"/>
      <c r="H2101" s="75"/>
      <c r="I2101" s="75"/>
      <c r="J2101" s="7"/>
      <c r="K2101" s="7"/>
      <c r="L2101" s="7"/>
      <c r="M2101" s="7"/>
    </row>
    <row r="2102" spans="1:13" x14ac:dyDescent="0.35">
      <c r="A2102" s="227"/>
      <c r="B2102" s="59"/>
      <c r="C2102" s="7"/>
      <c r="D2102" s="7"/>
      <c r="E2102" s="7"/>
      <c r="F2102" s="7"/>
      <c r="G2102" s="7"/>
      <c r="H2102" s="75"/>
      <c r="I2102" s="75"/>
      <c r="J2102" s="7"/>
      <c r="K2102" s="7"/>
      <c r="L2102" s="7"/>
      <c r="M2102" s="7"/>
    </row>
    <row r="2103" spans="1:13" x14ac:dyDescent="0.35">
      <c r="A2103" s="227"/>
      <c r="B2103" s="59"/>
      <c r="C2103" s="7"/>
      <c r="D2103" s="7"/>
      <c r="E2103" s="7"/>
      <c r="F2103" s="7"/>
      <c r="G2103" s="7"/>
      <c r="H2103" s="75"/>
      <c r="I2103" s="75"/>
      <c r="J2103" s="7"/>
      <c r="K2103" s="7"/>
      <c r="L2103" s="7"/>
      <c r="M2103" s="7"/>
    </row>
    <row r="2104" spans="1:13" x14ac:dyDescent="0.35">
      <c r="A2104" s="227"/>
      <c r="B2104" s="59"/>
      <c r="C2104" s="7"/>
      <c r="D2104" s="7"/>
      <c r="E2104" s="7"/>
      <c r="F2104" s="7"/>
      <c r="G2104" s="7"/>
      <c r="H2104" s="75"/>
      <c r="I2104" s="75"/>
      <c r="J2104" s="7"/>
      <c r="K2104" s="7"/>
      <c r="L2104" s="7"/>
      <c r="M2104" s="7"/>
    </row>
    <row r="2105" spans="1:13" x14ac:dyDescent="0.35">
      <c r="A2105" s="227"/>
      <c r="B2105" s="59"/>
      <c r="C2105" s="7"/>
      <c r="D2105" s="7"/>
      <c r="E2105" s="7"/>
      <c r="F2105" s="7"/>
      <c r="G2105" s="7"/>
      <c r="H2105" s="75"/>
      <c r="I2105" s="75"/>
      <c r="J2105" s="7"/>
      <c r="K2105" s="7"/>
      <c r="L2105" s="7"/>
      <c r="M2105" s="7"/>
    </row>
    <row r="2106" spans="1:13" x14ac:dyDescent="0.35">
      <c r="A2106" s="227"/>
      <c r="B2106" s="59"/>
      <c r="C2106" s="7"/>
      <c r="D2106" s="7"/>
      <c r="E2106" s="7"/>
      <c r="F2106" s="7"/>
      <c r="G2106" s="7"/>
      <c r="H2106" s="75"/>
      <c r="I2106" s="75"/>
      <c r="J2106" s="7"/>
      <c r="K2106" s="7"/>
      <c r="L2106" s="7"/>
      <c r="M2106" s="7"/>
    </row>
    <row r="2107" spans="1:13" x14ac:dyDescent="0.35">
      <c r="A2107" s="227"/>
      <c r="B2107" s="59"/>
      <c r="C2107" s="7"/>
      <c r="D2107" s="7"/>
      <c r="E2107" s="7"/>
      <c r="F2107" s="7"/>
      <c r="G2107" s="7"/>
      <c r="H2107" s="75"/>
      <c r="I2107" s="75"/>
      <c r="J2107" s="7"/>
      <c r="K2107" s="7"/>
      <c r="L2107" s="7"/>
      <c r="M2107" s="7"/>
    </row>
    <row r="2108" spans="1:13" x14ac:dyDescent="0.35">
      <c r="A2108" s="227"/>
      <c r="B2108" s="59"/>
      <c r="C2108" s="7"/>
      <c r="D2108" s="7"/>
      <c r="E2108" s="7"/>
      <c r="F2108" s="7"/>
      <c r="G2108" s="7"/>
      <c r="H2108" s="75"/>
      <c r="I2108" s="75"/>
      <c r="J2108" s="7"/>
      <c r="K2108" s="7"/>
      <c r="L2108" s="7"/>
      <c r="M2108" s="7"/>
    </row>
    <row r="2109" spans="1:13" x14ac:dyDescent="0.35">
      <c r="A2109" s="227"/>
      <c r="B2109" s="59"/>
      <c r="C2109" s="7"/>
      <c r="D2109" s="7"/>
      <c r="E2109" s="7"/>
      <c r="F2109" s="7"/>
      <c r="G2109" s="7"/>
      <c r="H2109" s="75"/>
      <c r="I2109" s="75"/>
      <c r="J2109" s="7"/>
      <c r="K2109" s="7"/>
      <c r="L2109" s="7"/>
      <c r="M2109" s="7"/>
    </row>
    <row r="2110" spans="1:13" x14ac:dyDescent="0.35">
      <c r="A2110" s="227"/>
      <c r="B2110" s="59"/>
      <c r="C2110" s="7"/>
      <c r="D2110" s="7"/>
      <c r="E2110" s="7"/>
      <c r="F2110" s="7"/>
      <c r="G2110" s="7"/>
      <c r="H2110" s="75"/>
      <c r="I2110" s="75"/>
      <c r="J2110" s="7"/>
      <c r="K2110" s="7"/>
      <c r="L2110" s="7"/>
      <c r="M2110" s="7"/>
    </row>
    <row r="2111" spans="1:13" x14ac:dyDescent="0.35">
      <c r="A2111" s="227"/>
      <c r="B2111" s="59"/>
      <c r="C2111" s="7"/>
      <c r="D2111" s="7"/>
      <c r="E2111" s="7"/>
      <c r="F2111" s="7"/>
      <c r="G2111" s="7"/>
      <c r="H2111" s="75"/>
      <c r="I2111" s="75"/>
      <c r="J2111" s="7"/>
      <c r="K2111" s="7"/>
      <c r="L2111" s="7"/>
      <c r="M2111" s="7"/>
    </row>
    <row r="2112" spans="1:13" x14ac:dyDescent="0.35">
      <c r="A2112" s="227"/>
      <c r="B2112" s="59"/>
      <c r="C2112" s="7"/>
      <c r="D2112" s="7"/>
      <c r="E2112" s="7"/>
      <c r="F2112" s="7"/>
      <c r="G2112" s="7"/>
      <c r="H2112" s="75"/>
      <c r="I2112" s="75"/>
      <c r="J2112" s="7"/>
      <c r="K2112" s="7"/>
      <c r="L2112" s="7"/>
      <c r="M2112" s="7"/>
    </row>
    <row r="2113" spans="1:13" x14ac:dyDescent="0.35">
      <c r="A2113" s="227"/>
      <c r="B2113" s="59"/>
      <c r="C2113" s="7"/>
      <c r="D2113" s="7"/>
      <c r="E2113" s="7"/>
      <c r="F2113" s="7"/>
      <c r="G2113" s="7"/>
      <c r="H2113" s="75"/>
      <c r="I2113" s="75"/>
      <c r="J2113" s="7"/>
      <c r="K2113" s="7"/>
      <c r="L2113" s="7"/>
      <c r="M2113" s="7"/>
    </row>
    <row r="2114" spans="1:13" x14ac:dyDescent="0.35">
      <c r="A2114" s="227"/>
      <c r="B2114" s="59"/>
      <c r="C2114" s="7"/>
      <c r="D2114" s="7"/>
      <c r="E2114" s="7"/>
      <c r="F2114" s="7"/>
      <c r="G2114" s="7"/>
      <c r="H2114" s="75"/>
      <c r="I2114" s="75"/>
      <c r="J2114" s="7"/>
      <c r="K2114" s="7"/>
      <c r="L2114" s="7"/>
      <c r="M2114" s="7"/>
    </row>
    <row r="2115" spans="1:13" x14ac:dyDescent="0.35">
      <c r="A2115" s="227"/>
      <c r="B2115" s="59"/>
      <c r="C2115" s="7"/>
      <c r="D2115" s="7"/>
      <c r="E2115" s="7"/>
      <c r="F2115" s="7"/>
      <c r="G2115" s="7"/>
      <c r="H2115" s="75"/>
      <c r="I2115" s="75"/>
      <c r="J2115" s="7"/>
      <c r="K2115" s="7"/>
      <c r="L2115" s="7"/>
      <c r="M2115" s="7"/>
    </row>
    <row r="2116" spans="1:13" x14ac:dyDescent="0.35">
      <c r="A2116" s="227"/>
      <c r="B2116" s="59"/>
      <c r="C2116" s="7"/>
      <c r="D2116" s="7"/>
      <c r="E2116" s="7"/>
      <c r="F2116" s="7"/>
      <c r="G2116" s="7"/>
      <c r="H2116" s="75"/>
      <c r="I2116" s="75"/>
      <c r="J2116" s="7"/>
      <c r="K2116" s="7"/>
      <c r="L2116" s="7"/>
      <c r="M2116" s="7"/>
    </row>
    <row r="2117" spans="1:13" x14ac:dyDescent="0.35">
      <c r="A2117" s="227"/>
      <c r="B2117" s="59"/>
      <c r="C2117" s="7"/>
      <c r="D2117" s="7"/>
      <c r="E2117" s="7"/>
      <c r="F2117" s="7"/>
      <c r="G2117" s="7"/>
      <c r="H2117" s="75"/>
      <c r="I2117" s="75"/>
      <c r="J2117" s="7"/>
      <c r="K2117" s="7"/>
      <c r="L2117" s="7"/>
      <c r="M2117" s="7"/>
    </row>
    <row r="2118" spans="1:13" x14ac:dyDescent="0.35">
      <c r="A2118" s="227"/>
      <c r="B2118" s="59"/>
      <c r="C2118" s="7"/>
      <c r="D2118" s="7"/>
      <c r="E2118" s="7"/>
      <c r="F2118" s="7"/>
      <c r="G2118" s="7"/>
      <c r="H2118" s="75"/>
      <c r="I2118" s="75"/>
      <c r="J2118" s="7"/>
      <c r="K2118" s="7"/>
      <c r="L2118" s="7"/>
      <c r="M2118" s="7"/>
    </row>
    <row r="2119" spans="1:13" x14ac:dyDescent="0.35">
      <c r="A2119" s="227"/>
      <c r="B2119" s="59"/>
      <c r="C2119" s="7"/>
      <c r="D2119" s="7"/>
      <c r="E2119" s="7"/>
      <c r="F2119" s="7"/>
      <c r="G2119" s="7"/>
      <c r="H2119" s="75"/>
      <c r="I2119" s="75"/>
      <c r="J2119" s="7"/>
      <c r="K2119" s="7"/>
      <c r="L2119" s="7"/>
      <c r="M2119" s="7"/>
    </row>
    <row r="2120" spans="1:13" x14ac:dyDescent="0.35">
      <c r="A2120" s="227"/>
      <c r="B2120" s="59"/>
      <c r="C2120" s="7"/>
      <c r="D2120" s="7"/>
      <c r="E2120" s="7"/>
      <c r="F2120" s="7"/>
      <c r="G2120" s="7"/>
      <c r="H2120" s="75"/>
      <c r="I2120" s="75"/>
      <c r="J2120" s="7"/>
      <c r="K2120" s="7"/>
      <c r="L2120" s="7"/>
      <c r="M2120" s="7"/>
    </row>
    <row r="2121" spans="1:13" x14ac:dyDescent="0.35">
      <c r="A2121" s="227"/>
      <c r="B2121" s="59"/>
      <c r="C2121" s="7"/>
      <c r="D2121" s="7"/>
      <c r="E2121" s="7"/>
      <c r="F2121" s="7"/>
      <c r="G2121" s="7"/>
      <c r="H2121" s="75"/>
      <c r="I2121" s="75"/>
      <c r="J2121" s="7"/>
      <c r="K2121" s="7"/>
      <c r="L2121" s="7"/>
      <c r="M2121" s="7"/>
    </row>
    <row r="2122" spans="1:13" x14ac:dyDescent="0.35">
      <c r="A2122" s="227"/>
      <c r="B2122" s="59"/>
      <c r="C2122" s="7"/>
      <c r="D2122" s="7"/>
      <c r="E2122" s="7"/>
      <c r="F2122" s="7"/>
      <c r="G2122" s="7"/>
      <c r="H2122" s="75"/>
      <c r="I2122" s="75"/>
      <c r="J2122" s="7"/>
      <c r="K2122" s="7"/>
      <c r="L2122" s="7"/>
      <c r="M2122" s="7"/>
    </row>
    <row r="2123" spans="1:13" x14ac:dyDescent="0.35">
      <c r="A2123" s="227"/>
      <c r="B2123" s="59"/>
      <c r="C2123" s="7"/>
      <c r="D2123" s="7"/>
      <c r="E2123" s="7"/>
      <c r="F2123" s="7"/>
      <c r="G2123" s="7"/>
      <c r="H2123" s="75"/>
      <c r="I2123" s="75"/>
      <c r="J2123" s="7"/>
      <c r="K2123" s="7"/>
      <c r="L2123" s="7"/>
      <c r="M2123" s="7"/>
    </row>
    <row r="2124" spans="1:13" x14ac:dyDescent="0.35">
      <c r="A2124" s="227"/>
      <c r="B2124" s="59"/>
      <c r="C2124" s="7"/>
      <c r="D2124" s="7"/>
      <c r="E2124" s="7"/>
      <c r="F2124" s="7"/>
      <c r="G2124" s="7"/>
      <c r="H2124" s="75"/>
      <c r="I2124" s="75"/>
      <c r="J2124" s="7"/>
      <c r="K2124" s="7"/>
      <c r="L2124" s="7"/>
      <c r="M2124" s="7"/>
    </row>
    <row r="2125" spans="1:13" x14ac:dyDescent="0.35">
      <c r="A2125" s="227"/>
      <c r="B2125" s="59"/>
      <c r="C2125" s="7"/>
      <c r="D2125" s="7"/>
      <c r="E2125" s="7"/>
      <c r="F2125" s="7"/>
      <c r="G2125" s="7"/>
      <c r="H2125" s="75"/>
      <c r="I2125" s="75"/>
      <c r="J2125" s="7"/>
      <c r="K2125" s="7"/>
      <c r="L2125" s="7"/>
      <c r="M2125" s="7"/>
    </row>
    <row r="2126" spans="1:13" x14ac:dyDescent="0.35">
      <c r="A2126" s="227"/>
      <c r="B2126" s="59"/>
      <c r="C2126" s="7"/>
      <c r="D2126" s="7"/>
      <c r="E2126" s="7"/>
      <c r="F2126" s="7"/>
      <c r="G2126" s="7"/>
      <c r="H2126" s="75"/>
      <c r="I2126" s="75"/>
      <c r="J2126" s="7"/>
      <c r="K2126" s="7"/>
      <c r="L2126" s="7"/>
      <c r="M2126" s="7"/>
    </row>
    <row r="2127" spans="1:13" x14ac:dyDescent="0.35">
      <c r="A2127" s="227"/>
      <c r="B2127" s="59"/>
      <c r="C2127" s="7"/>
      <c r="D2127" s="7"/>
      <c r="E2127" s="7"/>
      <c r="F2127" s="7"/>
      <c r="G2127" s="7"/>
      <c r="H2127" s="75"/>
      <c r="I2127" s="75"/>
      <c r="J2127" s="7"/>
      <c r="K2127" s="7"/>
      <c r="L2127" s="7"/>
      <c r="M2127" s="7"/>
    </row>
    <row r="2128" spans="1:13" x14ac:dyDescent="0.35">
      <c r="A2128" s="227"/>
      <c r="B2128" s="59"/>
      <c r="C2128" s="7"/>
      <c r="D2128" s="7"/>
      <c r="E2128" s="7"/>
      <c r="F2128" s="7"/>
      <c r="G2128" s="7"/>
      <c r="H2128" s="75"/>
      <c r="I2128" s="75"/>
      <c r="J2128" s="7"/>
      <c r="K2128" s="7"/>
      <c r="L2128" s="7"/>
      <c r="M2128" s="7"/>
    </row>
    <row r="2129" spans="1:13" x14ac:dyDescent="0.35">
      <c r="A2129" s="227"/>
      <c r="B2129" s="59"/>
      <c r="C2129" s="7"/>
      <c r="D2129" s="7"/>
      <c r="E2129" s="7"/>
      <c r="F2129" s="7"/>
      <c r="G2129" s="7"/>
      <c r="H2129" s="75"/>
      <c r="I2129" s="75"/>
      <c r="J2129" s="7"/>
      <c r="K2129" s="7"/>
      <c r="L2129" s="7"/>
      <c r="M2129" s="7"/>
    </row>
    <row r="2130" spans="1:13" x14ac:dyDescent="0.35">
      <c r="A2130" s="227"/>
      <c r="B2130" s="59"/>
      <c r="C2130" s="7"/>
      <c r="D2130" s="7"/>
      <c r="E2130" s="7"/>
      <c r="F2130" s="7"/>
      <c r="G2130" s="7"/>
      <c r="H2130" s="75"/>
      <c r="I2130" s="75"/>
      <c r="J2130" s="7"/>
      <c r="K2130" s="7"/>
      <c r="L2130" s="7"/>
      <c r="M2130" s="7"/>
    </row>
    <row r="2131" spans="1:13" x14ac:dyDescent="0.35">
      <c r="A2131" s="227"/>
      <c r="B2131" s="59"/>
      <c r="C2131" s="7"/>
      <c r="D2131" s="7"/>
      <c r="E2131" s="7"/>
      <c r="F2131" s="7"/>
      <c r="G2131" s="7"/>
      <c r="H2131" s="75"/>
      <c r="I2131" s="75"/>
      <c r="J2131" s="7"/>
      <c r="K2131" s="7"/>
      <c r="L2131" s="7"/>
      <c r="M2131" s="7"/>
    </row>
    <row r="2132" spans="1:13" x14ac:dyDescent="0.35">
      <c r="A2132" s="227"/>
      <c r="B2132" s="59"/>
      <c r="C2132" s="7"/>
      <c r="D2132" s="7"/>
      <c r="E2132" s="7"/>
      <c r="F2132" s="7"/>
      <c r="G2132" s="7"/>
      <c r="H2132" s="75"/>
      <c r="I2132" s="75"/>
      <c r="J2132" s="7"/>
      <c r="K2132" s="7"/>
      <c r="L2132" s="7"/>
      <c r="M2132" s="7"/>
    </row>
    <row r="2133" spans="1:13" x14ac:dyDescent="0.35">
      <c r="A2133" s="227"/>
      <c r="B2133" s="59"/>
      <c r="C2133" s="7"/>
      <c r="D2133" s="7"/>
      <c r="E2133" s="7"/>
      <c r="F2133" s="7"/>
      <c r="G2133" s="7"/>
      <c r="H2133" s="75"/>
      <c r="I2133" s="75"/>
      <c r="J2133" s="7"/>
      <c r="K2133" s="7"/>
      <c r="L2133" s="7"/>
      <c r="M2133" s="7"/>
    </row>
    <row r="2134" spans="1:13" x14ac:dyDescent="0.35">
      <c r="A2134" s="227"/>
      <c r="B2134" s="59"/>
      <c r="C2134" s="7"/>
      <c r="D2134" s="7"/>
      <c r="E2134" s="7"/>
      <c r="F2134" s="7"/>
      <c r="G2134" s="7"/>
      <c r="H2134" s="75"/>
      <c r="I2134" s="75"/>
      <c r="J2134" s="7"/>
      <c r="K2134" s="7"/>
      <c r="L2134" s="7"/>
      <c r="M2134" s="7"/>
    </row>
    <row r="2135" spans="1:13" x14ac:dyDescent="0.35">
      <c r="A2135" s="227"/>
      <c r="B2135" s="59"/>
      <c r="C2135" s="7"/>
      <c r="D2135" s="7"/>
      <c r="E2135" s="7"/>
      <c r="F2135" s="7"/>
      <c r="G2135" s="7"/>
      <c r="H2135" s="75"/>
      <c r="I2135" s="75"/>
      <c r="J2135" s="7"/>
      <c r="K2135" s="7"/>
      <c r="L2135" s="7"/>
      <c r="M2135" s="7"/>
    </row>
    <row r="2136" spans="1:13" x14ac:dyDescent="0.35">
      <c r="A2136" s="227"/>
      <c r="B2136" s="59"/>
      <c r="C2136" s="7"/>
      <c r="D2136" s="7"/>
      <c r="E2136" s="7"/>
      <c r="F2136" s="7"/>
      <c r="G2136" s="7"/>
      <c r="H2136" s="75"/>
      <c r="I2136" s="75"/>
      <c r="J2136" s="7"/>
      <c r="K2136" s="7"/>
      <c r="L2136" s="7"/>
      <c r="M2136" s="7"/>
    </row>
    <row r="2137" spans="1:13" x14ac:dyDescent="0.35">
      <c r="A2137" s="227"/>
      <c r="B2137" s="59"/>
      <c r="C2137" s="7"/>
      <c r="D2137" s="7"/>
      <c r="E2137" s="7"/>
      <c r="F2137" s="7"/>
      <c r="G2137" s="7"/>
      <c r="H2137" s="75"/>
      <c r="I2137" s="75"/>
      <c r="J2137" s="7"/>
      <c r="K2137" s="7"/>
      <c r="L2137" s="7"/>
      <c r="M2137" s="7"/>
    </row>
    <row r="2138" spans="1:13" x14ac:dyDescent="0.35">
      <c r="A2138" s="227"/>
      <c r="B2138" s="59"/>
      <c r="C2138" s="7"/>
      <c r="D2138" s="7"/>
      <c r="E2138" s="7"/>
      <c r="F2138" s="7"/>
      <c r="G2138" s="7"/>
      <c r="H2138" s="75"/>
      <c r="I2138" s="75"/>
      <c r="J2138" s="7"/>
      <c r="K2138" s="7"/>
      <c r="L2138" s="7"/>
      <c r="M2138" s="7"/>
    </row>
    <row r="2139" spans="1:13" x14ac:dyDescent="0.35">
      <c r="A2139" s="227"/>
      <c r="B2139" s="59"/>
      <c r="C2139" s="7"/>
      <c r="D2139" s="7"/>
      <c r="E2139" s="7"/>
      <c r="F2139" s="7"/>
      <c r="G2139" s="7"/>
      <c r="H2139" s="75"/>
      <c r="I2139" s="75"/>
      <c r="J2139" s="7"/>
      <c r="K2139" s="7"/>
      <c r="L2139" s="7"/>
      <c r="M2139" s="7"/>
    </row>
    <row r="2140" spans="1:13" x14ac:dyDescent="0.35">
      <c r="A2140" s="227"/>
      <c r="B2140" s="59"/>
      <c r="C2140" s="7"/>
      <c r="D2140" s="7"/>
      <c r="E2140" s="7"/>
      <c r="F2140" s="7"/>
      <c r="G2140" s="7"/>
      <c r="H2140" s="7"/>
      <c r="I2140" s="7"/>
      <c r="J2140" s="7"/>
      <c r="K2140" s="7"/>
      <c r="L2140" s="7"/>
      <c r="M2140" s="7"/>
    </row>
    <row r="2141" spans="1:13" x14ac:dyDescent="0.35">
      <c r="A2141" s="227"/>
      <c r="B2141" s="59"/>
      <c r="C2141" s="7"/>
      <c r="D2141" s="7"/>
      <c r="E2141" s="7"/>
      <c r="F2141" s="7"/>
      <c r="G2141" s="7"/>
      <c r="H2141" s="7"/>
      <c r="I2141" s="7"/>
      <c r="J2141" s="7"/>
      <c r="K2141" s="7"/>
      <c r="L2141" s="7"/>
      <c r="M2141" s="7"/>
    </row>
    <row r="2142" spans="1:13" x14ac:dyDescent="0.35">
      <c r="A2142" s="227"/>
      <c r="B2142" s="59"/>
      <c r="C2142" s="7"/>
      <c r="D2142" s="7"/>
      <c r="E2142" s="7"/>
      <c r="F2142" s="7"/>
      <c r="G2142" s="7"/>
      <c r="H2142" s="7"/>
      <c r="I2142" s="7"/>
      <c r="J2142" s="7"/>
      <c r="K2142" s="7"/>
      <c r="L2142" s="7"/>
      <c r="M2142" s="7"/>
    </row>
    <row r="2143" spans="1:13" x14ac:dyDescent="0.35">
      <c r="A2143" s="227"/>
      <c r="B2143" s="59"/>
      <c r="C2143" s="7"/>
      <c r="D2143" s="7"/>
      <c r="E2143" s="7"/>
      <c r="F2143" s="7"/>
      <c r="G2143" s="7"/>
      <c r="H2143" s="7"/>
      <c r="I2143" s="7"/>
      <c r="J2143" s="7"/>
      <c r="K2143" s="7"/>
      <c r="L2143" s="7"/>
      <c r="M2143" s="7"/>
    </row>
    <row r="2144" spans="1:13" x14ac:dyDescent="0.35">
      <c r="A2144" s="227"/>
      <c r="B2144" s="59"/>
      <c r="C2144" s="7"/>
      <c r="D2144" s="7"/>
      <c r="E2144" s="7"/>
      <c r="F2144" s="7"/>
      <c r="G2144" s="7"/>
      <c r="H2144" s="7"/>
      <c r="I2144" s="7"/>
      <c r="J2144" s="7"/>
      <c r="K2144" s="7"/>
      <c r="L2144" s="7"/>
      <c r="M2144" s="7"/>
    </row>
    <row r="2145" spans="1:13" x14ac:dyDescent="0.35">
      <c r="A2145" s="227"/>
      <c r="B2145" s="59"/>
      <c r="C2145" s="7"/>
      <c r="D2145" s="7"/>
      <c r="E2145" s="7"/>
      <c r="F2145" s="7"/>
      <c r="G2145" s="7"/>
      <c r="H2145" s="7"/>
      <c r="I2145" s="7"/>
      <c r="J2145" s="7"/>
      <c r="K2145" s="7"/>
      <c r="L2145" s="7"/>
      <c r="M2145" s="7"/>
    </row>
    <row r="2146" spans="1:13" x14ac:dyDescent="0.35">
      <c r="A2146" s="227"/>
      <c r="B2146" s="59"/>
      <c r="C2146" s="7"/>
      <c r="D2146" s="7"/>
      <c r="E2146" s="7"/>
      <c r="F2146" s="7"/>
      <c r="G2146" s="7"/>
      <c r="H2146" s="7"/>
      <c r="I2146" s="7"/>
      <c r="J2146" s="7"/>
      <c r="K2146" s="7"/>
      <c r="L2146" s="7"/>
      <c r="M2146" s="7"/>
    </row>
    <row r="2147" spans="1:13" x14ac:dyDescent="0.35">
      <c r="A2147" s="227"/>
      <c r="B2147" s="59"/>
      <c r="C2147" s="7"/>
      <c r="D2147" s="7"/>
      <c r="E2147" s="7"/>
      <c r="F2147" s="7"/>
      <c r="G2147" s="7"/>
      <c r="H2147" s="7"/>
      <c r="I2147" s="7"/>
      <c r="J2147" s="7"/>
      <c r="K2147" s="7"/>
      <c r="L2147" s="7"/>
      <c r="M2147" s="7"/>
    </row>
    <row r="2148" spans="1:13" x14ac:dyDescent="0.35">
      <c r="A2148" s="227"/>
      <c r="B2148" s="59"/>
      <c r="C2148" s="7"/>
      <c r="D2148" s="7"/>
      <c r="E2148" s="7"/>
      <c r="F2148" s="7"/>
      <c r="G2148" s="7"/>
      <c r="H2148" s="7"/>
      <c r="I2148" s="7"/>
      <c r="J2148" s="7"/>
      <c r="K2148" s="7"/>
      <c r="L2148" s="7"/>
      <c r="M2148" s="7"/>
    </row>
    <row r="2149" spans="1:13" x14ac:dyDescent="0.35">
      <c r="A2149" s="227"/>
      <c r="B2149" s="59"/>
      <c r="C2149" s="7"/>
      <c r="D2149" s="7"/>
      <c r="E2149" s="7"/>
      <c r="F2149" s="7"/>
      <c r="G2149" s="7"/>
      <c r="H2149" s="7"/>
      <c r="I2149" s="7"/>
      <c r="J2149" s="7"/>
      <c r="K2149" s="7"/>
      <c r="L2149" s="7"/>
      <c r="M2149" s="7"/>
    </row>
    <row r="2150" spans="1:13" x14ac:dyDescent="0.35">
      <c r="A2150" s="227"/>
      <c r="B2150" s="59"/>
      <c r="C2150" s="7"/>
      <c r="D2150" s="7"/>
      <c r="E2150" s="7"/>
      <c r="F2150" s="7"/>
      <c r="G2150" s="7"/>
      <c r="H2150" s="7"/>
      <c r="I2150" s="7"/>
      <c r="J2150" s="7"/>
      <c r="K2150" s="7"/>
      <c r="L2150" s="7"/>
      <c r="M2150" s="7"/>
    </row>
    <row r="2151" spans="1:13" x14ac:dyDescent="0.35">
      <c r="A2151" s="227"/>
      <c r="B2151" s="59"/>
      <c r="C2151" s="7"/>
      <c r="D2151" s="7"/>
      <c r="E2151" s="7"/>
      <c r="F2151" s="7"/>
      <c r="G2151" s="7"/>
      <c r="H2151" s="7"/>
      <c r="I2151" s="7"/>
      <c r="J2151" s="7"/>
      <c r="K2151" s="7"/>
      <c r="L2151" s="7"/>
      <c r="M2151" s="7"/>
    </row>
    <row r="2152" spans="1:13" x14ac:dyDescent="0.35">
      <c r="A2152" s="227"/>
      <c r="B2152" s="59"/>
      <c r="C2152" s="7"/>
      <c r="D2152" s="7"/>
      <c r="E2152" s="7"/>
      <c r="F2152" s="7"/>
      <c r="G2152" s="7"/>
      <c r="H2152" s="7"/>
      <c r="I2152" s="7"/>
      <c r="J2152" s="7"/>
      <c r="K2152" s="7"/>
      <c r="L2152" s="7"/>
      <c r="M2152" s="7"/>
    </row>
    <row r="2153" spans="1:13" x14ac:dyDescent="0.35">
      <c r="A2153" s="227"/>
      <c r="B2153" s="59"/>
      <c r="C2153" s="7"/>
      <c r="D2153" s="7"/>
      <c r="E2153" s="7"/>
      <c r="F2153" s="7"/>
      <c r="G2153" s="7"/>
      <c r="H2153" s="7"/>
      <c r="I2153" s="7"/>
      <c r="J2153" s="7"/>
      <c r="K2153" s="7"/>
      <c r="L2153" s="7"/>
      <c r="M2153" s="7"/>
    </row>
    <row r="2154" spans="1:13" x14ac:dyDescent="0.35">
      <c r="A2154" s="227"/>
      <c r="B2154" s="59"/>
      <c r="C2154" s="7"/>
      <c r="D2154" s="7"/>
      <c r="E2154" s="7"/>
      <c r="F2154" s="7"/>
      <c r="G2154" s="7"/>
      <c r="H2154" s="7"/>
      <c r="I2154" s="7"/>
      <c r="J2154" s="7"/>
      <c r="K2154" s="7"/>
      <c r="L2154" s="7"/>
      <c r="M2154" s="7"/>
    </row>
    <row r="2155" spans="1:13" x14ac:dyDescent="0.35">
      <c r="A2155" s="227"/>
      <c r="B2155" s="59"/>
      <c r="C2155" s="7"/>
      <c r="D2155" s="7"/>
      <c r="E2155" s="7"/>
      <c r="F2155" s="7"/>
      <c r="G2155" s="7"/>
      <c r="H2155" s="7"/>
      <c r="I2155" s="7"/>
      <c r="J2155" s="7"/>
      <c r="K2155" s="7"/>
      <c r="L2155" s="7"/>
      <c r="M2155" s="7"/>
    </row>
    <row r="2156" spans="1:13" x14ac:dyDescent="0.35">
      <c r="A2156" s="227"/>
      <c r="B2156" s="59"/>
      <c r="C2156" s="7"/>
      <c r="D2156" s="7"/>
      <c r="E2156" s="7"/>
      <c r="F2156" s="7"/>
      <c r="G2156" s="7"/>
      <c r="H2156" s="7"/>
      <c r="I2156" s="7"/>
      <c r="J2156" s="7"/>
      <c r="K2156" s="7"/>
      <c r="L2156" s="7"/>
      <c r="M2156" s="7"/>
    </row>
    <row r="2157" spans="1:13" x14ac:dyDescent="0.35">
      <c r="A2157" s="227"/>
      <c r="B2157" s="59"/>
      <c r="C2157" s="7"/>
      <c r="D2157" s="7"/>
      <c r="E2157" s="7"/>
      <c r="F2157" s="7"/>
      <c r="G2157" s="7"/>
      <c r="H2157" s="7"/>
      <c r="I2157" s="7"/>
      <c r="J2157" s="7"/>
      <c r="K2157" s="7"/>
      <c r="L2157" s="7"/>
      <c r="M2157" s="7"/>
    </row>
    <row r="2158" spans="1:13" x14ac:dyDescent="0.35">
      <c r="A2158" s="227"/>
      <c r="B2158" s="59"/>
      <c r="C2158" s="7"/>
      <c r="D2158" s="7"/>
      <c r="E2158" s="7"/>
      <c r="F2158" s="7"/>
      <c r="G2158" s="7"/>
      <c r="H2158" s="7"/>
      <c r="I2158" s="7"/>
      <c r="J2158" s="7"/>
      <c r="K2158" s="7"/>
      <c r="L2158" s="7"/>
      <c r="M2158" s="7"/>
    </row>
    <row r="2159" spans="1:13" x14ac:dyDescent="0.35">
      <c r="A2159" s="227"/>
      <c r="B2159" s="59"/>
      <c r="C2159" s="7"/>
      <c r="D2159" s="7"/>
      <c r="E2159" s="7"/>
      <c r="F2159" s="7"/>
      <c r="G2159" s="7"/>
      <c r="H2159" s="7"/>
      <c r="I2159" s="7"/>
      <c r="J2159" s="7"/>
      <c r="K2159" s="7"/>
      <c r="L2159" s="7"/>
      <c r="M2159" s="7"/>
    </row>
    <row r="2160" spans="1:13" x14ac:dyDescent="0.35">
      <c r="A2160" s="227"/>
      <c r="B2160" s="59"/>
      <c r="C2160" s="7"/>
      <c r="D2160" s="7"/>
      <c r="E2160" s="7"/>
      <c r="F2160" s="7"/>
      <c r="G2160" s="7"/>
      <c r="H2160" s="7"/>
      <c r="I2160" s="7"/>
      <c r="J2160" s="7"/>
      <c r="K2160" s="7"/>
      <c r="L2160" s="7"/>
      <c r="M2160" s="7"/>
    </row>
    <row r="2161" spans="1:13" x14ac:dyDescent="0.35">
      <c r="A2161" s="227"/>
      <c r="B2161" s="59"/>
      <c r="C2161" s="7"/>
      <c r="D2161" s="7"/>
      <c r="E2161" s="7"/>
      <c r="F2161" s="7"/>
      <c r="G2161" s="7"/>
      <c r="H2161" s="7"/>
      <c r="I2161" s="7"/>
      <c r="J2161" s="7"/>
      <c r="K2161" s="7"/>
      <c r="L2161" s="7"/>
      <c r="M2161" s="7"/>
    </row>
    <row r="2162" spans="1:13" x14ac:dyDescent="0.35">
      <c r="A2162" s="227"/>
      <c r="B2162" s="59"/>
      <c r="C2162" s="7"/>
      <c r="D2162" s="7"/>
      <c r="E2162" s="7"/>
      <c r="F2162" s="7"/>
      <c r="G2162" s="7"/>
      <c r="H2162" s="7"/>
      <c r="I2162" s="7"/>
      <c r="J2162" s="7"/>
      <c r="K2162" s="7"/>
      <c r="L2162" s="7"/>
      <c r="M2162" s="7"/>
    </row>
    <row r="2163" spans="1:13" x14ac:dyDescent="0.35">
      <c r="A2163" s="227"/>
      <c r="B2163" s="59"/>
      <c r="C2163" s="7"/>
      <c r="D2163" s="7"/>
      <c r="E2163" s="7"/>
      <c r="F2163" s="7"/>
      <c r="G2163" s="7"/>
      <c r="H2163" s="7"/>
      <c r="I2163" s="7"/>
      <c r="J2163" s="7"/>
      <c r="K2163" s="7"/>
      <c r="L2163" s="7"/>
      <c r="M2163" s="7"/>
    </row>
    <row r="2164" spans="1:13" x14ac:dyDescent="0.35">
      <c r="A2164" s="227"/>
      <c r="B2164" s="59"/>
      <c r="C2164" s="7"/>
      <c r="D2164" s="7"/>
      <c r="E2164" s="7"/>
      <c r="F2164" s="7"/>
      <c r="G2164" s="7"/>
      <c r="H2164" s="7"/>
      <c r="I2164" s="7"/>
      <c r="J2164" s="7"/>
      <c r="K2164" s="7"/>
      <c r="L2164" s="7"/>
      <c r="M2164" s="7"/>
    </row>
    <row r="2165" spans="1:13" x14ac:dyDescent="0.35">
      <c r="A2165" s="227"/>
      <c r="B2165" s="59"/>
      <c r="C2165" s="7"/>
      <c r="D2165" s="7"/>
      <c r="E2165" s="7"/>
      <c r="F2165" s="7"/>
      <c r="G2165" s="7"/>
      <c r="H2165" s="7"/>
      <c r="I2165" s="7"/>
      <c r="J2165" s="7"/>
      <c r="K2165" s="7"/>
      <c r="L2165" s="7"/>
      <c r="M2165" s="7"/>
    </row>
    <row r="2166" spans="1:13" x14ac:dyDescent="0.35">
      <c r="A2166" s="227"/>
      <c r="B2166" s="59"/>
      <c r="C2166" s="7"/>
      <c r="D2166" s="7"/>
      <c r="E2166" s="7"/>
      <c r="F2166" s="7"/>
      <c r="G2166" s="7"/>
      <c r="H2166" s="7"/>
      <c r="I2166" s="7"/>
      <c r="J2166" s="7"/>
      <c r="K2166" s="7"/>
      <c r="L2166" s="7"/>
      <c r="M2166" s="7"/>
    </row>
    <row r="2167" spans="1:13" x14ac:dyDescent="0.35">
      <c r="A2167" s="227"/>
      <c r="B2167" s="59"/>
      <c r="C2167" s="7"/>
      <c r="D2167" s="7"/>
      <c r="E2167" s="7"/>
      <c r="F2167" s="7"/>
      <c r="G2167" s="7"/>
      <c r="H2167" s="7"/>
      <c r="I2167" s="7"/>
      <c r="J2167" s="7"/>
      <c r="K2167" s="7"/>
      <c r="L2167" s="7"/>
      <c r="M2167" s="7"/>
    </row>
    <row r="2168" spans="1:13" x14ac:dyDescent="0.35">
      <c r="A2168" s="227"/>
      <c r="B2168" s="59"/>
      <c r="C2168" s="7"/>
      <c r="D2168" s="7"/>
      <c r="E2168" s="7"/>
      <c r="F2168" s="7"/>
      <c r="G2168" s="7"/>
      <c r="H2168" s="7"/>
      <c r="I2168" s="7"/>
      <c r="J2168" s="7"/>
      <c r="K2168" s="7"/>
      <c r="L2168" s="7"/>
      <c r="M2168" s="7"/>
    </row>
    <row r="2169" spans="1:13" x14ac:dyDescent="0.35">
      <c r="A2169" s="227"/>
      <c r="B2169" s="59"/>
      <c r="C2169" s="7"/>
      <c r="D2169" s="7"/>
      <c r="E2169" s="7"/>
      <c r="F2169" s="7"/>
      <c r="G2169" s="7"/>
      <c r="H2169" s="7"/>
      <c r="I2169" s="7"/>
      <c r="J2169" s="7"/>
      <c r="K2169" s="7"/>
      <c r="L2169" s="7"/>
      <c r="M2169" s="7"/>
    </row>
    <row r="2170" spans="1:13" x14ac:dyDescent="0.35">
      <c r="A2170" s="227"/>
      <c r="B2170" s="59"/>
      <c r="C2170" s="7"/>
      <c r="D2170" s="7"/>
      <c r="E2170" s="7"/>
      <c r="F2170" s="7"/>
      <c r="G2170" s="7"/>
      <c r="H2170" s="7"/>
      <c r="I2170" s="7"/>
      <c r="J2170" s="7"/>
      <c r="K2170" s="7"/>
      <c r="L2170" s="7"/>
      <c r="M2170" s="7"/>
    </row>
    <row r="2171" spans="1:13" x14ac:dyDescent="0.35">
      <c r="A2171" s="227"/>
      <c r="B2171" s="59"/>
      <c r="C2171" s="7"/>
      <c r="D2171" s="7"/>
      <c r="E2171" s="7"/>
      <c r="F2171" s="7"/>
      <c r="G2171" s="7"/>
      <c r="H2171" s="7"/>
      <c r="I2171" s="7"/>
      <c r="J2171" s="7"/>
      <c r="K2171" s="7"/>
      <c r="L2171" s="7"/>
      <c r="M2171" s="7"/>
    </row>
    <row r="2172" spans="1:13" x14ac:dyDescent="0.35">
      <c r="A2172" s="227"/>
      <c r="B2172" s="59"/>
      <c r="C2172" s="7"/>
      <c r="D2172" s="7"/>
      <c r="E2172" s="7"/>
      <c r="F2172" s="7"/>
      <c r="G2172" s="7"/>
      <c r="H2172" s="7"/>
      <c r="I2172" s="7"/>
      <c r="J2172" s="7"/>
      <c r="K2172" s="7"/>
      <c r="L2172" s="7"/>
      <c r="M2172" s="7"/>
    </row>
    <row r="2173" spans="1:13" x14ac:dyDescent="0.35">
      <c r="A2173" s="227"/>
      <c r="B2173" s="59"/>
      <c r="C2173" s="7"/>
      <c r="D2173" s="7"/>
      <c r="E2173" s="7"/>
      <c r="F2173" s="7"/>
      <c r="G2173" s="7"/>
      <c r="H2173" s="7"/>
      <c r="I2173" s="7"/>
      <c r="J2173" s="7"/>
      <c r="K2173" s="7"/>
      <c r="L2173" s="7"/>
    </row>
    <row r="2174" spans="1:13" x14ac:dyDescent="0.35">
      <c r="A2174" s="227"/>
      <c r="B2174" s="59"/>
      <c r="C2174" s="7"/>
      <c r="D2174" s="7"/>
      <c r="E2174" s="7"/>
      <c r="F2174" s="7"/>
      <c r="G2174" s="7"/>
      <c r="H2174" s="7"/>
      <c r="I2174" s="7"/>
      <c r="J2174" s="7"/>
      <c r="K2174" s="7"/>
      <c r="L2174" s="7"/>
    </row>
    <row r="2175" spans="1:13" x14ac:dyDescent="0.35">
      <c r="A2175" s="227"/>
      <c r="B2175" s="59"/>
      <c r="C2175" s="7"/>
      <c r="D2175" s="7"/>
      <c r="E2175" s="7"/>
      <c r="F2175" s="7"/>
      <c r="G2175" s="7"/>
      <c r="H2175" s="7"/>
      <c r="I2175" s="7"/>
      <c r="J2175" s="7"/>
      <c r="K2175" s="7"/>
      <c r="L2175" s="7"/>
    </row>
    <row r="2176" spans="1:13" x14ac:dyDescent="0.35">
      <c r="A2176" s="227"/>
      <c r="B2176" s="59"/>
      <c r="C2176" s="7"/>
      <c r="D2176" s="7"/>
      <c r="E2176" s="7"/>
      <c r="F2176" s="7"/>
      <c r="G2176" s="7"/>
      <c r="H2176" s="7"/>
      <c r="I2176" s="7"/>
      <c r="J2176" s="7"/>
      <c r="K2176" s="7"/>
      <c r="L2176" s="7"/>
    </row>
    <row r="2177" spans="1:12" x14ac:dyDescent="0.35">
      <c r="A2177" s="227"/>
      <c r="B2177" s="59"/>
      <c r="C2177" s="7"/>
      <c r="D2177" s="7"/>
      <c r="E2177" s="7"/>
      <c r="F2177" s="7"/>
      <c r="G2177" s="7"/>
      <c r="H2177" s="7"/>
      <c r="I2177" s="7"/>
      <c r="J2177" s="7"/>
      <c r="K2177" s="7"/>
      <c r="L2177" s="7"/>
    </row>
    <row r="2178" spans="1:12" x14ac:dyDescent="0.35">
      <c r="A2178" s="227"/>
      <c r="B2178" s="59"/>
      <c r="C2178" s="7"/>
      <c r="D2178" s="7"/>
      <c r="E2178" s="7"/>
      <c r="F2178" s="7"/>
      <c r="G2178" s="7"/>
      <c r="H2178" s="7"/>
      <c r="I2178" s="7"/>
      <c r="J2178" s="7"/>
      <c r="K2178" s="7"/>
      <c r="L2178" s="7"/>
    </row>
    <row r="2179" spans="1:12" x14ac:dyDescent="0.35">
      <c r="A2179" s="227"/>
      <c r="B2179" s="59"/>
      <c r="C2179" s="7"/>
      <c r="D2179" s="7"/>
      <c r="E2179" s="7"/>
      <c r="F2179" s="7"/>
      <c r="G2179" s="7"/>
      <c r="H2179" s="7"/>
      <c r="I2179" s="7"/>
      <c r="J2179" s="7"/>
      <c r="K2179" s="7"/>
      <c r="L2179" s="7"/>
    </row>
    <row r="2180" spans="1:12" x14ac:dyDescent="0.35">
      <c r="A2180" s="227"/>
      <c r="B2180" s="59"/>
      <c r="C2180" s="7"/>
      <c r="D2180" s="7"/>
      <c r="E2180" s="7"/>
      <c r="F2180" s="7"/>
      <c r="G2180" s="7"/>
      <c r="H2180" s="7"/>
      <c r="I2180" s="7"/>
      <c r="J2180" s="7"/>
      <c r="K2180" s="7"/>
      <c r="L2180" s="7"/>
    </row>
    <row r="2181" spans="1:12" x14ac:dyDescent="0.35">
      <c r="A2181" s="227"/>
      <c r="B2181" s="59"/>
      <c r="C2181" s="7"/>
      <c r="D2181" s="7"/>
      <c r="E2181" s="7"/>
      <c r="F2181" s="7"/>
      <c r="G2181" s="7"/>
      <c r="H2181" s="7"/>
      <c r="I2181" s="7"/>
      <c r="J2181" s="7"/>
      <c r="K2181" s="7"/>
      <c r="L2181" s="7"/>
    </row>
    <row r="2182" spans="1:12" x14ac:dyDescent="0.35">
      <c r="A2182" s="227"/>
      <c r="B2182" s="59"/>
      <c r="C2182" s="7"/>
      <c r="D2182" s="7"/>
      <c r="E2182" s="7"/>
      <c r="F2182" s="7"/>
      <c r="G2182" s="7"/>
      <c r="H2182" s="7"/>
      <c r="I2182" s="7"/>
      <c r="J2182" s="7"/>
      <c r="K2182" s="7"/>
      <c r="L2182" s="7"/>
    </row>
    <row r="2183" spans="1:12" x14ac:dyDescent="0.35">
      <c r="A2183" s="227"/>
      <c r="B2183" s="59"/>
      <c r="C2183" s="7"/>
      <c r="D2183" s="7"/>
      <c r="E2183" s="7"/>
      <c r="F2183" s="7"/>
      <c r="G2183" s="7"/>
      <c r="H2183" s="7"/>
      <c r="I2183" s="7"/>
      <c r="J2183" s="7"/>
      <c r="K2183" s="7"/>
      <c r="L2183" s="7"/>
    </row>
    <row r="2184" spans="1:12" x14ac:dyDescent="0.35">
      <c r="A2184" s="227"/>
      <c r="B2184" s="59"/>
      <c r="C2184" s="7"/>
      <c r="D2184" s="7"/>
      <c r="E2184" s="7"/>
      <c r="F2184" s="7"/>
      <c r="G2184" s="7"/>
      <c r="H2184" s="7"/>
      <c r="I2184" s="7"/>
      <c r="J2184" s="7"/>
      <c r="K2184" s="7"/>
      <c r="L2184" s="7"/>
    </row>
    <row r="2185" spans="1:12" x14ac:dyDescent="0.35">
      <c r="A2185" s="227"/>
      <c r="B2185" s="59"/>
      <c r="C2185" s="7"/>
      <c r="D2185" s="7"/>
      <c r="E2185" s="7"/>
      <c r="F2185" s="7"/>
      <c r="G2185" s="7"/>
      <c r="H2185" s="7"/>
      <c r="I2185" s="7"/>
      <c r="J2185" s="7"/>
      <c r="K2185" s="7"/>
      <c r="L2185" s="7"/>
    </row>
    <row r="2186" spans="1:12" x14ac:dyDescent="0.35">
      <c r="A2186" s="227"/>
      <c r="B2186" s="59"/>
      <c r="C2186" s="7"/>
      <c r="D2186" s="7"/>
      <c r="E2186" s="7"/>
      <c r="F2186" s="7"/>
      <c r="G2186" s="7"/>
      <c r="H2186" s="7"/>
      <c r="I2186" s="7"/>
      <c r="J2186" s="7"/>
      <c r="K2186" s="7"/>
      <c r="L2186" s="7"/>
    </row>
    <row r="2187" spans="1:12" x14ac:dyDescent="0.35">
      <c r="A2187" s="227"/>
      <c r="B2187" s="59"/>
      <c r="C2187" s="7"/>
      <c r="D2187" s="7"/>
      <c r="E2187" s="7"/>
      <c r="F2187" s="7"/>
      <c r="G2187" s="7"/>
      <c r="H2187" s="7"/>
      <c r="I2187" s="7"/>
      <c r="J2187" s="7"/>
      <c r="K2187" s="7"/>
      <c r="L2187" s="7"/>
    </row>
    <row r="2188" spans="1:12" x14ac:dyDescent="0.35">
      <c r="A2188" s="227"/>
      <c r="B2188" s="59"/>
      <c r="C2188" s="7"/>
      <c r="D2188" s="7"/>
      <c r="E2188" s="7"/>
      <c r="F2188" s="7"/>
      <c r="G2188" s="7"/>
      <c r="H2188" s="7"/>
      <c r="I2188" s="7"/>
      <c r="J2188" s="7"/>
      <c r="K2188" s="7"/>
      <c r="L2188" s="7"/>
    </row>
    <row r="2189" spans="1:12" x14ac:dyDescent="0.35">
      <c r="A2189" s="227"/>
      <c r="B2189" s="59"/>
      <c r="C2189" s="7"/>
      <c r="D2189" s="7"/>
      <c r="E2189" s="7"/>
      <c r="F2189" s="7"/>
      <c r="G2189" s="7"/>
      <c r="H2189" s="7"/>
      <c r="I2189" s="7"/>
      <c r="J2189" s="7"/>
      <c r="K2189" s="7"/>
      <c r="L2189" s="7"/>
    </row>
    <row r="2190" spans="1:12" x14ac:dyDescent="0.35">
      <c r="A2190" s="227"/>
      <c r="B2190" s="59"/>
      <c r="C2190" s="7"/>
      <c r="D2190" s="7"/>
      <c r="E2190" s="7"/>
      <c r="F2190" s="7"/>
      <c r="G2190" s="7"/>
      <c r="H2190" s="7"/>
      <c r="I2190" s="7"/>
      <c r="J2190" s="7"/>
      <c r="K2190" s="7"/>
      <c r="L2190" s="7"/>
    </row>
    <row r="2191" spans="1:12" x14ac:dyDescent="0.35">
      <c r="A2191" s="227"/>
      <c r="B2191" s="59"/>
      <c r="C2191" s="7"/>
      <c r="D2191" s="7"/>
      <c r="E2191" s="7"/>
      <c r="F2191" s="7"/>
      <c r="G2191" s="7"/>
      <c r="H2191" s="7"/>
      <c r="I2191" s="7"/>
      <c r="J2191" s="7"/>
      <c r="K2191" s="7"/>
      <c r="L2191" s="7"/>
    </row>
    <row r="2192" spans="1:12" x14ac:dyDescent="0.35">
      <c r="A2192" s="227"/>
      <c r="B2192" s="59"/>
      <c r="C2192" s="7"/>
      <c r="D2192" s="7"/>
      <c r="E2192" s="7"/>
      <c r="F2192" s="7"/>
      <c r="G2192" s="7"/>
      <c r="H2192" s="7"/>
      <c r="I2192" s="7"/>
      <c r="J2192" s="7"/>
      <c r="K2192" s="7"/>
      <c r="L2192" s="7"/>
    </row>
    <row r="2193" spans="1:12" x14ac:dyDescent="0.35">
      <c r="A2193" s="227"/>
      <c r="B2193" s="59"/>
      <c r="C2193" s="7"/>
      <c r="D2193" s="7"/>
      <c r="E2193" s="7"/>
      <c r="F2193" s="7"/>
      <c r="G2193" s="7"/>
      <c r="H2193" s="7"/>
      <c r="I2193" s="7"/>
      <c r="J2193" s="7"/>
      <c r="K2193" s="7"/>
      <c r="L2193" s="7"/>
    </row>
    <row r="2194" spans="1:12" x14ac:dyDescent="0.35">
      <c r="A2194" s="227"/>
      <c r="B2194" s="59"/>
      <c r="C2194" s="7"/>
      <c r="D2194" s="7"/>
      <c r="E2194" s="7"/>
      <c r="F2194" s="7"/>
      <c r="G2194" s="7"/>
      <c r="H2194" s="7"/>
      <c r="I2194" s="7"/>
      <c r="J2194" s="7"/>
      <c r="K2194" s="7"/>
      <c r="L2194" s="7"/>
    </row>
    <row r="2195" spans="1:12" x14ac:dyDescent="0.35">
      <c r="A2195" s="227"/>
      <c r="B2195" s="59"/>
      <c r="C2195" s="7"/>
      <c r="D2195" s="7"/>
      <c r="E2195" s="7"/>
      <c r="F2195" s="7"/>
      <c r="G2195" s="7"/>
      <c r="H2195" s="7"/>
      <c r="I2195" s="7"/>
      <c r="J2195" s="7"/>
      <c r="K2195" s="7"/>
      <c r="L2195" s="7"/>
    </row>
    <row r="2196" spans="1:12" x14ac:dyDescent="0.35">
      <c r="A2196" s="227"/>
      <c r="B2196" s="59"/>
      <c r="C2196" s="7"/>
      <c r="D2196" s="7"/>
      <c r="E2196" s="7"/>
      <c r="F2196" s="7"/>
      <c r="G2196" s="7"/>
      <c r="H2196" s="7"/>
      <c r="I2196" s="7"/>
      <c r="J2196" s="7"/>
      <c r="K2196" s="7"/>
      <c r="L2196" s="7"/>
    </row>
    <row r="2197" spans="1:12" x14ac:dyDescent="0.35">
      <c r="A2197" s="227"/>
      <c r="B2197" s="59"/>
      <c r="C2197" s="7"/>
      <c r="D2197" s="7"/>
      <c r="E2197" s="7"/>
      <c r="F2197" s="7"/>
      <c r="G2197" s="7"/>
      <c r="H2197" s="7"/>
      <c r="I2197" s="7"/>
      <c r="J2197" s="7"/>
      <c r="K2197" s="7"/>
      <c r="L2197" s="7"/>
    </row>
    <row r="2198" spans="1:12" x14ac:dyDescent="0.35">
      <c r="A2198" s="227"/>
      <c r="B2198" s="59"/>
      <c r="C2198" s="7"/>
      <c r="D2198" s="7"/>
      <c r="E2198" s="7"/>
      <c r="F2198" s="7"/>
      <c r="G2198" s="7"/>
      <c r="H2198" s="7"/>
      <c r="I2198" s="7"/>
      <c r="J2198" s="7"/>
      <c r="K2198" s="7"/>
      <c r="L2198" s="7"/>
    </row>
    <row r="2199" spans="1:12" x14ac:dyDescent="0.35">
      <c r="A2199" s="227"/>
      <c r="B2199" s="59"/>
      <c r="C2199" s="7"/>
      <c r="D2199" s="7"/>
      <c r="E2199" s="7"/>
      <c r="F2199" s="7"/>
      <c r="G2199" s="7"/>
      <c r="H2199" s="7"/>
      <c r="I2199" s="7"/>
      <c r="J2199" s="7"/>
      <c r="K2199" s="7"/>
      <c r="L2199" s="7"/>
    </row>
    <row r="2200" spans="1:12" x14ac:dyDescent="0.35">
      <c r="A2200" s="227"/>
      <c r="B2200" s="59"/>
      <c r="C2200" s="7"/>
      <c r="D2200" s="7"/>
      <c r="E2200" s="7"/>
      <c r="F2200" s="7"/>
      <c r="G2200" s="7"/>
      <c r="H2200" s="7"/>
      <c r="I2200" s="7"/>
      <c r="J2200" s="7"/>
      <c r="K2200" s="7"/>
      <c r="L2200" s="7"/>
    </row>
    <row r="2201" spans="1:12" x14ac:dyDescent="0.35">
      <c r="A2201" s="227"/>
      <c r="B2201" s="59"/>
      <c r="C2201" s="7"/>
      <c r="D2201" s="7"/>
      <c r="E2201" s="7"/>
      <c r="F2201" s="7"/>
      <c r="G2201" s="7"/>
      <c r="H2201" s="7"/>
      <c r="I2201" s="7"/>
      <c r="J2201" s="7"/>
      <c r="K2201" s="7"/>
      <c r="L2201" s="7"/>
    </row>
    <row r="2202" spans="1:12" x14ac:dyDescent="0.35">
      <c r="A2202" s="227"/>
      <c r="B2202" s="59"/>
      <c r="C2202" s="7"/>
      <c r="D2202" s="7"/>
      <c r="E2202" s="7"/>
      <c r="F2202" s="7"/>
      <c r="G2202" s="7"/>
      <c r="H2202" s="7"/>
      <c r="I2202" s="7"/>
      <c r="J2202" s="7"/>
      <c r="K2202" s="7"/>
      <c r="L2202" s="7"/>
    </row>
    <row r="2203" spans="1:12" x14ac:dyDescent="0.35">
      <c r="A2203" s="227"/>
      <c r="B2203" s="59"/>
      <c r="C2203" s="7"/>
      <c r="D2203" s="7"/>
      <c r="E2203" s="7"/>
      <c r="F2203" s="7"/>
      <c r="G2203" s="7"/>
      <c r="H2203" s="7"/>
      <c r="I2203" s="7"/>
      <c r="J2203" s="7"/>
      <c r="K2203" s="7"/>
      <c r="L2203" s="7"/>
    </row>
    <row r="2204" spans="1:12" x14ac:dyDescent="0.35">
      <c r="A2204" s="227"/>
      <c r="B2204" s="59"/>
      <c r="C2204" s="7"/>
      <c r="D2204" s="7"/>
      <c r="E2204" s="7"/>
      <c r="F2204" s="7"/>
      <c r="G2204" s="7"/>
      <c r="H2204" s="7"/>
      <c r="I2204" s="7"/>
      <c r="J2204" s="7"/>
      <c r="K2204" s="7"/>
      <c r="L2204" s="7"/>
    </row>
    <row r="2205" spans="1:12" x14ac:dyDescent="0.35">
      <c r="A2205" s="227"/>
      <c r="B2205" s="59"/>
      <c r="C2205" s="7"/>
      <c r="D2205" s="7"/>
      <c r="E2205" s="7"/>
      <c r="F2205" s="7"/>
      <c r="G2205" s="7"/>
      <c r="H2205" s="7"/>
      <c r="I2205" s="7"/>
      <c r="J2205" s="7"/>
      <c r="K2205" s="7"/>
      <c r="L2205" s="7"/>
    </row>
    <row r="2206" spans="1:12" x14ac:dyDescent="0.35">
      <c r="A2206" s="227"/>
      <c r="B2206" s="59"/>
      <c r="C2206" s="7"/>
      <c r="D2206" s="7"/>
      <c r="E2206" s="7"/>
      <c r="F2206" s="7"/>
      <c r="G2206" s="7"/>
      <c r="H2206" s="7"/>
      <c r="I2206" s="7"/>
      <c r="J2206" s="7"/>
      <c r="K2206" s="7"/>
      <c r="L2206" s="7"/>
    </row>
    <row r="2207" spans="1:12" x14ac:dyDescent="0.35">
      <c r="A2207" s="227"/>
      <c r="B2207" s="59"/>
      <c r="C2207" s="7"/>
      <c r="D2207" s="7"/>
      <c r="E2207" s="7"/>
      <c r="F2207" s="7"/>
      <c r="G2207" s="7"/>
      <c r="H2207" s="7"/>
      <c r="I2207" s="7"/>
      <c r="J2207" s="7"/>
      <c r="K2207" s="7"/>
      <c r="L2207" s="7"/>
    </row>
    <row r="2208" spans="1:12" x14ac:dyDescent="0.35">
      <c r="A2208" s="227"/>
      <c r="B2208" s="59"/>
      <c r="C2208" s="7"/>
      <c r="D2208" s="7"/>
      <c r="E2208" s="7"/>
      <c r="F2208" s="7"/>
      <c r="G2208" s="7"/>
      <c r="H2208" s="7"/>
      <c r="I2208" s="7"/>
      <c r="J2208" s="7"/>
      <c r="K2208" s="7"/>
      <c r="L2208" s="7"/>
    </row>
    <row r="2209" spans="1:12" x14ac:dyDescent="0.35">
      <c r="A2209" s="227"/>
      <c r="B2209" s="59"/>
      <c r="C2209" s="7"/>
      <c r="D2209" s="7"/>
      <c r="E2209" s="7"/>
      <c r="F2209" s="7"/>
      <c r="G2209" s="7"/>
      <c r="H2209" s="7"/>
      <c r="I2209" s="7"/>
      <c r="J2209" s="7"/>
      <c r="K2209" s="7"/>
      <c r="L2209" s="7"/>
    </row>
    <row r="2210" spans="1:12" x14ac:dyDescent="0.35">
      <c r="A2210" s="227"/>
      <c r="B2210" s="59"/>
      <c r="C2210" s="7"/>
      <c r="D2210" s="7"/>
      <c r="E2210" s="7"/>
      <c r="F2210" s="7"/>
      <c r="G2210" s="7"/>
      <c r="H2210" s="7"/>
      <c r="I2210" s="7"/>
      <c r="J2210" s="7"/>
      <c r="K2210" s="7"/>
      <c r="L2210" s="7"/>
    </row>
    <row r="2211" spans="1:12" x14ac:dyDescent="0.35">
      <c r="A2211" s="227"/>
      <c r="B2211" s="59"/>
      <c r="C2211" s="7"/>
      <c r="D2211" s="7"/>
      <c r="E2211" s="7"/>
      <c r="F2211" s="7"/>
      <c r="G2211" s="7"/>
      <c r="H2211" s="7"/>
      <c r="I2211" s="7"/>
      <c r="J2211" s="7"/>
      <c r="K2211" s="7"/>
      <c r="L2211" s="7"/>
    </row>
    <row r="2212" spans="1:12" x14ac:dyDescent="0.35">
      <c r="A2212" s="227"/>
      <c r="B2212" s="59"/>
      <c r="C2212" s="7"/>
      <c r="D2212" s="7"/>
      <c r="E2212" s="7"/>
      <c r="F2212" s="7"/>
      <c r="G2212" s="7"/>
      <c r="H2212" s="7"/>
      <c r="I2212" s="7"/>
      <c r="J2212" s="7"/>
      <c r="K2212" s="7"/>
      <c r="L2212" s="7"/>
    </row>
    <row r="2213" spans="1:12" x14ac:dyDescent="0.35">
      <c r="A2213" s="227"/>
      <c r="B2213" s="59"/>
      <c r="C2213" s="7"/>
      <c r="D2213" s="7"/>
      <c r="E2213" s="7"/>
      <c r="F2213" s="7"/>
      <c r="G2213" s="7"/>
      <c r="H2213" s="7"/>
      <c r="I2213" s="7"/>
      <c r="J2213" s="7"/>
      <c r="K2213" s="7"/>
      <c r="L2213" s="7"/>
    </row>
    <row r="2214" spans="1:12" x14ac:dyDescent="0.35">
      <c r="A2214" s="227"/>
      <c r="B2214" s="59"/>
      <c r="C2214" s="7"/>
      <c r="D2214" s="7"/>
      <c r="E2214" s="7"/>
      <c r="F2214" s="7"/>
      <c r="G2214" s="7"/>
      <c r="H2214" s="7"/>
      <c r="I2214" s="7"/>
      <c r="J2214" s="7"/>
      <c r="K2214" s="7"/>
      <c r="L2214" s="7"/>
    </row>
    <row r="2215" spans="1:12" x14ac:dyDescent="0.35">
      <c r="A2215" s="227"/>
      <c r="B2215" s="59"/>
      <c r="C2215" s="7"/>
      <c r="D2215" s="7"/>
      <c r="E2215" s="7"/>
      <c r="F2215" s="7"/>
      <c r="G2215" s="7"/>
      <c r="H2215" s="7"/>
      <c r="I2215" s="7"/>
      <c r="J2215" s="7"/>
      <c r="K2215" s="7"/>
      <c r="L2215" s="7"/>
    </row>
    <row r="2216" spans="1:12" x14ac:dyDescent="0.35">
      <c r="A2216" s="227"/>
      <c r="B2216" s="59"/>
      <c r="C2216" s="7"/>
      <c r="D2216" s="7"/>
      <c r="E2216" s="7"/>
      <c r="F2216" s="7"/>
      <c r="G2216" s="7"/>
      <c r="H2216" s="7"/>
      <c r="I2216" s="7"/>
      <c r="J2216" s="7"/>
      <c r="K2216" s="7"/>
      <c r="L2216" s="7"/>
    </row>
    <row r="2217" spans="1:12" x14ac:dyDescent="0.35">
      <c r="A2217" s="227"/>
      <c r="B2217" s="59"/>
      <c r="C2217" s="7"/>
      <c r="D2217" s="7"/>
      <c r="E2217" s="7"/>
      <c r="F2217" s="7"/>
      <c r="G2217" s="7"/>
      <c r="H2217" s="7"/>
      <c r="I2217" s="7"/>
      <c r="J2217" s="7"/>
      <c r="K2217" s="7"/>
      <c r="L2217" s="7"/>
    </row>
    <row r="2218" spans="1:12" x14ac:dyDescent="0.35">
      <c r="A2218" s="227"/>
      <c r="B2218" s="59"/>
      <c r="C2218" s="7"/>
      <c r="D2218" s="7"/>
      <c r="E2218" s="7"/>
      <c r="F2218" s="7"/>
      <c r="G2218" s="7"/>
      <c r="H2218" s="7"/>
      <c r="I2218" s="7"/>
      <c r="J2218" s="7"/>
      <c r="K2218" s="7"/>
      <c r="L2218" s="7"/>
    </row>
    <row r="2219" spans="1:12" x14ac:dyDescent="0.35">
      <c r="A2219" s="227"/>
      <c r="B2219" s="59"/>
      <c r="C2219" s="7"/>
      <c r="D2219" s="7"/>
      <c r="E2219" s="7"/>
      <c r="F2219" s="7"/>
      <c r="G2219" s="7"/>
      <c r="H2219" s="7"/>
      <c r="I2219" s="7"/>
      <c r="J2219" s="7"/>
      <c r="K2219" s="7"/>
      <c r="L2219" s="7"/>
    </row>
    <row r="2220" spans="1:12" x14ac:dyDescent="0.35">
      <c r="A2220" s="227"/>
      <c r="B2220" s="59"/>
      <c r="C2220" s="7"/>
      <c r="D2220" s="7"/>
      <c r="E2220" s="7"/>
      <c r="F2220" s="7"/>
      <c r="G2220" s="7"/>
      <c r="H2220" s="7"/>
      <c r="I2220" s="7"/>
      <c r="J2220" s="7"/>
      <c r="K2220" s="7"/>
      <c r="L2220" s="7"/>
    </row>
    <row r="2221" spans="1:12" x14ac:dyDescent="0.35">
      <c r="A2221" s="227"/>
      <c r="B2221" s="59"/>
      <c r="C2221" s="7"/>
      <c r="D2221" s="7"/>
      <c r="E2221" s="7"/>
      <c r="F2221" s="7"/>
      <c r="G2221" s="7"/>
      <c r="H2221" s="7"/>
      <c r="I2221" s="7"/>
      <c r="J2221" s="7"/>
      <c r="K2221" s="7"/>
      <c r="L2221" s="7"/>
    </row>
    <row r="2222" spans="1:12" x14ac:dyDescent="0.35">
      <c r="A2222" s="227"/>
      <c r="B2222" s="59"/>
      <c r="C2222" s="7"/>
      <c r="D2222" s="7"/>
      <c r="E2222" s="7"/>
      <c r="F2222" s="7"/>
      <c r="G2222" s="7"/>
      <c r="H2222" s="7"/>
      <c r="I2222" s="7"/>
      <c r="J2222" s="7"/>
      <c r="K2222" s="7"/>
      <c r="L2222" s="7"/>
    </row>
    <row r="2223" spans="1:12" x14ac:dyDescent="0.35">
      <c r="A2223" s="227"/>
      <c r="B2223" s="59"/>
      <c r="C2223" s="7"/>
      <c r="D2223" s="7"/>
      <c r="E2223" s="7"/>
      <c r="F2223" s="7"/>
      <c r="G2223" s="7"/>
      <c r="H2223" s="7"/>
      <c r="I2223" s="7"/>
      <c r="J2223" s="7"/>
      <c r="K2223" s="7"/>
      <c r="L2223" s="7"/>
    </row>
    <row r="2224" spans="1:12" x14ac:dyDescent="0.35">
      <c r="A2224" s="227"/>
      <c r="B2224" s="59"/>
      <c r="C2224" s="7"/>
      <c r="D2224" s="7"/>
      <c r="E2224" s="7"/>
      <c r="F2224" s="7"/>
      <c r="G2224" s="7"/>
      <c r="H2224" s="7"/>
      <c r="I2224" s="7"/>
      <c r="J2224" s="7"/>
      <c r="K2224" s="7"/>
      <c r="L2224" s="7"/>
    </row>
    <row r="2225" spans="1:12" x14ac:dyDescent="0.35">
      <c r="A2225" s="227"/>
      <c r="B2225" s="59"/>
      <c r="C2225" s="7"/>
      <c r="D2225" s="7"/>
      <c r="E2225" s="7"/>
      <c r="F2225" s="7"/>
      <c r="G2225" s="7"/>
      <c r="H2225" s="7"/>
      <c r="I2225" s="7"/>
      <c r="J2225" s="7"/>
      <c r="K2225" s="7"/>
      <c r="L2225" s="7"/>
    </row>
    <row r="2226" spans="1:12" x14ac:dyDescent="0.35">
      <c r="A2226" s="227"/>
      <c r="B2226" s="59"/>
      <c r="C2226" s="7"/>
      <c r="D2226" s="7"/>
      <c r="E2226" s="7"/>
      <c r="F2226" s="7"/>
      <c r="G2226" s="7"/>
      <c r="H2226" s="7"/>
      <c r="I2226" s="7"/>
      <c r="J2226" s="7"/>
      <c r="K2226" s="7"/>
      <c r="L2226" s="7"/>
    </row>
    <row r="2227" spans="1:12" x14ac:dyDescent="0.35">
      <c r="A2227" s="227"/>
      <c r="B2227" s="59"/>
      <c r="C2227" s="7"/>
      <c r="D2227" s="7"/>
      <c r="E2227" s="7"/>
      <c r="F2227" s="7"/>
      <c r="G2227" s="7"/>
      <c r="H2227" s="7"/>
      <c r="I2227" s="7"/>
      <c r="J2227" s="7"/>
      <c r="K2227" s="7"/>
      <c r="L2227" s="7"/>
    </row>
    <row r="2228" spans="1:12" x14ac:dyDescent="0.35">
      <c r="A2228" s="227"/>
      <c r="B2228" s="59"/>
      <c r="C2228" s="7"/>
      <c r="D2228" s="7"/>
      <c r="E2228" s="7"/>
      <c r="F2228" s="7"/>
      <c r="G2228" s="7"/>
      <c r="H2228" s="7"/>
      <c r="I2228" s="7"/>
      <c r="J2228" s="7"/>
      <c r="K2228" s="7"/>
      <c r="L2228" s="7"/>
    </row>
    <row r="2229" spans="1:12" x14ac:dyDescent="0.35">
      <c r="A2229" s="227"/>
      <c r="B2229" s="59"/>
      <c r="C2229" s="7"/>
      <c r="D2229" s="7"/>
      <c r="E2229" s="7"/>
      <c r="F2229" s="7"/>
      <c r="G2229" s="7"/>
      <c r="H2229" s="7"/>
      <c r="I2229" s="7"/>
      <c r="J2229" s="7"/>
      <c r="K2229" s="7"/>
      <c r="L2229" s="7"/>
    </row>
    <row r="2230" spans="1:12" x14ac:dyDescent="0.35">
      <c r="A2230" s="227"/>
      <c r="B2230" s="59"/>
      <c r="C2230" s="7"/>
      <c r="D2230" s="7"/>
      <c r="E2230" s="7"/>
      <c r="F2230" s="7"/>
      <c r="G2230" s="7"/>
      <c r="H2230" s="7"/>
      <c r="I2230" s="7"/>
      <c r="J2230" s="7"/>
      <c r="K2230" s="7"/>
      <c r="L2230" s="7"/>
    </row>
    <row r="2231" spans="1:12" x14ac:dyDescent="0.35">
      <c r="A2231" s="227"/>
      <c r="B2231" s="59"/>
      <c r="C2231" s="7"/>
      <c r="D2231" s="7"/>
      <c r="E2231" s="7"/>
      <c r="F2231" s="7"/>
      <c r="G2231" s="7"/>
      <c r="H2231" s="7"/>
      <c r="I2231" s="7"/>
      <c r="J2231" s="7"/>
      <c r="K2231" s="7"/>
      <c r="L2231" s="7"/>
    </row>
    <row r="2232" spans="1:12" x14ac:dyDescent="0.35">
      <c r="A2232" s="227"/>
      <c r="B2232" s="59"/>
      <c r="C2232" s="7"/>
      <c r="D2232" s="7"/>
      <c r="E2232" s="7"/>
      <c r="F2232" s="7"/>
      <c r="G2232" s="7"/>
      <c r="H2232" s="7"/>
      <c r="I2232" s="7"/>
      <c r="J2232" s="7"/>
      <c r="K2232" s="7"/>
      <c r="L2232" s="7"/>
    </row>
    <row r="2233" spans="1:12" x14ac:dyDescent="0.35">
      <c r="A2233" s="227"/>
      <c r="B2233" s="59"/>
      <c r="C2233" s="7"/>
      <c r="D2233" s="7"/>
      <c r="E2233" s="7"/>
      <c r="F2233" s="7"/>
      <c r="G2233" s="7"/>
      <c r="H2233" s="7"/>
      <c r="I2233" s="7"/>
      <c r="J2233" s="7"/>
      <c r="K2233" s="7"/>
      <c r="L2233" s="7"/>
    </row>
    <row r="2234" spans="1:12" x14ac:dyDescent="0.35">
      <c r="A2234" s="227"/>
      <c r="B2234" s="59"/>
      <c r="C2234" s="7"/>
      <c r="D2234" s="7"/>
      <c r="E2234" s="7"/>
      <c r="F2234" s="7"/>
      <c r="G2234" s="7"/>
      <c r="H2234" s="7"/>
      <c r="I2234" s="7"/>
      <c r="J2234" s="7"/>
      <c r="K2234" s="7"/>
      <c r="L2234" s="7"/>
    </row>
    <row r="2235" spans="1:12" x14ac:dyDescent="0.35">
      <c r="A2235" s="227"/>
      <c r="B2235" s="59"/>
      <c r="C2235" s="7"/>
      <c r="D2235" s="7"/>
      <c r="E2235" s="7"/>
      <c r="F2235" s="7"/>
      <c r="G2235" s="7"/>
      <c r="H2235" s="7"/>
      <c r="I2235" s="7"/>
      <c r="J2235" s="7"/>
      <c r="K2235" s="7"/>
      <c r="L2235" s="7"/>
    </row>
    <row r="2236" spans="1:12" x14ac:dyDescent="0.35">
      <c r="A2236" s="227"/>
      <c r="B2236" s="59"/>
      <c r="C2236" s="7"/>
      <c r="D2236" s="7"/>
      <c r="E2236" s="7"/>
      <c r="F2236" s="7"/>
      <c r="G2236" s="7"/>
      <c r="H2236" s="7"/>
      <c r="I2236" s="7"/>
      <c r="J2236" s="7"/>
      <c r="K2236" s="7"/>
      <c r="L2236" s="7"/>
    </row>
    <row r="2237" spans="1:12" x14ac:dyDescent="0.35">
      <c r="A2237" s="227"/>
      <c r="B2237" s="59"/>
      <c r="C2237" s="7"/>
      <c r="D2237" s="7"/>
      <c r="E2237" s="7"/>
      <c r="F2237" s="7"/>
      <c r="G2237" s="7"/>
      <c r="H2237" s="7"/>
      <c r="I2237" s="7"/>
      <c r="J2237" s="7"/>
      <c r="K2237" s="7"/>
      <c r="L2237" s="7"/>
    </row>
    <row r="2238" spans="1:12" x14ac:dyDescent="0.35">
      <c r="A2238" s="227"/>
      <c r="B2238" s="59"/>
      <c r="C2238" s="7"/>
      <c r="D2238" s="7"/>
      <c r="E2238" s="7"/>
      <c r="F2238" s="7"/>
      <c r="G2238" s="7"/>
      <c r="H2238" s="7"/>
      <c r="I2238" s="7"/>
      <c r="J2238" s="7"/>
      <c r="K2238" s="7"/>
      <c r="L2238" s="7"/>
    </row>
    <row r="2239" spans="1:12" x14ac:dyDescent="0.35">
      <c r="A2239" s="227"/>
      <c r="B2239" s="59"/>
      <c r="C2239" s="7"/>
      <c r="D2239" s="7"/>
      <c r="E2239" s="7"/>
      <c r="F2239" s="7"/>
      <c r="G2239" s="7"/>
      <c r="H2239" s="7"/>
      <c r="I2239" s="7"/>
      <c r="J2239" s="7"/>
      <c r="K2239" s="7"/>
      <c r="L2239" s="7"/>
    </row>
    <row r="2240" spans="1:12" x14ac:dyDescent="0.35">
      <c r="A2240" s="227"/>
      <c r="B2240" s="59"/>
      <c r="C2240" s="7"/>
      <c r="D2240" s="7"/>
      <c r="E2240" s="7"/>
      <c r="F2240" s="7"/>
      <c r="G2240" s="7"/>
      <c r="H2240" s="7"/>
      <c r="I2240" s="7"/>
      <c r="J2240" s="7"/>
      <c r="K2240" s="7"/>
      <c r="L2240" s="7"/>
    </row>
    <row r="2241" spans="1:12" x14ac:dyDescent="0.35">
      <c r="A2241" s="227"/>
      <c r="B2241" s="59"/>
      <c r="C2241" s="7"/>
      <c r="D2241" s="7"/>
      <c r="E2241" s="7"/>
      <c r="F2241" s="7"/>
      <c r="G2241" s="7"/>
      <c r="H2241" s="7"/>
      <c r="I2241" s="7"/>
      <c r="J2241" s="7"/>
      <c r="K2241" s="7"/>
      <c r="L2241" s="7"/>
    </row>
    <row r="2242" spans="1:12" x14ac:dyDescent="0.35">
      <c r="A2242" s="227"/>
      <c r="B2242" s="59"/>
      <c r="C2242" s="7"/>
      <c r="D2242" s="7"/>
      <c r="E2242" s="7"/>
      <c r="F2242" s="7"/>
      <c r="G2242" s="7"/>
      <c r="H2242" s="7"/>
      <c r="I2242" s="7"/>
      <c r="J2242" s="7"/>
      <c r="K2242" s="7"/>
      <c r="L2242" s="7"/>
    </row>
    <row r="2243" spans="1:12" x14ac:dyDescent="0.35">
      <c r="A2243" s="227"/>
      <c r="B2243" s="59"/>
      <c r="C2243" s="7"/>
      <c r="D2243" s="7"/>
      <c r="E2243" s="7"/>
      <c r="F2243" s="7"/>
      <c r="G2243" s="7"/>
      <c r="H2243" s="7"/>
      <c r="I2243" s="7"/>
      <c r="J2243" s="7"/>
      <c r="K2243" s="7"/>
      <c r="L2243" s="7"/>
    </row>
    <row r="2244" spans="1:12" x14ac:dyDescent="0.35">
      <c r="A2244" s="227"/>
      <c r="B2244" s="59"/>
      <c r="C2244" s="7"/>
      <c r="D2244" s="7"/>
      <c r="E2244" s="7"/>
      <c r="F2244" s="7"/>
      <c r="G2244" s="7"/>
      <c r="H2244" s="7"/>
      <c r="I2244" s="7"/>
      <c r="J2244" s="7"/>
      <c r="K2244" s="7"/>
      <c r="L2244" s="7"/>
    </row>
    <row r="2245" spans="1:12" x14ac:dyDescent="0.35">
      <c r="A2245" s="227"/>
      <c r="B2245" s="59"/>
      <c r="C2245" s="7"/>
      <c r="D2245" s="7"/>
      <c r="E2245" s="7"/>
      <c r="F2245" s="7"/>
      <c r="G2245" s="7"/>
      <c r="H2245" s="7"/>
      <c r="I2245" s="7"/>
      <c r="J2245" s="7"/>
      <c r="K2245" s="7"/>
      <c r="L2245" s="7"/>
    </row>
    <row r="2246" spans="1:12" x14ac:dyDescent="0.35">
      <c r="A2246" s="227"/>
      <c r="B2246" s="59"/>
      <c r="C2246" s="7"/>
      <c r="D2246" s="7"/>
      <c r="E2246" s="7"/>
      <c r="F2246" s="7"/>
      <c r="G2246" s="7"/>
      <c r="H2246" s="7"/>
      <c r="I2246" s="7"/>
      <c r="J2246" s="7"/>
      <c r="K2246" s="7"/>
      <c r="L2246" s="7"/>
    </row>
    <row r="2247" spans="1:12" x14ac:dyDescent="0.35">
      <c r="A2247" s="227"/>
      <c r="B2247" s="59"/>
      <c r="C2247" s="7"/>
      <c r="D2247" s="7"/>
      <c r="E2247" s="7"/>
      <c r="F2247" s="7"/>
      <c r="G2247" s="7"/>
      <c r="H2247" s="7"/>
      <c r="I2247" s="7"/>
      <c r="J2247" s="7"/>
      <c r="K2247" s="7"/>
      <c r="L2247" s="7"/>
    </row>
    <row r="2248" spans="1:12" x14ac:dyDescent="0.35">
      <c r="A2248" s="227"/>
      <c r="B2248" s="59"/>
      <c r="C2248" s="7"/>
      <c r="D2248" s="7"/>
      <c r="E2248" s="7"/>
      <c r="F2248" s="7"/>
      <c r="G2248" s="7"/>
      <c r="H2248" s="7"/>
      <c r="I2248" s="7"/>
      <c r="J2248" s="7"/>
      <c r="K2248" s="7"/>
      <c r="L2248" s="7"/>
    </row>
    <row r="2249" spans="1:12" x14ac:dyDescent="0.35">
      <c r="A2249" s="227"/>
      <c r="B2249" s="59"/>
      <c r="C2249" s="7"/>
      <c r="D2249" s="7"/>
      <c r="E2249" s="7"/>
      <c r="F2249" s="7"/>
      <c r="G2249" s="7"/>
      <c r="H2249" s="7"/>
      <c r="I2249" s="7"/>
      <c r="J2249" s="7"/>
      <c r="K2249" s="7"/>
      <c r="L2249" s="7"/>
    </row>
    <row r="2250" spans="1:12" x14ac:dyDescent="0.35">
      <c r="A2250" s="227"/>
      <c r="B2250" s="59"/>
      <c r="C2250" s="7"/>
      <c r="D2250" s="7"/>
      <c r="E2250" s="7"/>
      <c r="F2250" s="7"/>
      <c r="G2250" s="7"/>
      <c r="H2250" s="7"/>
      <c r="I2250" s="7"/>
      <c r="J2250" s="7"/>
      <c r="K2250" s="7"/>
      <c r="L2250" s="7"/>
    </row>
    <row r="2251" spans="1:12" x14ac:dyDescent="0.35">
      <c r="A2251" s="227"/>
      <c r="B2251" s="59"/>
      <c r="C2251" s="7"/>
      <c r="D2251" s="7"/>
      <c r="E2251" s="7"/>
      <c r="F2251" s="7"/>
      <c r="G2251" s="7"/>
      <c r="H2251" s="7"/>
      <c r="I2251" s="7"/>
      <c r="J2251" s="7"/>
      <c r="K2251" s="7"/>
      <c r="L2251" s="7"/>
    </row>
    <row r="2252" spans="1:12" x14ac:dyDescent="0.35">
      <c r="A2252" s="227"/>
      <c r="B2252" s="59"/>
      <c r="C2252" s="7"/>
      <c r="D2252" s="7"/>
      <c r="E2252" s="7"/>
      <c r="F2252" s="7"/>
      <c r="G2252" s="7"/>
      <c r="H2252" s="7"/>
      <c r="I2252" s="7"/>
      <c r="J2252" s="7"/>
      <c r="K2252" s="7"/>
      <c r="L2252" s="7"/>
    </row>
    <row r="2253" spans="1:12" x14ac:dyDescent="0.35">
      <c r="A2253" s="227"/>
      <c r="B2253" s="59"/>
      <c r="C2253" s="7"/>
      <c r="D2253" s="7"/>
      <c r="E2253" s="7"/>
      <c r="F2253" s="7"/>
      <c r="G2253" s="7"/>
      <c r="H2253" s="7"/>
      <c r="I2253" s="7"/>
      <c r="J2253" s="7"/>
      <c r="K2253" s="7"/>
      <c r="L2253" s="7"/>
    </row>
    <row r="2254" spans="1:12" x14ac:dyDescent="0.35">
      <c r="A2254" s="227"/>
      <c r="B2254" s="59"/>
      <c r="C2254" s="7"/>
      <c r="D2254" s="7"/>
      <c r="E2254" s="7"/>
      <c r="F2254" s="7"/>
      <c r="G2254" s="7"/>
      <c r="H2254" s="7"/>
      <c r="I2254" s="7"/>
      <c r="J2254" s="7"/>
      <c r="K2254" s="7"/>
      <c r="L2254" s="7"/>
    </row>
    <row r="2255" spans="1:12" x14ac:dyDescent="0.35">
      <c r="A2255" s="227"/>
      <c r="B2255" s="59"/>
      <c r="C2255" s="7"/>
      <c r="D2255" s="7"/>
      <c r="E2255" s="7"/>
      <c r="F2255" s="7"/>
      <c r="G2255" s="7"/>
      <c r="H2255" s="7"/>
      <c r="I2255" s="7"/>
      <c r="J2255" s="7"/>
      <c r="K2255" s="7"/>
      <c r="L2255" s="7"/>
    </row>
    <row r="2256" spans="1:12" x14ac:dyDescent="0.35">
      <c r="A2256" s="227"/>
      <c r="B2256" s="59"/>
      <c r="C2256" s="7"/>
      <c r="D2256" s="7"/>
      <c r="E2256" s="7"/>
      <c r="F2256" s="7"/>
      <c r="G2256" s="7"/>
      <c r="H2256" s="7"/>
      <c r="I2256" s="7"/>
      <c r="J2256" s="7"/>
      <c r="K2256" s="7"/>
      <c r="L2256" s="7"/>
    </row>
    <row r="2257" spans="1:12" x14ac:dyDescent="0.35">
      <c r="A2257" s="227"/>
      <c r="B2257" s="59"/>
      <c r="C2257" s="7"/>
      <c r="D2257" s="7"/>
      <c r="E2257" s="7"/>
      <c r="F2257" s="7"/>
      <c r="G2257" s="7"/>
      <c r="H2257" s="7"/>
      <c r="I2257" s="7"/>
      <c r="J2257" s="7"/>
      <c r="K2257" s="7"/>
      <c r="L2257" s="7"/>
    </row>
    <row r="2258" spans="1:12" x14ac:dyDescent="0.35">
      <c r="A2258" s="227"/>
      <c r="B2258" s="59"/>
      <c r="C2258" s="7"/>
      <c r="D2258" s="7"/>
      <c r="E2258" s="7"/>
      <c r="F2258" s="7"/>
      <c r="G2258" s="7"/>
      <c r="H2258" s="7"/>
      <c r="I2258" s="7"/>
      <c r="J2258" s="7"/>
      <c r="K2258" s="7"/>
      <c r="L2258" s="7"/>
    </row>
    <row r="2259" spans="1:12" x14ac:dyDescent="0.35">
      <c r="A2259" s="227"/>
      <c r="B2259" s="59"/>
      <c r="C2259" s="7"/>
      <c r="D2259" s="7"/>
      <c r="E2259" s="7"/>
      <c r="F2259" s="7"/>
      <c r="G2259" s="7"/>
      <c r="H2259" s="7"/>
      <c r="I2259" s="7"/>
      <c r="J2259" s="7"/>
      <c r="K2259" s="7"/>
      <c r="L2259" s="7"/>
    </row>
    <row r="2260" spans="1:12" x14ac:dyDescent="0.35">
      <c r="A2260" s="227"/>
      <c r="B2260" s="59"/>
      <c r="C2260" s="7"/>
      <c r="D2260" s="7"/>
      <c r="E2260" s="7"/>
      <c r="F2260" s="7"/>
      <c r="G2260" s="7"/>
      <c r="H2260" s="7"/>
      <c r="I2260" s="7"/>
      <c r="J2260" s="7"/>
      <c r="K2260" s="7"/>
      <c r="L2260" s="7"/>
    </row>
    <row r="2261" spans="1:12" x14ac:dyDescent="0.35">
      <c r="A2261" s="227"/>
      <c r="B2261" s="59"/>
      <c r="C2261" s="7"/>
      <c r="D2261" s="7"/>
      <c r="E2261" s="7"/>
      <c r="F2261" s="7"/>
      <c r="G2261" s="7"/>
      <c r="H2261" s="7"/>
      <c r="I2261" s="7"/>
      <c r="J2261" s="7"/>
      <c r="K2261" s="7"/>
      <c r="L2261" s="7"/>
    </row>
    <row r="2262" spans="1:12" x14ac:dyDescent="0.35">
      <c r="A2262" s="227"/>
      <c r="B2262" s="59"/>
      <c r="C2262" s="7"/>
      <c r="D2262" s="7"/>
      <c r="E2262" s="7"/>
      <c r="F2262" s="7"/>
      <c r="G2262" s="7"/>
      <c r="H2262" s="7"/>
      <c r="I2262" s="7"/>
      <c r="J2262" s="7"/>
      <c r="K2262" s="7"/>
      <c r="L2262" s="7"/>
    </row>
    <row r="2263" spans="1:12" x14ac:dyDescent="0.35">
      <c r="A2263" s="227"/>
      <c r="B2263" s="59"/>
      <c r="C2263" s="7"/>
      <c r="D2263" s="7"/>
      <c r="E2263" s="7"/>
      <c r="F2263" s="7"/>
      <c r="G2263" s="7"/>
      <c r="H2263" s="7"/>
      <c r="I2263" s="7"/>
      <c r="J2263" s="7"/>
      <c r="K2263" s="7"/>
      <c r="L2263" s="7"/>
    </row>
    <row r="2264" spans="1:12" x14ac:dyDescent="0.35">
      <c r="A2264" s="227"/>
      <c r="B2264" s="59"/>
      <c r="C2264" s="7"/>
      <c r="D2264" s="7"/>
      <c r="E2264" s="7"/>
      <c r="F2264" s="7"/>
      <c r="G2264" s="7"/>
      <c r="H2264" s="7"/>
      <c r="I2264" s="7"/>
      <c r="J2264" s="7"/>
      <c r="K2264" s="7"/>
      <c r="L2264" s="7"/>
    </row>
    <row r="2265" spans="1:12" x14ac:dyDescent="0.35">
      <c r="A2265" s="227"/>
      <c r="B2265" s="59"/>
      <c r="C2265" s="7"/>
      <c r="D2265" s="7"/>
      <c r="E2265" s="7"/>
      <c r="F2265" s="7"/>
      <c r="G2265" s="7"/>
      <c r="H2265" s="7"/>
      <c r="I2265" s="7"/>
      <c r="J2265" s="7"/>
      <c r="K2265" s="7"/>
      <c r="L2265" s="7"/>
    </row>
    <row r="2266" spans="1:12" x14ac:dyDescent="0.35">
      <c r="A2266" s="227"/>
      <c r="B2266" s="59"/>
      <c r="C2266" s="7"/>
      <c r="D2266" s="7"/>
      <c r="E2266" s="7"/>
      <c r="F2266" s="7"/>
      <c r="G2266" s="7"/>
      <c r="H2266" s="7"/>
      <c r="I2266" s="7"/>
      <c r="J2266" s="7"/>
      <c r="K2266" s="7"/>
      <c r="L2266" s="7"/>
    </row>
    <row r="2267" spans="1:12" x14ac:dyDescent="0.35">
      <c r="A2267" s="227"/>
      <c r="B2267" s="59"/>
      <c r="C2267" s="7"/>
      <c r="D2267" s="7"/>
      <c r="E2267" s="7"/>
      <c r="F2267" s="7"/>
      <c r="G2267" s="7"/>
      <c r="H2267" s="7"/>
      <c r="I2267" s="7"/>
      <c r="J2267" s="7"/>
      <c r="K2267" s="7"/>
      <c r="L2267" s="7"/>
    </row>
    <row r="2268" spans="1:12" x14ac:dyDescent="0.35">
      <c r="A2268" s="227"/>
      <c r="B2268" s="59"/>
      <c r="C2268" s="7"/>
      <c r="D2268" s="7"/>
      <c r="E2268" s="7"/>
      <c r="F2268" s="7"/>
      <c r="G2268" s="7"/>
      <c r="H2268" s="7"/>
      <c r="I2268" s="7"/>
      <c r="J2268" s="7"/>
      <c r="K2268" s="7"/>
      <c r="L2268" s="7"/>
    </row>
    <row r="2269" spans="1:12" x14ac:dyDescent="0.35">
      <c r="A2269" s="227"/>
      <c r="B2269" s="59"/>
      <c r="C2269" s="7"/>
      <c r="D2269" s="7"/>
      <c r="E2269" s="7"/>
      <c r="F2269" s="7"/>
      <c r="G2269" s="7"/>
      <c r="H2269" s="7"/>
      <c r="I2269" s="7"/>
      <c r="J2269" s="7"/>
      <c r="K2269" s="7"/>
      <c r="L2269" s="7"/>
    </row>
    <row r="2270" spans="1:12" x14ac:dyDescent="0.35">
      <c r="A2270" s="227"/>
      <c r="B2270" s="59"/>
      <c r="C2270" s="7"/>
      <c r="D2270" s="7"/>
      <c r="E2270" s="7"/>
      <c r="F2270" s="7"/>
      <c r="G2270" s="7"/>
      <c r="H2270" s="7"/>
      <c r="I2270" s="7"/>
      <c r="J2270" s="7"/>
      <c r="K2270" s="7"/>
      <c r="L2270" s="7"/>
    </row>
    <row r="2271" spans="1:12" x14ac:dyDescent="0.35">
      <c r="A2271" s="227"/>
      <c r="B2271" s="59"/>
      <c r="C2271" s="7"/>
      <c r="D2271" s="7"/>
      <c r="E2271" s="7"/>
      <c r="F2271" s="7"/>
      <c r="G2271" s="7"/>
      <c r="H2271" s="7"/>
      <c r="I2271" s="7"/>
      <c r="J2271" s="7"/>
      <c r="K2271" s="7"/>
      <c r="L2271" s="7"/>
    </row>
    <row r="2272" spans="1:12" x14ac:dyDescent="0.35">
      <c r="A2272" s="227"/>
      <c r="B2272" s="59"/>
      <c r="C2272" s="7"/>
      <c r="D2272" s="7"/>
      <c r="E2272" s="7"/>
      <c r="F2272" s="7"/>
      <c r="G2272" s="7"/>
      <c r="H2272" s="7"/>
      <c r="I2272" s="7"/>
      <c r="J2272" s="7"/>
      <c r="K2272" s="7"/>
      <c r="L2272" s="7"/>
    </row>
    <row r="2273" spans="1:12" x14ac:dyDescent="0.35">
      <c r="A2273" s="227"/>
      <c r="B2273" s="59"/>
      <c r="C2273" s="7"/>
      <c r="D2273" s="7"/>
      <c r="E2273" s="7"/>
      <c r="F2273" s="7"/>
      <c r="G2273" s="7"/>
      <c r="H2273" s="7"/>
      <c r="I2273" s="7"/>
      <c r="J2273" s="7"/>
      <c r="K2273" s="7"/>
      <c r="L2273" s="7"/>
    </row>
    <row r="2274" spans="1:12" x14ac:dyDescent="0.35">
      <c r="A2274" s="227"/>
      <c r="B2274" s="59"/>
      <c r="C2274" s="7"/>
      <c r="D2274" s="7"/>
      <c r="E2274" s="7"/>
      <c r="F2274" s="7"/>
      <c r="G2274" s="7"/>
      <c r="H2274" s="7"/>
      <c r="I2274" s="7"/>
      <c r="J2274" s="7"/>
      <c r="K2274" s="7"/>
      <c r="L2274" s="7"/>
    </row>
    <row r="2275" spans="1:12" x14ac:dyDescent="0.35">
      <c r="A2275" s="227"/>
      <c r="B2275" s="59"/>
      <c r="C2275" s="7"/>
      <c r="D2275" s="7"/>
      <c r="E2275" s="7"/>
      <c r="F2275" s="7"/>
      <c r="G2275" s="7"/>
      <c r="H2275" s="7"/>
      <c r="I2275" s="7"/>
      <c r="J2275" s="7"/>
      <c r="K2275" s="7"/>
      <c r="L2275" s="7"/>
    </row>
    <row r="2276" spans="1:12" x14ac:dyDescent="0.35">
      <c r="A2276" s="227"/>
      <c r="B2276" s="59"/>
      <c r="C2276" s="7"/>
      <c r="D2276" s="7"/>
      <c r="E2276" s="7"/>
      <c r="F2276" s="7"/>
      <c r="G2276" s="7"/>
      <c r="H2276" s="7"/>
      <c r="I2276" s="7"/>
      <c r="J2276" s="7"/>
      <c r="K2276" s="7"/>
      <c r="L2276" s="7"/>
    </row>
    <row r="2277" spans="1:12" x14ac:dyDescent="0.35">
      <c r="A2277" s="227"/>
      <c r="B2277" s="59"/>
      <c r="C2277" s="7"/>
      <c r="D2277" s="7"/>
      <c r="E2277" s="7"/>
      <c r="F2277" s="7"/>
      <c r="G2277" s="7"/>
      <c r="H2277" s="7"/>
      <c r="I2277" s="7"/>
      <c r="J2277" s="7"/>
      <c r="K2277" s="7"/>
      <c r="L2277" s="7"/>
    </row>
    <row r="2278" spans="1:12" x14ac:dyDescent="0.35">
      <c r="A2278" s="227"/>
      <c r="B2278" s="59"/>
      <c r="C2278" s="7"/>
      <c r="D2278" s="7"/>
      <c r="E2278" s="7"/>
      <c r="F2278" s="7"/>
      <c r="G2278" s="7"/>
      <c r="H2278" s="7"/>
      <c r="I2278" s="7"/>
      <c r="J2278" s="7"/>
      <c r="K2278" s="7"/>
      <c r="L2278" s="7"/>
    </row>
    <row r="2279" spans="1:12" x14ac:dyDescent="0.35">
      <c r="A2279" s="227"/>
      <c r="B2279" s="59"/>
      <c r="C2279" s="7"/>
      <c r="D2279" s="7"/>
      <c r="E2279" s="7"/>
      <c r="F2279" s="7"/>
      <c r="G2279" s="7"/>
      <c r="H2279" s="7"/>
      <c r="I2279" s="7"/>
      <c r="J2279" s="7"/>
      <c r="K2279" s="7"/>
      <c r="L2279" s="7"/>
    </row>
    <row r="2280" spans="1:12" x14ac:dyDescent="0.35">
      <c r="A2280" s="227"/>
      <c r="B2280" s="59"/>
      <c r="C2280" s="7"/>
      <c r="D2280" s="7"/>
      <c r="E2280" s="7"/>
      <c r="F2280" s="7"/>
      <c r="G2280" s="7"/>
      <c r="H2280" s="7"/>
      <c r="I2280" s="7"/>
      <c r="J2280" s="7"/>
      <c r="K2280" s="7"/>
      <c r="L2280" s="7"/>
    </row>
    <row r="2281" spans="1:12" x14ac:dyDescent="0.35">
      <c r="A2281" s="227"/>
      <c r="B2281" s="59"/>
      <c r="C2281" s="7"/>
      <c r="D2281" s="7"/>
      <c r="E2281" s="7"/>
      <c r="F2281" s="7"/>
      <c r="G2281" s="7"/>
      <c r="H2281" s="7"/>
      <c r="I2281" s="7"/>
      <c r="J2281" s="7"/>
      <c r="K2281" s="7"/>
      <c r="L2281" s="7"/>
    </row>
    <row r="2282" spans="1:12" x14ac:dyDescent="0.35">
      <c r="A2282" s="227"/>
      <c r="B2282" s="59"/>
      <c r="C2282" s="7"/>
      <c r="D2282" s="7"/>
      <c r="E2282" s="7"/>
      <c r="F2282" s="7"/>
      <c r="G2282" s="7"/>
      <c r="H2282" s="7"/>
      <c r="I2282" s="7"/>
      <c r="J2282" s="7"/>
      <c r="K2282" s="7"/>
      <c r="L2282" s="7"/>
    </row>
    <row r="2283" spans="1:12" x14ac:dyDescent="0.35">
      <c r="A2283" s="227"/>
      <c r="B2283" s="59"/>
      <c r="C2283" s="7"/>
      <c r="D2283" s="7"/>
      <c r="E2283" s="7"/>
      <c r="F2283" s="7"/>
      <c r="G2283" s="7"/>
      <c r="H2283" s="7"/>
      <c r="I2283" s="7"/>
      <c r="J2283" s="7"/>
      <c r="K2283" s="7"/>
      <c r="L2283" s="7"/>
    </row>
    <row r="2284" spans="1:12" x14ac:dyDescent="0.35">
      <c r="A2284" s="227"/>
      <c r="B2284" s="59"/>
      <c r="C2284" s="7"/>
      <c r="D2284" s="7"/>
      <c r="E2284" s="7"/>
      <c r="F2284" s="7"/>
      <c r="G2284" s="7"/>
      <c r="H2284" s="7"/>
      <c r="I2284" s="7"/>
      <c r="J2284" s="7"/>
      <c r="K2284" s="7"/>
      <c r="L2284" s="7"/>
    </row>
    <row r="2285" spans="1:12" x14ac:dyDescent="0.35">
      <c r="A2285" s="227"/>
      <c r="B2285" s="59"/>
      <c r="C2285" s="7"/>
      <c r="D2285" s="7"/>
      <c r="E2285" s="7"/>
      <c r="F2285" s="7"/>
      <c r="G2285" s="7"/>
      <c r="H2285" s="7"/>
      <c r="I2285" s="7"/>
      <c r="J2285" s="7"/>
      <c r="K2285" s="7"/>
      <c r="L2285" s="7"/>
    </row>
    <row r="2286" spans="1:12" x14ac:dyDescent="0.35">
      <c r="A2286" s="227"/>
      <c r="B2286" s="59"/>
      <c r="C2286" s="7"/>
      <c r="D2286" s="7"/>
      <c r="E2286" s="7"/>
      <c r="F2286" s="7"/>
      <c r="G2286" s="7"/>
      <c r="H2286" s="7"/>
      <c r="I2286" s="7"/>
      <c r="J2286" s="7"/>
      <c r="K2286" s="7"/>
      <c r="L2286" s="7"/>
    </row>
    <row r="2287" spans="1:12" x14ac:dyDescent="0.35">
      <c r="A2287" s="227"/>
      <c r="B2287" s="59"/>
      <c r="C2287" s="7"/>
      <c r="D2287" s="7"/>
      <c r="E2287" s="7"/>
      <c r="F2287" s="7"/>
      <c r="G2287" s="7"/>
      <c r="H2287" s="7"/>
      <c r="I2287" s="7"/>
      <c r="J2287" s="7"/>
      <c r="K2287" s="7"/>
      <c r="L2287" s="7"/>
    </row>
    <row r="2288" spans="1:12" x14ac:dyDescent="0.35">
      <c r="A2288" s="227"/>
      <c r="B2288" s="59"/>
      <c r="C2288" s="7"/>
      <c r="D2288" s="7"/>
      <c r="E2288" s="7"/>
      <c r="F2288" s="7"/>
      <c r="G2288" s="7"/>
      <c r="H2288" s="7"/>
      <c r="I2288" s="7"/>
      <c r="J2288" s="7"/>
      <c r="K2288" s="7"/>
      <c r="L2288" s="7"/>
    </row>
    <row r="2289" spans="1:12" x14ac:dyDescent="0.35">
      <c r="A2289" s="227"/>
      <c r="B2289" s="59"/>
      <c r="C2289" s="7"/>
      <c r="D2289" s="7"/>
      <c r="E2289" s="7"/>
      <c r="F2289" s="7"/>
      <c r="G2289" s="7"/>
      <c r="H2289" s="7"/>
      <c r="I2289" s="7"/>
      <c r="J2289" s="7"/>
      <c r="K2289" s="7"/>
      <c r="L2289" s="7"/>
    </row>
    <row r="2290" spans="1:12" x14ac:dyDescent="0.35">
      <c r="A2290" s="227"/>
      <c r="B2290" s="59"/>
      <c r="C2290" s="7"/>
      <c r="D2290" s="7"/>
      <c r="E2290" s="7"/>
      <c r="F2290" s="7"/>
      <c r="G2290" s="7"/>
      <c r="H2290" s="7"/>
      <c r="I2290" s="7"/>
      <c r="J2290" s="7"/>
      <c r="K2290" s="7"/>
      <c r="L2290" s="7"/>
    </row>
    <row r="2291" spans="1:12" x14ac:dyDescent="0.35">
      <c r="A2291" s="227"/>
      <c r="B2291" s="59"/>
      <c r="C2291" s="7"/>
      <c r="D2291" s="7"/>
      <c r="E2291" s="7"/>
      <c r="F2291" s="7"/>
      <c r="G2291" s="7"/>
      <c r="H2291" s="7"/>
      <c r="I2291" s="7"/>
      <c r="J2291" s="7"/>
      <c r="K2291" s="7"/>
      <c r="L2291" s="7"/>
    </row>
    <row r="2292" spans="1:12" x14ac:dyDescent="0.35">
      <c r="A2292" s="227"/>
      <c r="B2292" s="59"/>
      <c r="C2292" s="7"/>
      <c r="D2292" s="7"/>
      <c r="E2292" s="7"/>
      <c r="F2292" s="7"/>
      <c r="G2292" s="7"/>
      <c r="H2292" s="7"/>
      <c r="I2292" s="7"/>
      <c r="J2292" s="7"/>
      <c r="K2292" s="7"/>
      <c r="L2292" s="7"/>
    </row>
    <row r="2293" spans="1:12" x14ac:dyDescent="0.35">
      <c r="A2293" s="227"/>
      <c r="B2293" s="59"/>
      <c r="C2293" s="7"/>
      <c r="D2293" s="7"/>
      <c r="E2293" s="7"/>
      <c r="F2293" s="7"/>
      <c r="G2293" s="7"/>
      <c r="H2293" s="7"/>
      <c r="I2293" s="7"/>
      <c r="J2293" s="7"/>
      <c r="K2293" s="7"/>
      <c r="L2293" s="7"/>
    </row>
    <row r="2294" spans="1:12" x14ac:dyDescent="0.35">
      <c r="A2294" s="227"/>
      <c r="B2294" s="59"/>
      <c r="C2294" s="7"/>
      <c r="D2294" s="7"/>
      <c r="E2294" s="7"/>
      <c r="F2294" s="7"/>
      <c r="G2294" s="7"/>
      <c r="H2294" s="7"/>
      <c r="I2294" s="7"/>
      <c r="J2294" s="7"/>
      <c r="K2294" s="7"/>
      <c r="L2294" s="7"/>
    </row>
    <row r="2295" spans="1:12" x14ac:dyDescent="0.35">
      <c r="A2295" s="227"/>
      <c r="B2295" s="59"/>
      <c r="C2295" s="7"/>
      <c r="D2295" s="7"/>
      <c r="E2295" s="7"/>
      <c r="F2295" s="7"/>
      <c r="G2295" s="7"/>
      <c r="H2295" s="7"/>
      <c r="I2295" s="7"/>
      <c r="J2295" s="7"/>
      <c r="K2295" s="7"/>
      <c r="L2295" s="7"/>
    </row>
    <row r="2296" spans="1:12" x14ac:dyDescent="0.35">
      <c r="A2296" s="227"/>
      <c r="B2296" s="59"/>
      <c r="C2296" s="7"/>
      <c r="D2296" s="7"/>
      <c r="E2296" s="7"/>
      <c r="F2296" s="7"/>
      <c r="G2296" s="7"/>
      <c r="H2296" s="7"/>
      <c r="I2296" s="7"/>
      <c r="J2296" s="7"/>
      <c r="K2296" s="7"/>
      <c r="L2296" s="7"/>
    </row>
    <row r="2297" spans="1:12" x14ac:dyDescent="0.35">
      <c r="A2297" s="227"/>
      <c r="B2297" s="59"/>
      <c r="C2297" s="7"/>
      <c r="D2297" s="7"/>
      <c r="E2297" s="7"/>
      <c r="F2297" s="7"/>
      <c r="G2297" s="7"/>
      <c r="H2297" s="7"/>
      <c r="I2297" s="7"/>
      <c r="J2297" s="7"/>
      <c r="K2297" s="7"/>
      <c r="L2297" s="7"/>
    </row>
    <row r="2298" spans="1:12" x14ac:dyDescent="0.35">
      <c r="A2298" s="227"/>
      <c r="B2298" s="59"/>
      <c r="C2298" s="7"/>
      <c r="D2298" s="7"/>
      <c r="E2298" s="7"/>
      <c r="F2298" s="7"/>
      <c r="G2298" s="7"/>
      <c r="H2298" s="7"/>
      <c r="I2298" s="7"/>
      <c r="J2298" s="7"/>
      <c r="K2298" s="7"/>
      <c r="L2298" s="7"/>
    </row>
    <row r="2299" spans="1:12" x14ac:dyDescent="0.35">
      <c r="A2299" s="227"/>
      <c r="B2299" s="59"/>
      <c r="C2299" s="7"/>
      <c r="D2299" s="7"/>
      <c r="E2299" s="7"/>
      <c r="F2299" s="7"/>
      <c r="G2299" s="7"/>
      <c r="H2299" s="7"/>
      <c r="I2299" s="7"/>
      <c r="J2299" s="7"/>
      <c r="K2299" s="7"/>
      <c r="L2299" s="7"/>
    </row>
    <row r="2300" spans="1:12" x14ac:dyDescent="0.35">
      <c r="A2300" s="227"/>
      <c r="B2300" s="59"/>
      <c r="C2300" s="7"/>
      <c r="D2300" s="7"/>
      <c r="E2300" s="7"/>
      <c r="F2300" s="7"/>
      <c r="G2300" s="7"/>
      <c r="H2300" s="7"/>
      <c r="I2300" s="7"/>
      <c r="J2300" s="7"/>
      <c r="K2300" s="7"/>
      <c r="L2300" s="7"/>
    </row>
    <row r="2301" spans="1:12" x14ac:dyDescent="0.35">
      <c r="A2301" s="227"/>
      <c r="B2301" s="59"/>
      <c r="C2301" s="7"/>
      <c r="D2301" s="7"/>
      <c r="E2301" s="7"/>
      <c r="F2301" s="7"/>
      <c r="G2301" s="7"/>
      <c r="H2301" s="7"/>
      <c r="I2301" s="7"/>
      <c r="J2301" s="7"/>
      <c r="K2301" s="7"/>
      <c r="L2301" s="7"/>
    </row>
    <row r="2302" spans="1:12" x14ac:dyDescent="0.35">
      <c r="A2302" s="227"/>
      <c r="B2302" s="59"/>
      <c r="C2302" s="7"/>
      <c r="D2302" s="7"/>
      <c r="E2302" s="7"/>
      <c r="F2302" s="7"/>
      <c r="G2302" s="7"/>
      <c r="H2302" s="7"/>
      <c r="I2302" s="7"/>
      <c r="J2302" s="7"/>
      <c r="K2302" s="7"/>
      <c r="L2302" s="7"/>
    </row>
    <row r="2303" spans="1:12" x14ac:dyDescent="0.35">
      <c r="A2303" s="227"/>
      <c r="B2303" s="59"/>
      <c r="C2303" s="7"/>
      <c r="D2303" s="7"/>
      <c r="E2303" s="7"/>
      <c r="F2303" s="7"/>
      <c r="G2303" s="7"/>
      <c r="H2303" s="7"/>
      <c r="I2303" s="7"/>
      <c r="J2303" s="7"/>
      <c r="K2303" s="7"/>
      <c r="L2303" s="7"/>
    </row>
    <row r="2304" spans="1:12" x14ac:dyDescent="0.35">
      <c r="A2304" s="227"/>
      <c r="B2304" s="59"/>
      <c r="C2304" s="7"/>
      <c r="D2304" s="7"/>
      <c r="E2304" s="7"/>
      <c r="F2304" s="7"/>
      <c r="G2304" s="7"/>
      <c r="H2304" s="7"/>
      <c r="I2304" s="7"/>
      <c r="J2304" s="7"/>
      <c r="K2304" s="7"/>
      <c r="L2304" s="7"/>
    </row>
    <row r="2305" spans="3:12" x14ac:dyDescent="0.35">
      <c r="C2305" s="7"/>
      <c r="D2305" s="7"/>
      <c r="E2305" s="7"/>
      <c r="F2305" s="7"/>
      <c r="G2305" s="7"/>
      <c r="H2305" s="7"/>
      <c r="I2305" s="7"/>
      <c r="J2305" s="7"/>
      <c r="K2305" s="7"/>
      <c r="L2305" s="7"/>
    </row>
    <row r="2306" spans="3:12" x14ac:dyDescent="0.35">
      <c r="C2306" s="7"/>
      <c r="D2306" s="7"/>
      <c r="E2306" s="7"/>
      <c r="F2306" s="7"/>
      <c r="G2306" s="7"/>
      <c r="H2306" s="7"/>
      <c r="I2306" s="7"/>
      <c r="J2306" s="7"/>
      <c r="K2306" s="7"/>
      <c r="L2306" s="7"/>
    </row>
    <row r="2307" spans="3:12" x14ac:dyDescent="0.35">
      <c r="C2307" s="7"/>
      <c r="D2307" s="7"/>
      <c r="E2307" s="7"/>
      <c r="F2307" s="7"/>
      <c r="G2307" s="7"/>
      <c r="H2307" s="7"/>
      <c r="I2307" s="7"/>
      <c r="J2307" s="7"/>
      <c r="K2307" s="7"/>
      <c r="L2307" s="7"/>
    </row>
    <row r="2308" spans="3:12" x14ac:dyDescent="0.35">
      <c r="C2308" s="7"/>
      <c r="D2308" s="7"/>
      <c r="E2308" s="7"/>
      <c r="F2308" s="7"/>
      <c r="G2308" s="7"/>
      <c r="H2308" s="7"/>
      <c r="I2308" s="7"/>
      <c r="J2308" s="7"/>
      <c r="K2308" s="7"/>
      <c r="L2308" s="7"/>
    </row>
    <row r="2309" spans="3:12" x14ac:dyDescent="0.35">
      <c r="C2309" s="7"/>
      <c r="D2309" s="7"/>
      <c r="E2309" s="7"/>
      <c r="F2309" s="7"/>
      <c r="G2309" s="7"/>
      <c r="H2309" s="7"/>
      <c r="I2309" s="7"/>
      <c r="J2309" s="7"/>
      <c r="K2309" s="7"/>
      <c r="L2309" s="7"/>
    </row>
    <row r="2310" spans="3:12" x14ac:dyDescent="0.35">
      <c r="C2310" s="7"/>
      <c r="D2310" s="7"/>
      <c r="E2310" s="7"/>
      <c r="F2310" s="7"/>
      <c r="G2310" s="7"/>
      <c r="H2310" s="7"/>
      <c r="I2310" s="7"/>
      <c r="J2310" s="7"/>
      <c r="K2310" s="7"/>
      <c r="L2310" s="7"/>
    </row>
    <row r="2311" spans="3:12" x14ac:dyDescent="0.35">
      <c r="C2311" s="7"/>
      <c r="D2311" s="7"/>
      <c r="E2311" s="7"/>
      <c r="F2311" s="7"/>
      <c r="G2311" s="7"/>
      <c r="H2311" s="7"/>
      <c r="I2311" s="7"/>
      <c r="J2311" s="7"/>
      <c r="K2311" s="7"/>
      <c r="L2311" s="7"/>
    </row>
    <row r="2312" spans="3:12" x14ac:dyDescent="0.35">
      <c r="C2312" s="7"/>
      <c r="D2312" s="7"/>
      <c r="E2312" s="7"/>
      <c r="F2312" s="7"/>
      <c r="G2312" s="7"/>
      <c r="H2312" s="7"/>
      <c r="I2312" s="7"/>
      <c r="J2312" s="7"/>
      <c r="K2312" s="7"/>
      <c r="L2312" s="7"/>
    </row>
    <row r="2313" spans="3:12" x14ac:dyDescent="0.35">
      <c r="C2313" s="7"/>
      <c r="D2313" s="7"/>
      <c r="E2313" s="7"/>
      <c r="F2313" s="7"/>
      <c r="G2313" s="7"/>
      <c r="H2313" s="7"/>
      <c r="I2313" s="7"/>
      <c r="J2313" s="7"/>
      <c r="K2313" s="7"/>
      <c r="L2313" s="7"/>
    </row>
    <row r="2314" spans="3:12" x14ac:dyDescent="0.35">
      <c r="C2314" s="7"/>
      <c r="D2314" s="7"/>
      <c r="E2314" s="7"/>
      <c r="F2314" s="7"/>
      <c r="G2314" s="7"/>
      <c r="H2314" s="7"/>
      <c r="I2314" s="7"/>
      <c r="J2314" s="7"/>
      <c r="K2314" s="7"/>
      <c r="L2314" s="7"/>
    </row>
    <row r="2315" spans="3:12" x14ac:dyDescent="0.35">
      <c r="C2315" s="7"/>
      <c r="D2315" s="7"/>
      <c r="E2315" s="7"/>
      <c r="F2315" s="7"/>
      <c r="G2315" s="7"/>
      <c r="H2315" s="7"/>
      <c r="I2315" s="7"/>
      <c r="J2315" s="7"/>
      <c r="K2315" s="7"/>
      <c r="L2315" s="7"/>
    </row>
    <row r="2316" spans="3:12" x14ac:dyDescent="0.35">
      <c r="C2316" s="7"/>
      <c r="D2316" s="7"/>
      <c r="E2316" s="7"/>
      <c r="F2316" s="7"/>
      <c r="G2316" s="7"/>
      <c r="H2316" s="7"/>
      <c r="I2316" s="7"/>
      <c r="J2316" s="7"/>
      <c r="K2316" s="7"/>
      <c r="L2316" s="7"/>
    </row>
    <row r="2317" spans="3:12" x14ac:dyDescent="0.35">
      <c r="C2317" s="7"/>
      <c r="D2317" s="7"/>
      <c r="E2317" s="7"/>
      <c r="F2317" s="7"/>
      <c r="G2317" s="7"/>
      <c r="H2317" s="7"/>
      <c r="I2317" s="7"/>
      <c r="J2317" s="7"/>
      <c r="K2317" s="7"/>
      <c r="L2317" s="7"/>
    </row>
    <row r="2318" spans="3:12" x14ac:dyDescent="0.35">
      <c r="C2318" s="7"/>
      <c r="D2318" s="7"/>
      <c r="E2318" s="7"/>
      <c r="F2318" s="7"/>
      <c r="G2318" s="7"/>
      <c r="H2318" s="7"/>
      <c r="I2318" s="7"/>
      <c r="J2318" s="7"/>
      <c r="K2318" s="7"/>
      <c r="L2318" s="7"/>
    </row>
    <row r="2319" spans="3:12" x14ac:dyDescent="0.35">
      <c r="C2319" s="7"/>
      <c r="D2319" s="7"/>
      <c r="E2319" s="7"/>
      <c r="F2319" s="7"/>
      <c r="G2319" s="7"/>
      <c r="H2319" s="7"/>
      <c r="I2319" s="7"/>
      <c r="J2319" s="7"/>
      <c r="K2319" s="7"/>
      <c r="L2319" s="7"/>
    </row>
    <row r="2320" spans="3:12" x14ac:dyDescent="0.35">
      <c r="C2320" s="7"/>
      <c r="D2320" s="7"/>
      <c r="E2320" s="7"/>
      <c r="F2320" s="7"/>
      <c r="G2320" s="7"/>
      <c r="H2320" s="7"/>
      <c r="I2320" s="7"/>
      <c r="J2320" s="7"/>
      <c r="K2320" s="7"/>
      <c r="L2320" s="7"/>
    </row>
    <row r="2321" spans="3:12" x14ac:dyDescent="0.35">
      <c r="C2321" s="7"/>
      <c r="D2321" s="7"/>
      <c r="E2321" s="7"/>
      <c r="F2321" s="7"/>
      <c r="G2321" s="7"/>
      <c r="H2321" s="7"/>
      <c r="I2321" s="7"/>
      <c r="J2321" s="7"/>
      <c r="K2321" s="7"/>
      <c r="L2321" s="7"/>
    </row>
    <row r="2322" spans="3:12" x14ac:dyDescent="0.35">
      <c r="C2322" s="7"/>
      <c r="D2322" s="7"/>
      <c r="E2322" s="7"/>
      <c r="F2322" s="7"/>
      <c r="G2322" s="7"/>
      <c r="H2322" s="7"/>
      <c r="I2322" s="7"/>
      <c r="J2322" s="7"/>
      <c r="K2322" s="7"/>
      <c r="L2322" s="7"/>
    </row>
    <row r="2323" spans="3:12" x14ac:dyDescent="0.35">
      <c r="C2323" s="7"/>
      <c r="D2323" s="7"/>
      <c r="E2323" s="7"/>
      <c r="F2323" s="7"/>
      <c r="G2323" s="7"/>
      <c r="H2323" s="7"/>
      <c r="I2323" s="7"/>
      <c r="J2323" s="7"/>
      <c r="K2323" s="7"/>
      <c r="L2323" s="7"/>
    </row>
    <row r="2324" spans="3:12" x14ac:dyDescent="0.35">
      <c r="C2324" s="7"/>
      <c r="D2324" s="7"/>
      <c r="E2324" s="7"/>
      <c r="F2324" s="7"/>
      <c r="G2324" s="7"/>
      <c r="H2324" s="7"/>
      <c r="I2324" s="7"/>
      <c r="J2324" s="7"/>
      <c r="K2324" s="7"/>
      <c r="L2324" s="7"/>
    </row>
    <row r="2325" spans="3:12" x14ac:dyDescent="0.35">
      <c r="C2325" s="7"/>
      <c r="D2325" s="7"/>
      <c r="E2325" s="7"/>
      <c r="F2325" s="7"/>
      <c r="G2325" s="7"/>
      <c r="H2325" s="7"/>
      <c r="I2325" s="7"/>
      <c r="J2325" s="7"/>
      <c r="K2325" s="7"/>
      <c r="L2325" s="7"/>
    </row>
    <row r="2326" spans="3:12" x14ac:dyDescent="0.35">
      <c r="C2326" s="7"/>
      <c r="D2326" s="7"/>
      <c r="E2326" s="7"/>
      <c r="F2326" s="7"/>
      <c r="G2326" s="7"/>
      <c r="H2326" s="7"/>
      <c r="I2326" s="7"/>
      <c r="J2326" s="7"/>
      <c r="K2326" s="7"/>
      <c r="L2326" s="7"/>
    </row>
    <row r="2327" spans="3:12" x14ac:dyDescent="0.35">
      <c r="C2327" s="7"/>
      <c r="D2327" s="7"/>
      <c r="E2327" s="7"/>
      <c r="F2327" s="7"/>
      <c r="G2327" s="7"/>
      <c r="H2327" s="7"/>
      <c r="I2327" s="7"/>
      <c r="J2327" s="7"/>
      <c r="K2327" s="7"/>
      <c r="L2327" s="7"/>
    </row>
    <row r="2328" spans="3:12" x14ac:dyDescent="0.35">
      <c r="C2328" s="7"/>
      <c r="D2328" s="7"/>
      <c r="E2328" s="7"/>
      <c r="F2328" s="7"/>
      <c r="G2328" s="7"/>
      <c r="H2328" s="7"/>
      <c r="I2328" s="7"/>
      <c r="J2328" s="7"/>
      <c r="K2328" s="7"/>
      <c r="L2328" s="7"/>
    </row>
    <row r="2329" spans="3:12" x14ac:dyDescent="0.35">
      <c r="C2329" s="7"/>
      <c r="D2329" s="7"/>
      <c r="E2329" s="7"/>
      <c r="F2329" s="7"/>
      <c r="G2329" s="7"/>
      <c r="H2329" s="7"/>
      <c r="I2329" s="7"/>
      <c r="J2329" s="7"/>
      <c r="K2329" s="7"/>
      <c r="L2329" s="7"/>
    </row>
    <row r="2330" spans="3:12" x14ac:dyDescent="0.35">
      <c r="C2330" s="7"/>
      <c r="D2330" s="7"/>
      <c r="E2330" s="7"/>
      <c r="F2330" s="7"/>
      <c r="G2330" s="7"/>
      <c r="H2330" s="7"/>
      <c r="I2330" s="7"/>
      <c r="J2330" s="7"/>
      <c r="K2330" s="7"/>
      <c r="L2330" s="7"/>
    </row>
    <row r="2331" spans="3:12" x14ac:dyDescent="0.35">
      <c r="C2331" s="7"/>
      <c r="D2331" s="7"/>
      <c r="E2331" s="7"/>
      <c r="F2331" s="7"/>
      <c r="G2331" s="7"/>
      <c r="H2331" s="7"/>
      <c r="I2331" s="7"/>
      <c r="J2331" s="7"/>
      <c r="K2331" s="7"/>
      <c r="L2331" s="7"/>
    </row>
    <row r="2332" spans="3:12" x14ac:dyDescent="0.35">
      <c r="C2332" s="7"/>
      <c r="D2332" s="7"/>
      <c r="E2332" s="7"/>
      <c r="F2332" s="7"/>
      <c r="G2332" s="7"/>
      <c r="H2332" s="7"/>
      <c r="I2332" s="7"/>
      <c r="J2332" s="7"/>
      <c r="K2332" s="7"/>
      <c r="L2332" s="7"/>
    </row>
    <row r="2333" spans="3:12" x14ac:dyDescent="0.35">
      <c r="C2333" s="7"/>
      <c r="D2333" s="7"/>
      <c r="E2333" s="7"/>
      <c r="F2333" s="7"/>
      <c r="G2333" s="7"/>
      <c r="H2333" s="7"/>
      <c r="I2333" s="7"/>
      <c r="J2333" s="7"/>
      <c r="K2333" s="7"/>
      <c r="L2333" s="7"/>
    </row>
    <row r="2334" spans="3:12" x14ac:dyDescent="0.35">
      <c r="C2334" s="7"/>
      <c r="D2334" s="7"/>
      <c r="E2334" s="7"/>
      <c r="F2334" s="7"/>
      <c r="G2334" s="7"/>
      <c r="H2334" s="7"/>
      <c r="I2334" s="7"/>
      <c r="J2334" s="7"/>
      <c r="K2334" s="7"/>
      <c r="L2334" s="7"/>
    </row>
    <row r="2335" spans="3:12" x14ac:dyDescent="0.35">
      <c r="C2335" s="7"/>
      <c r="D2335" s="7"/>
      <c r="E2335" s="7"/>
      <c r="F2335" s="7"/>
      <c r="G2335" s="7"/>
      <c r="H2335" s="7"/>
      <c r="I2335" s="7"/>
      <c r="J2335" s="7"/>
      <c r="K2335" s="7"/>
      <c r="L2335" s="7"/>
    </row>
    <row r="2336" spans="3:12" x14ac:dyDescent="0.35">
      <c r="C2336" s="7"/>
      <c r="D2336" s="7"/>
      <c r="E2336" s="7"/>
      <c r="F2336" s="7"/>
      <c r="G2336" s="7"/>
      <c r="H2336" s="7"/>
      <c r="I2336" s="7"/>
      <c r="J2336" s="7"/>
      <c r="K2336" s="7"/>
      <c r="L2336" s="7"/>
    </row>
    <row r="2337" spans="3:12" x14ac:dyDescent="0.35">
      <c r="C2337" s="7"/>
      <c r="D2337" s="7"/>
      <c r="E2337" s="7"/>
      <c r="F2337" s="7"/>
      <c r="G2337" s="7"/>
      <c r="H2337" s="7"/>
      <c r="I2337" s="7"/>
      <c r="J2337" s="7"/>
      <c r="K2337" s="7"/>
      <c r="L2337" s="7"/>
    </row>
    <row r="2338" spans="3:12" x14ac:dyDescent="0.35">
      <c r="C2338" s="7"/>
      <c r="D2338" s="7"/>
      <c r="E2338" s="7"/>
      <c r="F2338" s="7"/>
      <c r="G2338" s="7"/>
      <c r="H2338" s="7"/>
      <c r="I2338" s="7"/>
      <c r="J2338" s="7"/>
      <c r="K2338" s="7"/>
      <c r="L2338" s="7"/>
    </row>
    <row r="2339" spans="3:12" x14ac:dyDescent="0.35">
      <c r="C2339" s="7"/>
      <c r="D2339" s="7"/>
      <c r="E2339" s="7"/>
      <c r="F2339" s="7"/>
      <c r="G2339" s="7"/>
      <c r="H2339" s="7"/>
      <c r="I2339" s="7"/>
      <c r="J2339" s="7"/>
      <c r="K2339" s="7"/>
      <c r="L2339" s="7"/>
    </row>
    <row r="2340" spans="3:12" x14ac:dyDescent="0.35">
      <c r="C2340" s="7"/>
      <c r="D2340" s="7"/>
      <c r="E2340" s="7"/>
      <c r="F2340" s="7"/>
      <c r="G2340" s="7"/>
      <c r="H2340" s="7"/>
      <c r="I2340" s="7"/>
      <c r="J2340" s="7"/>
      <c r="K2340" s="7"/>
      <c r="L2340" s="7"/>
    </row>
    <row r="2341" spans="3:12" x14ac:dyDescent="0.35">
      <c r="C2341" s="7"/>
      <c r="D2341" s="7"/>
      <c r="E2341" s="7"/>
      <c r="F2341" s="7"/>
      <c r="G2341" s="7"/>
      <c r="H2341" s="7"/>
      <c r="I2341" s="7"/>
      <c r="J2341" s="7"/>
      <c r="K2341" s="7"/>
      <c r="L2341" s="7"/>
    </row>
    <row r="2342" spans="3:12" x14ac:dyDescent="0.35">
      <c r="C2342" s="7"/>
      <c r="D2342" s="7"/>
      <c r="E2342" s="7"/>
      <c r="F2342" s="7"/>
      <c r="G2342" s="7"/>
      <c r="H2342" s="7"/>
      <c r="I2342" s="7"/>
      <c r="J2342" s="7"/>
      <c r="K2342" s="7"/>
      <c r="L2342" s="7"/>
    </row>
    <row r="2343" spans="3:12" x14ac:dyDescent="0.35">
      <c r="C2343" s="7"/>
      <c r="D2343" s="7"/>
      <c r="E2343" s="7"/>
      <c r="F2343" s="7"/>
      <c r="G2343" s="7"/>
      <c r="H2343" s="7"/>
      <c r="I2343" s="7"/>
      <c r="J2343" s="7"/>
      <c r="K2343" s="7"/>
      <c r="L2343" s="7"/>
    </row>
    <row r="2344" spans="3:12" x14ac:dyDescent="0.35">
      <c r="C2344" s="7"/>
      <c r="D2344" s="7"/>
      <c r="E2344" s="7"/>
      <c r="F2344" s="7"/>
      <c r="G2344" s="7"/>
      <c r="H2344" s="7"/>
      <c r="I2344" s="7"/>
      <c r="J2344" s="7"/>
      <c r="K2344" s="7"/>
      <c r="L2344" s="7"/>
    </row>
    <row r="2345" spans="3:12" x14ac:dyDescent="0.35">
      <c r="C2345" s="7"/>
      <c r="D2345" s="7"/>
      <c r="E2345" s="7"/>
      <c r="F2345" s="7"/>
      <c r="G2345" s="7"/>
      <c r="H2345" s="7"/>
      <c r="I2345" s="7"/>
      <c r="J2345" s="7"/>
      <c r="K2345" s="7"/>
      <c r="L2345" s="7"/>
    </row>
    <row r="2346" spans="3:12" x14ac:dyDescent="0.35">
      <c r="E2346" s="7"/>
      <c r="F2346" s="7"/>
      <c r="G2346" s="7"/>
      <c r="H2346" s="7"/>
      <c r="I2346" s="7"/>
      <c r="J2346" s="7"/>
      <c r="K2346" s="7"/>
      <c r="L2346" s="7"/>
    </row>
    <row r="2347" spans="3:12" x14ac:dyDescent="0.35">
      <c r="E2347" s="7"/>
      <c r="F2347" s="7"/>
      <c r="G2347" s="7"/>
      <c r="H2347" s="7"/>
      <c r="I2347" s="7"/>
      <c r="J2347" s="7"/>
      <c r="K2347" s="7"/>
      <c r="L2347" s="7"/>
    </row>
    <row r="2348" spans="3:12" x14ac:dyDescent="0.35">
      <c r="E2348" s="7"/>
      <c r="F2348" s="7"/>
      <c r="G2348" s="7"/>
      <c r="H2348" s="7"/>
      <c r="I2348" s="7"/>
      <c r="J2348" s="7"/>
      <c r="K2348" s="7"/>
      <c r="L2348" s="7"/>
    </row>
    <row r="2349" spans="3:12" x14ac:dyDescent="0.35">
      <c r="E2349" s="7"/>
      <c r="F2349" s="7"/>
      <c r="G2349" s="7"/>
      <c r="H2349" s="7"/>
      <c r="I2349" s="7"/>
      <c r="J2349" s="7"/>
      <c r="K2349" s="7"/>
      <c r="L2349" s="7"/>
    </row>
    <row r="2350" spans="3:12" x14ac:dyDescent="0.35">
      <c r="E2350" s="7"/>
      <c r="F2350" s="7"/>
      <c r="G2350" s="7"/>
      <c r="H2350" s="7"/>
      <c r="I2350" s="7"/>
      <c r="J2350" s="7"/>
      <c r="K2350" s="7"/>
      <c r="L2350" s="7"/>
    </row>
    <row r="2351" spans="3:12" x14ac:dyDescent="0.35">
      <c r="E2351" s="7"/>
      <c r="F2351" s="7"/>
      <c r="G2351" s="7"/>
      <c r="H2351" s="7"/>
      <c r="I2351" s="7"/>
      <c r="J2351" s="7"/>
      <c r="K2351" s="7"/>
      <c r="L2351" s="7"/>
    </row>
    <row r="2352" spans="3:12" x14ac:dyDescent="0.35">
      <c r="E2352" s="7"/>
      <c r="F2352" s="7"/>
      <c r="G2352" s="7"/>
      <c r="H2352" s="7"/>
      <c r="I2352" s="7"/>
      <c r="J2352" s="7"/>
      <c r="K2352" s="7"/>
      <c r="L2352" s="7"/>
    </row>
    <row r="2353" spans="5:12" x14ac:dyDescent="0.35">
      <c r="E2353" s="7"/>
      <c r="F2353" s="7"/>
      <c r="G2353" s="7"/>
      <c r="H2353" s="7"/>
      <c r="I2353" s="7"/>
      <c r="J2353" s="7"/>
      <c r="K2353" s="7"/>
      <c r="L2353" s="7"/>
    </row>
  </sheetData>
  <autoFilter ref="C8:M2045" xr:uid="{00000000-0009-0000-0000-000001000000}"/>
  <mergeCells count="4">
    <mergeCell ref="J920:J921"/>
    <mergeCell ref="F7:L7"/>
    <mergeCell ref="A7:E7"/>
    <mergeCell ref="J857:J858"/>
  </mergeCells>
  <conditionalFormatting sqref="C8:M8 H10:I613 J1098:J1134 J1511 J1513">
    <cfRule type="expression" dxfId="17" priority="27">
      <formula>DAYS360(NOW(), #REF!) &lt;= 0</formula>
    </cfRule>
    <cfRule type="expression" dxfId="16" priority="28">
      <formula>DAYS360(NOW(), #REF!) &lt;= 30</formula>
    </cfRule>
  </conditionalFormatting>
  <conditionalFormatting sqref="H9:J9 L9:M19 J10:J857 L20:L21 L21:M24 L25:L26 L27:M36 L37 L38:M50 L51 L52:M80 L81:L82 L83:M140 L141 L142:M240 L241 L242:M354 M355:M374 L355:L375 L376:M447 L448:L1953 M449:M546 I614:I634 I638:I851 J859:J886 J888:J920 J922:J2039">
    <cfRule type="expression" dxfId="15" priority="33">
      <formula>DAYS360(NOW(), #REF!) &lt;= 30</formula>
    </cfRule>
  </conditionalFormatting>
  <conditionalFormatting sqref="J922:J2039 H9:J9 L9:M19 J10:J857 L20:L21 L21:M24 L25:L26 L27:M36 L37 L38:M50 L51 L52:M80 L81:L82 L83:M140 L141 L142:M240 L241 L242:M354 M355:M374 L355:L375 L376:M447 L448:L1953 M449:M546 I614:I634 I638:I851 J859:J886 J888:J920">
    <cfRule type="expression" dxfId="14" priority="64">
      <formula>DAYS360(NOW(), #REF!) &lt;= 0</formula>
    </cfRule>
  </conditionalFormatting>
  <pageMargins left="0.24" right="0.16" top="0.2" bottom="0.21" header="0.38" footer="0.31496062992125984"/>
  <pageSetup paperSize="9" scale="90" orientation="landscape" verticalDpi="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4"/>
  <sheetViews>
    <sheetView workbookViewId="0">
      <selection activeCell="G60" sqref="G60"/>
    </sheetView>
  </sheetViews>
  <sheetFormatPr defaultRowHeight="14.5" x14ac:dyDescent="0.35"/>
  <cols>
    <col min="1" max="2" width="27.453125" bestFit="1" customWidth="1"/>
  </cols>
  <sheetData>
    <row r="1" spans="1:2" ht="18.5" x14ac:dyDescent="0.35">
      <c r="A1" s="350">
        <v>3800</v>
      </c>
      <c r="B1" s="350">
        <v>3800</v>
      </c>
    </row>
    <row r="2" spans="1:2" ht="18.5" x14ac:dyDescent="0.35">
      <c r="A2" s="350">
        <v>10600</v>
      </c>
      <c r="B2" s="350">
        <v>10600</v>
      </c>
    </row>
    <row r="3" spans="1:2" ht="18.5" x14ac:dyDescent="0.35">
      <c r="A3" s="350" t="s">
        <v>1908</v>
      </c>
      <c r="B3" s="350">
        <v>5400</v>
      </c>
    </row>
    <row r="4" spans="1:2" ht="18.5" x14ac:dyDescent="0.35">
      <c r="A4" s="350" t="s">
        <v>1909</v>
      </c>
      <c r="B4" s="350">
        <v>8000</v>
      </c>
    </row>
    <row r="5" spans="1:2" ht="18.5" x14ac:dyDescent="0.35">
      <c r="A5" s="350">
        <v>2500</v>
      </c>
      <c r="B5" s="350">
        <v>2500</v>
      </c>
    </row>
    <row r="6" spans="1:2" ht="18.5" x14ac:dyDescent="0.35">
      <c r="A6" s="350">
        <v>2500</v>
      </c>
      <c r="B6" s="350">
        <v>2500</v>
      </c>
    </row>
    <row r="7" spans="1:2" ht="18.5" x14ac:dyDescent="0.35">
      <c r="A7" s="350">
        <v>2500</v>
      </c>
      <c r="B7" s="350">
        <v>2500</v>
      </c>
    </row>
    <row r="8" spans="1:2" ht="18.5" x14ac:dyDescent="0.35">
      <c r="A8" s="350">
        <v>3500</v>
      </c>
      <c r="B8" s="350">
        <v>3500</v>
      </c>
    </row>
    <row r="9" spans="1:2" ht="18.5" x14ac:dyDescent="0.35">
      <c r="A9" s="350">
        <v>3500</v>
      </c>
      <c r="B9" s="350">
        <v>3500</v>
      </c>
    </row>
    <row r="10" spans="1:2" ht="18.5" x14ac:dyDescent="0.35">
      <c r="A10" s="350">
        <v>2800</v>
      </c>
      <c r="B10" s="350">
        <v>2800</v>
      </c>
    </row>
    <row r="11" spans="1:2" ht="18.5" x14ac:dyDescent="0.35">
      <c r="A11" s="350">
        <v>2800</v>
      </c>
      <c r="B11" s="350">
        <v>2800</v>
      </c>
    </row>
    <row r="12" spans="1:2" ht="18.5" x14ac:dyDescent="0.35">
      <c r="A12" s="350">
        <v>2800</v>
      </c>
      <c r="B12" s="350">
        <v>2800</v>
      </c>
    </row>
    <row r="13" spans="1:2" ht="18.5" x14ac:dyDescent="0.35">
      <c r="A13" s="350" t="s">
        <v>1557</v>
      </c>
      <c r="B13" s="350">
        <v>3500</v>
      </c>
    </row>
    <row r="14" spans="1:2" ht="18.5" x14ac:dyDescent="0.35">
      <c r="A14" s="350">
        <v>2200</v>
      </c>
      <c r="B14" s="350">
        <v>2200</v>
      </c>
    </row>
    <row r="15" spans="1:2" ht="18.5" x14ac:dyDescent="0.35">
      <c r="A15" s="351" t="s">
        <v>1908</v>
      </c>
      <c r="B15" s="351">
        <v>5400</v>
      </c>
    </row>
    <row r="16" spans="1:2" ht="18.5" x14ac:dyDescent="0.35">
      <c r="A16" s="350">
        <v>3300</v>
      </c>
      <c r="B16" s="350">
        <v>3300</v>
      </c>
    </row>
    <row r="17" spans="1:2" ht="18.5" x14ac:dyDescent="0.35">
      <c r="A17" s="350">
        <v>2800</v>
      </c>
      <c r="B17" s="350">
        <v>2800</v>
      </c>
    </row>
    <row r="18" spans="1:2" ht="18.5" x14ac:dyDescent="0.35">
      <c r="A18" s="350" t="s">
        <v>1559</v>
      </c>
      <c r="B18" s="350">
        <v>4800</v>
      </c>
    </row>
    <row r="19" spans="1:2" ht="18.5" x14ac:dyDescent="0.35">
      <c r="A19" s="350">
        <v>2800</v>
      </c>
      <c r="B19" s="350">
        <v>2800</v>
      </c>
    </row>
    <row r="20" spans="1:2" ht="18.5" x14ac:dyDescent="0.35">
      <c r="A20" s="350">
        <v>250</v>
      </c>
      <c r="B20" s="350">
        <v>250</v>
      </c>
    </row>
    <row r="21" spans="1:2" ht="18.5" x14ac:dyDescent="0.35">
      <c r="A21" s="350" t="s">
        <v>1910</v>
      </c>
      <c r="B21" s="350">
        <v>3800</v>
      </c>
    </row>
    <row r="22" spans="1:2" ht="18.5" x14ac:dyDescent="0.35">
      <c r="A22" s="350">
        <v>400</v>
      </c>
      <c r="B22" s="350">
        <v>400</v>
      </c>
    </row>
    <row r="23" spans="1:2" ht="18.5" x14ac:dyDescent="0.35">
      <c r="A23" s="350" t="s">
        <v>1559</v>
      </c>
      <c r="B23" s="350">
        <v>4800</v>
      </c>
    </row>
    <row r="24" spans="1:2" ht="18.5" x14ac:dyDescent="0.35">
      <c r="A24" s="350">
        <v>3800</v>
      </c>
      <c r="B24" s="350">
        <v>3800</v>
      </c>
    </row>
    <row r="25" spans="1:2" ht="18.5" x14ac:dyDescent="0.35">
      <c r="A25" s="351" t="s">
        <v>1908</v>
      </c>
      <c r="B25" s="351">
        <v>5400</v>
      </c>
    </row>
    <row r="26" spans="1:2" ht="18.5" x14ac:dyDescent="0.35">
      <c r="A26" s="350">
        <v>1000</v>
      </c>
      <c r="B26" s="350">
        <v>1000</v>
      </c>
    </row>
    <row r="27" spans="1:2" ht="18.5" x14ac:dyDescent="0.35">
      <c r="A27" s="350">
        <v>1000</v>
      </c>
      <c r="B27" s="350">
        <v>1000</v>
      </c>
    </row>
    <row r="28" spans="1:2" ht="18.5" x14ac:dyDescent="0.35">
      <c r="A28" s="350">
        <v>8000</v>
      </c>
      <c r="B28" s="350">
        <v>8000</v>
      </c>
    </row>
    <row r="29" spans="1:2" ht="18.5" x14ac:dyDescent="0.35">
      <c r="A29" s="350">
        <v>8000</v>
      </c>
      <c r="B29" s="350">
        <v>8000</v>
      </c>
    </row>
    <row r="30" spans="1:2" ht="18.5" x14ac:dyDescent="0.35">
      <c r="A30" s="350">
        <v>8000</v>
      </c>
      <c r="B30" s="350">
        <v>8000</v>
      </c>
    </row>
    <row r="31" spans="1:2" ht="18.5" x14ac:dyDescent="0.35">
      <c r="A31" s="350">
        <v>4000</v>
      </c>
      <c r="B31" s="350">
        <v>4000</v>
      </c>
    </row>
    <row r="32" spans="1:2" ht="18.5" x14ac:dyDescent="0.35">
      <c r="A32" s="350" t="s">
        <v>1908</v>
      </c>
      <c r="B32" s="350">
        <v>5400</v>
      </c>
    </row>
    <row r="33" spans="1:10" ht="18.5" x14ac:dyDescent="0.35">
      <c r="A33" s="350">
        <v>3500</v>
      </c>
      <c r="B33" s="350">
        <v>3500</v>
      </c>
    </row>
    <row r="34" spans="1:10" ht="18.5" x14ac:dyDescent="0.35">
      <c r="A34" s="350">
        <v>2800</v>
      </c>
      <c r="B34" s="350">
        <v>2800</v>
      </c>
    </row>
    <row r="35" spans="1:10" ht="18.5" x14ac:dyDescent="0.35">
      <c r="A35" s="350" t="s">
        <v>1561</v>
      </c>
      <c r="B35" s="350">
        <v>5000</v>
      </c>
    </row>
    <row r="36" spans="1:10" ht="18.5" x14ac:dyDescent="0.35">
      <c r="A36" s="350" t="s">
        <v>1561</v>
      </c>
      <c r="B36" s="350">
        <v>5000</v>
      </c>
    </row>
    <row r="37" spans="1:10" ht="18.5" x14ac:dyDescent="0.35">
      <c r="A37" s="350" t="s">
        <v>1558</v>
      </c>
      <c r="B37" s="350">
        <v>4500</v>
      </c>
    </row>
    <row r="38" spans="1:10" ht="18.5" x14ac:dyDescent="0.35">
      <c r="A38" s="350" t="s">
        <v>1558</v>
      </c>
      <c r="B38" s="350">
        <v>4500</v>
      </c>
    </row>
    <row r="39" spans="1:10" ht="18.5" x14ac:dyDescent="0.35">
      <c r="A39" s="350">
        <v>3500</v>
      </c>
      <c r="B39" s="350">
        <v>3500</v>
      </c>
    </row>
    <row r="40" spans="1:10" ht="18.5" x14ac:dyDescent="0.35">
      <c r="A40" s="350">
        <v>3300</v>
      </c>
      <c r="B40" s="350">
        <v>3300</v>
      </c>
    </row>
    <row r="41" spans="1:10" ht="18.5" x14ac:dyDescent="0.35">
      <c r="A41" s="350" t="s">
        <v>1558</v>
      </c>
      <c r="B41" s="350">
        <v>4500</v>
      </c>
    </row>
    <row r="42" spans="1:10" ht="18.5" x14ac:dyDescent="0.35">
      <c r="A42" s="350">
        <v>2800</v>
      </c>
      <c r="B42" s="350">
        <v>2800</v>
      </c>
    </row>
    <row r="43" spans="1:10" ht="18.5" x14ac:dyDescent="0.35">
      <c r="A43" s="350" t="s">
        <v>1557</v>
      </c>
      <c r="B43" s="350">
        <v>3500</v>
      </c>
    </row>
    <row r="44" spans="1:10" ht="18.5" x14ac:dyDescent="0.35">
      <c r="A44" s="350">
        <v>3500</v>
      </c>
      <c r="B44" s="350">
        <v>3500</v>
      </c>
    </row>
    <row r="45" spans="1:10" ht="18.5" x14ac:dyDescent="0.35">
      <c r="A45" s="350">
        <v>3500</v>
      </c>
      <c r="B45" s="350">
        <v>3500</v>
      </c>
    </row>
    <row r="46" spans="1:10" ht="18.5" x14ac:dyDescent="0.35">
      <c r="A46" s="350" t="s">
        <v>1561</v>
      </c>
      <c r="B46" s="350">
        <v>5000</v>
      </c>
    </row>
    <row r="47" spans="1:10" ht="18.5" x14ac:dyDescent="0.35">
      <c r="A47" s="350" t="s">
        <v>1557</v>
      </c>
      <c r="B47" s="350">
        <v>3500</v>
      </c>
    </row>
    <row r="48" spans="1:10" ht="18.5" x14ac:dyDescent="0.35">
      <c r="A48" s="350">
        <v>1800</v>
      </c>
      <c r="B48" s="350">
        <v>1800</v>
      </c>
      <c r="J48">
        <v>800</v>
      </c>
    </row>
    <row r="49" spans="1:10" ht="18.5" x14ac:dyDescent="0.35">
      <c r="A49" s="350" t="s">
        <v>1911</v>
      </c>
      <c r="B49" s="350">
        <v>3200</v>
      </c>
      <c r="J49">
        <v>75</v>
      </c>
    </row>
    <row r="50" spans="1:10" ht="18.5" x14ac:dyDescent="0.35">
      <c r="A50" s="350" t="s">
        <v>1559</v>
      </c>
      <c r="B50" s="350">
        <v>4800</v>
      </c>
      <c r="J50">
        <v>1600</v>
      </c>
    </row>
    <row r="51" spans="1:10" ht="18.5" x14ac:dyDescent="0.35">
      <c r="A51" s="350" t="s">
        <v>1558</v>
      </c>
      <c r="B51" s="350">
        <v>4500</v>
      </c>
      <c r="J51">
        <v>140</v>
      </c>
    </row>
    <row r="52" spans="1:10" ht="18.5" x14ac:dyDescent="0.35">
      <c r="A52" s="350" t="s">
        <v>1559</v>
      </c>
      <c r="B52" s="350">
        <v>4800</v>
      </c>
      <c r="J52">
        <f>SUM(J48:J51)</f>
        <v>2615</v>
      </c>
    </row>
    <row r="53" spans="1:10" ht="18.5" x14ac:dyDescent="0.35">
      <c r="A53" s="350">
        <v>4000</v>
      </c>
      <c r="B53" s="350">
        <v>4000</v>
      </c>
    </row>
    <row r="54" spans="1:10" ht="18.5" x14ac:dyDescent="0.35">
      <c r="A54" s="350" t="s">
        <v>1908</v>
      </c>
      <c r="B54" s="350">
        <v>5400</v>
      </c>
    </row>
    <row r="55" spans="1:10" ht="18.5" x14ac:dyDescent="0.35">
      <c r="A55" s="350">
        <v>3500</v>
      </c>
      <c r="B55" s="350">
        <v>3500</v>
      </c>
    </row>
    <row r="56" spans="1:10" x14ac:dyDescent="0.35">
      <c r="B56">
        <f>SUM(B1:B55)</f>
        <v>219750</v>
      </c>
      <c r="E56">
        <v>222365</v>
      </c>
    </row>
    <row r="57" spans="1:10" ht="18.5" x14ac:dyDescent="0.35">
      <c r="B57" s="352">
        <v>2615</v>
      </c>
      <c r="E57">
        <f>E56-8500</f>
        <v>213865</v>
      </c>
    </row>
    <row r="58" spans="1:10" ht="18.5" x14ac:dyDescent="0.35">
      <c r="B58" s="352">
        <v>200</v>
      </c>
    </row>
    <row r="59" spans="1:10" ht="18.5" x14ac:dyDescent="0.35">
      <c r="B59" s="352">
        <v>400</v>
      </c>
    </row>
    <row r="60" spans="1:10" ht="18.5" x14ac:dyDescent="0.35">
      <c r="B60" s="352">
        <v>400</v>
      </c>
    </row>
    <row r="61" spans="1:10" ht="18.5" x14ac:dyDescent="0.35">
      <c r="B61" s="352">
        <v>400</v>
      </c>
    </row>
    <row r="62" spans="1:10" ht="18.5" x14ac:dyDescent="0.35">
      <c r="B62" s="352">
        <v>200</v>
      </c>
    </row>
    <row r="63" spans="1:10" x14ac:dyDescent="0.35">
      <c r="B63">
        <f>SUM(B58:B62)</f>
        <v>1600</v>
      </c>
    </row>
    <row r="64" spans="1:10" x14ac:dyDescent="0.35">
      <c r="B64">
        <f>B56-8500</f>
        <v>211250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3"/>
  <sheetViews>
    <sheetView workbookViewId="0">
      <selection activeCell="D33" sqref="D33:E33"/>
    </sheetView>
  </sheetViews>
  <sheetFormatPr defaultRowHeight="14.5" x14ac:dyDescent="0.35"/>
  <cols>
    <col min="1" max="2" width="15.453125" bestFit="1" customWidth="1"/>
  </cols>
  <sheetData>
    <row r="1" spans="1:5" ht="18.5" x14ac:dyDescent="0.35">
      <c r="A1" s="350">
        <v>2500</v>
      </c>
      <c r="B1" s="350">
        <v>2500</v>
      </c>
      <c r="D1">
        <v>2500</v>
      </c>
    </row>
    <row r="2" spans="1:5" ht="18.5" x14ac:dyDescent="0.35">
      <c r="A2" s="350" t="s">
        <v>1557</v>
      </c>
      <c r="B2" s="350">
        <v>3500</v>
      </c>
      <c r="E2">
        <v>3500</v>
      </c>
    </row>
    <row r="3" spans="1:5" ht="18.5" x14ac:dyDescent="0.35">
      <c r="A3" s="350" t="s">
        <v>1558</v>
      </c>
      <c r="B3" s="350">
        <v>4500</v>
      </c>
      <c r="C3">
        <v>4500</v>
      </c>
    </row>
    <row r="4" spans="1:5" ht="18.5" x14ac:dyDescent="0.35">
      <c r="A4" s="350" t="s">
        <v>1558</v>
      </c>
      <c r="B4" s="350">
        <v>4500</v>
      </c>
      <c r="C4">
        <v>4500</v>
      </c>
    </row>
    <row r="5" spans="1:5" ht="18.5" x14ac:dyDescent="0.35">
      <c r="A5" s="350">
        <v>350</v>
      </c>
      <c r="B5" s="350">
        <v>350</v>
      </c>
      <c r="D5">
        <v>350</v>
      </c>
    </row>
    <row r="6" spans="1:5" ht="18.5" x14ac:dyDescent="0.35">
      <c r="A6" s="350">
        <v>1000</v>
      </c>
      <c r="B6" s="350">
        <v>1000</v>
      </c>
      <c r="D6">
        <v>1000</v>
      </c>
    </row>
    <row r="7" spans="1:5" ht="18.5" x14ac:dyDescent="0.35">
      <c r="A7" s="350">
        <v>1000</v>
      </c>
      <c r="B7" s="350">
        <v>1000</v>
      </c>
      <c r="D7">
        <v>1000</v>
      </c>
    </row>
    <row r="8" spans="1:5" ht="18.5" x14ac:dyDescent="0.35">
      <c r="A8" s="350">
        <v>1000</v>
      </c>
      <c r="B8" s="350">
        <v>1000</v>
      </c>
      <c r="D8">
        <v>1000</v>
      </c>
    </row>
    <row r="9" spans="1:5" ht="18.5" x14ac:dyDescent="0.35">
      <c r="A9" s="350" t="s">
        <v>1557</v>
      </c>
      <c r="B9" s="350">
        <v>3500</v>
      </c>
      <c r="C9">
        <v>3500</v>
      </c>
    </row>
    <row r="10" spans="1:5" ht="18.5" x14ac:dyDescent="0.35">
      <c r="A10" s="350">
        <v>1000</v>
      </c>
      <c r="B10" s="350">
        <v>1000</v>
      </c>
      <c r="D10">
        <v>1350</v>
      </c>
    </row>
    <row r="11" spans="1:5" ht="18.5" x14ac:dyDescent="0.35">
      <c r="A11" s="350">
        <v>1000</v>
      </c>
      <c r="B11" s="350">
        <v>1000</v>
      </c>
      <c r="D11">
        <v>1350</v>
      </c>
    </row>
    <row r="12" spans="1:5" ht="18.5" x14ac:dyDescent="0.35">
      <c r="A12" s="350">
        <v>700</v>
      </c>
      <c r="B12" s="350">
        <v>700</v>
      </c>
    </row>
    <row r="13" spans="1:5" ht="18.5" x14ac:dyDescent="0.35">
      <c r="A13" s="350">
        <v>350</v>
      </c>
      <c r="B13" s="350">
        <v>350</v>
      </c>
      <c r="D13">
        <v>350</v>
      </c>
    </row>
    <row r="14" spans="1:5" ht="18.5" x14ac:dyDescent="0.35">
      <c r="A14" s="350">
        <v>4400</v>
      </c>
      <c r="B14" s="350">
        <v>4400</v>
      </c>
      <c r="C14">
        <v>4400</v>
      </c>
    </row>
    <row r="15" spans="1:5" ht="18.5" x14ac:dyDescent="0.35">
      <c r="A15" s="350" t="s">
        <v>1559</v>
      </c>
      <c r="B15" s="350">
        <v>4800</v>
      </c>
      <c r="D15">
        <v>4800</v>
      </c>
    </row>
    <row r="16" spans="1:5" ht="18.5" x14ac:dyDescent="0.35">
      <c r="A16" s="350">
        <v>3500</v>
      </c>
      <c r="B16" s="350">
        <v>3500</v>
      </c>
      <c r="D16">
        <v>3500</v>
      </c>
    </row>
    <row r="17" spans="1:12" ht="18.5" x14ac:dyDescent="0.35">
      <c r="A17" s="350" t="s">
        <v>1560</v>
      </c>
      <c r="B17" s="350">
        <v>2800</v>
      </c>
      <c r="D17">
        <v>2800</v>
      </c>
    </row>
    <row r="18" spans="1:12" ht="18.5" x14ac:dyDescent="0.35">
      <c r="A18" s="350" t="s">
        <v>1560</v>
      </c>
      <c r="B18" s="350">
        <v>2800</v>
      </c>
      <c r="D18">
        <v>2800</v>
      </c>
    </row>
    <row r="19" spans="1:12" ht="18.5" x14ac:dyDescent="0.35">
      <c r="A19" s="350">
        <v>2200</v>
      </c>
      <c r="B19" s="350">
        <v>2200</v>
      </c>
      <c r="D19">
        <v>2200</v>
      </c>
    </row>
    <row r="20" spans="1:12" ht="18.5" x14ac:dyDescent="0.35">
      <c r="A20" s="350" t="s">
        <v>1557</v>
      </c>
      <c r="B20" s="350">
        <v>3500</v>
      </c>
      <c r="D20">
        <v>3500</v>
      </c>
    </row>
    <row r="21" spans="1:12" ht="18.5" x14ac:dyDescent="0.35">
      <c r="A21" s="350">
        <v>3800</v>
      </c>
      <c r="B21" s="350">
        <v>3800</v>
      </c>
      <c r="C21">
        <v>3800</v>
      </c>
    </row>
    <row r="22" spans="1:12" ht="18.5" x14ac:dyDescent="0.35">
      <c r="A22" s="350">
        <v>5000</v>
      </c>
      <c r="B22" s="350">
        <v>5000</v>
      </c>
      <c r="E22">
        <v>5000</v>
      </c>
      <c r="L22">
        <f>40000+1630</f>
        <v>41630</v>
      </c>
    </row>
    <row r="23" spans="1:12" ht="18.5" x14ac:dyDescent="0.35">
      <c r="A23" s="350">
        <v>3500</v>
      </c>
      <c r="B23" s="350">
        <v>3500</v>
      </c>
      <c r="C23">
        <v>3500</v>
      </c>
    </row>
    <row r="24" spans="1:12" ht="18.5" x14ac:dyDescent="0.35">
      <c r="A24" s="350">
        <v>3500</v>
      </c>
      <c r="B24" s="350">
        <v>3500</v>
      </c>
      <c r="C24">
        <v>3500</v>
      </c>
    </row>
    <row r="25" spans="1:12" ht="18.5" x14ac:dyDescent="0.35">
      <c r="A25" s="350">
        <v>3500</v>
      </c>
      <c r="B25" s="350">
        <v>3500</v>
      </c>
      <c r="C25">
        <v>3500</v>
      </c>
    </row>
    <row r="26" spans="1:12" ht="18.5" x14ac:dyDescent="0.35">
      <c r="A26" s="350">
        <v>3500</v>
      </c>
      <c r="B26" s="350">
        <v>0</v>
      </c>
      <c r="E26">
        <v>345</v>
      </c>
    </row>
    <row r="27" spans="1:12" ht="18.5" x14ac:dyDescent="0.35">
      <c r="A27" s="350">
        <v>3500</v>
      </c>
      <c r="B27" s="350">
        <v>3500</v>
      </c>
      <c r="D27">
        <v>3500</v>
      </c>
    </row>
    <row r="28" spans="1:12" ht="18.5" x14ac:dyDescent="0.35">
      <c r="A28" s="350">
        <v>3500</v>
      </c>
      <c r="B28" s="350">
        <v>3500</v>
      </c>
      <c r="E28">
        <v>3500</v>
      </c>
      <c r="L28">
        <f>104497-41630</f>
        <v>62867</v>
      </c>
    </row>
    <row r="29" spans="1:12" ht="18.5" x14ac:dyDescent="0.35">
      <c r="A29" s="350">
        <v>2800</v>
      </c>
      <c r="B29" s="350">
        <v>2800</v>
      </c>
      <c r="C29">
        <v>2800</v>
      </c>
    </row>
    <row r="30" spans="1:12" ht="18.5" x14ac:dyDescent="0.35">
      <c r="A30" s="350">
        <v>3800</v>
      </c>
      <c r="B30" s="350">
        <v>3800</v>
      </c>
      <c r="D30">
        <v>3800</v>
      </c>
      <c r="E30">
        <v>0</v>
      </c>
    </row>
    <row r="31" spans="1:12" ht="18.5" x14ac:dyDescent="0.35">
      <c r="A31" s="350">
        <v>5000</v>
      </c>
      <c r="B31" s="350">
        <v>5000</v>
      </c>
      <c r="D31">
        <v>1200</v>
      </c>
      <c r="E31">
        <v>5000</v>
      </c>
    </row>
    <row r="32" spans="1:12" ht="18.5" x14ac:dyDescent="0.35">
      <c r="A32" s="350" t="s">
        <v>1561</v>
      </c>
      <c r="B32" s="350">
        <v>5000</v>
      </c>
      <c r="D32">
        <v>152</v>
      </c>
      <c r="E32">
        <v>5000</v>
      </c>
    </row>
    <row r="33" spans="2:8" x14ac:dyDescent="0.35">
      <c r="B33">
        <f>SUM(B1:B32)</f>
        <v>91800</v>
      </c>
      <c r="C33">
        <f>SUM(C1:C32)</f>
        <v>34000</v>
      </c>
      <c r="D33">
        <f>SUM(D1:D32)</f>
        <v>37152</v>
      </c>
      <c r="E33">
        <f>SUM(E1:E32)</f>
        <v>22345</v>
      </c>
      <c r="G33">
        <f>D33+E33</f>
        <v>59497</v>
      </c>
      <c r="H33">
        <f>C33+D33+E33</f>
        <v>93497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3"/>
  <sheetViews>
    <sheetView workbookViewId="0">
      <selection activeCell="D23" sqref="D23"/>
    </sheetView>
  </sheetViews>
  <sheetFormatPr defaultRowHeight="14.5" x14ac:dyDescent="0.35"/>
  <cols>
    <col min="1" max="1" width="16.1796875" bestFit="1" customWidth="1"/>
    <col min="2" max="2" width="29" customWidth="1"/>
    <col min="3" max="3" width="24.1796875" customWidth="1"/>
    <col min="4" max="4" width="16.453125" customWidth="1"/>
    <col min="5" max="5" width="19.1796875" customWidth="1"/>
  </cols>
  <sheetData>
    <row r="1" spans="1:5" s="360" customFormat="1" ht="29.5" x14ac:dyDescent="0.55000000000000004">
      <c r="A1" s="360" t="s">
        <v>211</v>
      </c>
    </row>
    <row r="2" spans="1:5" ht="21" x14ac:dyDescent="0.35">
      <c r="A2" s="250" t="s">
        <v>209</v>
      </c>
      <c r="B2" s="250" t="s">
        <v>208</v>
      </c>
      <c r="C2" s="250" t="s">
        <v>212</v>
      </c>
      <c r="D2" s="250" t="s">
        <v>213</v>
      </c>
      <c r="E2" s="250" t="s">
        <v>214</v>
      </c>
    </row>
    <row r="3" spans="1:5" ht="18.5" x14ac:dyDescent="0.45">
      <c r="A3" s="1">
        <v>46060</v>
      </c>
      <c r="B3" t="s">
        <v>221</v>
      </c>
      <c r="C3" s="14"/>
      <c r="D3" s="1">
        <v>46088</v>
      </c>
      <c r="E3">
        <v>8210573106</v>
      </c>
    </row>
    <row r="4" spans="1:5" x14ac:dyDescent="0.35">
      <c r="A4" s="1">
        <v>46065</v>
      </c>
      <c r="B4" t="s">
        <v>210</v>
      </c>
      <c r="C4" t="s">
        <v>217</v>
      </c>
      <c r="D4" s="1">
        <v>46124</v>
      </c>
      <c r="E4">
        <v>8544259646</v>
      </c>
    </row>
    <row r="5" spans="1:5" x14ac:dyDescent="0.35">
      <c r="A5" s="1">
        <v>46063</v>
      </c>
      <c r="B5" t="s">
        <v>215</v>
      </c>
      <c r="C5" t="s">
        <v>216</v>
      </c>
      <c r="D5" s="1">
        <v>46152</v>
      </c>
      <c r="E5">
        <v>9431430316</v>
      </c>
    </row>
    <row r="6" spans="1:5" x14ac:dyDescent="0.35">
      <c r="A6" s="1">
        <v>46057</v>
      </c>
      <c r="B6" t="s">
        <v>218</v>
      </c>
      <c r="D6" s="1">
        <v>46085</v>
      </c>
      <c r="E6">
        <v>9456011198</v>
      </c>
    </row>
    <row r="7" spans="1:5" x14ac:dyDescent="0.35">
      <c r="A7" s="1">
        <v>46063</v>
      </c>
      <c r="B7" t="s">
        <v>219</v>
      </c>
      <c r="D7" s="1">
        <v>46091</v>
      </c>
      <c r="E7">
        <v>9334384785</v>
      </c>
    </row>
    <row r="8" spans="1:5" x14ac:dyDescent="0.35">
      <c r="A8" s="1">
        <v>46057</v>
      </c>
      <c r="B8" t="s">
        <v>220</v>
      </c>
      <c r="D8" s="1">
        <v>46085</v>
      </c>
      <c r="E8">
        <v>7549727560</v>
      </c>
    </row>
    <row r="9" spans="1:5" x14ac:dyDescent="0.35">
      <c r="A9" s="1">
        <v>46064</v>
      </c>
      <c r="B9" t="s">
        <v>85</v>
      </c>
      <c r="C9" t="s">
        <v>216</v>
      </c>
      <c r="D9" s="1">
        <v>46153</v>
      </c>
      <c r="E9">
        <v>7782925800</v>
      </c>
    </row>
    <row r="10" spans="1:5" s="250" customFormat="1" ht="21" x14ac:dyDescent="0.35">
      <c r="A10" s="1">
        <v>46074</v>
      </c>
      <c r="B10" t="s">
        <v>73</v>
      </c>
      <c r="C10"/>
      <c r="D10" s="1">
        <v>46102</v>
      </c>
      <c r="E10">
        <v>9939082903</v>
      </c>
    </row>
    <row r="11" spans="1:5" s="14" customFormat="1" ht="14.25" customHeight="1" x14ac:dyDescent="0.45">
      <c r="A11" s="1"/>
      <c r="B11"/>
      <c r="D11" s="1"/>
      <c r="E11"/>
    </row>
    <row r="12" spans="1:5" s="14" customFormat="1" ht="15" customHeight="1" x14ac:dyDescent="0.45">
      <c r="A12" s="1"/>
      <c r="B12"/>
      <c r="C12"/>
      <c r="D12" s="1"/>
      <c r="E12"/>
    </row>
    <row r="13" spans="1:5" x14ac:dyDescent="0.35">
      <c r="A13" s="1"/>
      <c r="D13" s="1"/>
    </row>
    <row r="14" spans="1:5" x14ac:dyDescent="0.35">
      <c r="A14" s="1"/>
      <c r="D14" s="1"/>
    </row>
    <row r="15" spans="1:5" x14ac:dyDescent="0.35">
      <c r="A15" s="1"/>
      <c r="D15" s="1"/>
    </row>
    <row r="16" spans="1:5" x14ac:dyDescent="0.35">
      <c r="A16" s="1"/>
      <c r="D16" s="1"/>
    </row>
    <row r="17" spans="1:4" x14ac:dyDescent="0.35">
      <c r="A17" s="1"/>
      <c r="D17" s="1"/>
    </row>
    <row r="18" spans="1:4" x14ac:dyDescent="0.35">
      <c r="A18" s="1"/>
      <c r="D18" s="1"/>
    </row>
    <row r="20" spans="1:4" x14ac:dyDescent="0.35">
      <c r="A20" s="1"/>
    </row>
    <row r="23" spans="1:4" x14ac:dyDescent="0.35">
      <c r="D23" t="s">
        <v>224</v>
      </c>
    </row>
  </sheetData>
  <mergeCells count="1">
    <mergeCell ref="A1:XFD1"/>
  </mergeCells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E43" sqref="E43"/>
    </sheetView>
  </sheetViews>
  <sheetFormatPr defaultRowHeight="14.5" x14ac:dyDescent="0.35"/>
  <cols>
    <col min="5" max="5" width="18.54296875" bestFit="1" customWidth="1"/>
    <col min="7" max="7" width="16.1796875" bestFit="1" customWidth="1"/>
  </cols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554"/>
  <sheetViews>
    <sheetView zoomScale="90" zoomScaleNormal="90" workbookViewId="0">
      <pane ySplit="8" topLeftCell="A9" activePane="bottomLeft" state="frozen"/>
      <selection pane="bottomLeft" activeCell="E15" sqref="E15"/>
    </sheetView>
  </sheetViews>
  <sheetFormatPr defaultRowHeight="14.5" x14ac:dyDescent="0.35"/>
  <cols>
    <col min="1" max="1" width="17.453125" bestFit="1" customWidth="1"/>
    <col min="2" max="2" width="20.453125" customWidth="1"/>
    <col min="3" max="3" width="0.1796875" customWidth="1"/>
    <col min="4" max="4" width="10.7265625" bestFit="1" customWidth="1"/>
    <col min="5" max="5" width="14.54296875" bestFit="1" customWidth="1"/>
    <col min="6" max="6" width="17" bestFit="1" customWidth="1"/>
    <col min="7" max="7" width="21.81640625" bestFit="1" customWidth="1"/>
    <col min="8" max="8" width="16.26953125" bestFit="1" customWidth="1"/>
    <col min="9" max="9" width="18.81640625" bestFit="1" customWidth="1"/>
    <col min="10" max="10" width="14.81640625" bestFit="1" customWidth="1"/>
    <col min="11" max="11" width="14.81640625" customWidth="1"/>
    <col min="12" max="12" width="22.1796875" customWidth="1"/>
    <col min="14" max="14" width="18.453125" bestFit="1" customWidth="1"/>
    <col min="15" max="15" width="23.7265625" bestFit="1" customWidth="1"/>
    <col min="16" max="16" width="18.54296875" bestFit="1" customWidth="1"/>
    <col min="17" max="17" width="19.1796875" customWidth="1"/>
    <col min="18" max="18" width="40" customWidth="1"/>
    <col min="19" max="19" width="7.81640625" customWidth="1"/>
  </cols>
  <sheetData>
    <row r="1" spans="1:22" ht="15" thickBot="1" x14ac:dyDescent="0.4">
      <c r="A1" s="3"/>
      <c r="B1" s="3"/>
      <c r="C1" s="3"/>
      <c r="D1" s="3"/>
      <c r="E1" s="3"/>
      <c r="F1" s="3"/>
      <c r="G1" s="67"/>
      <c r="H1" s="67"/>
      <c r="I1" s="67"/>
      <c r="J1" s="67"/>
      <c r="K1" s="67"/>
      <c r="L1" s="67"/>
      <c r="M1" s="3"/>
      <c r="N1" s="3"/>
      <c r="O1" s="3"/>
      <c r="P1" s="3"/>
      <c r="Q1" s="3"/>
    </row>
    <row r="2" spans="1:22" ht="23.5" x14ac:dyDescent="0.55000000000000004">
      <c r="A2" s="3"/>
      <c r="B2" s="361" t="s">
        <v>17</v>
      </c>
      <c r="C2" s="361"/>
      <c r="D2" s="5"/>
      <c r="E2" s="5"/>
      <c r="F2" s="102"/>
      <c r="G2" s="362" t="s">
        <v>60</v>
      </c>
      <c r="H2" s="363"/>
      <c r="I2" s="363"/>
      <c r="J2" s="363"/>
      <c r="K2" s="363"/>
      <c r="L2" s="364"/>
      <c r="M2" s="104"/>
      <c r="N2" s="3"/>
      <c r="O2" s="3"/>
      <c r="P2" s="3"/>
      <c r="Q2" s="3"/>
    </row>
    <row r="3" spans="1:22" ht="2.25" customHeight="1" x14ac:dyDescent="0.35">
      <c r="A3" s="3"/>
      <c r="B3" s="3"/>
      <c r="C3" s="3"/>
      <c r="D3" s="3"/>
      <c r="E3" s="3"/>
      <c r="F3" s="103"/>
      <c r="G3" s="365"/>
      <c r="H3" s="366"/>
      <c r="I3" s="366"/>
      <c r="J3" s="366"/>
      <c r="K3" s="366"/>
      <c r="L3" s="367"/>
      <c r="M3" s="104"/>
      <c r="N3" s="3">
        <f>35-22</f>
        <v>13</v>
      </c>
      <c r="O3" s="3"/>
      <c r="P3" s="3"/>
      <c r="Q3" s="3"/>
    </row>
    <row r="4" spans="1:22" ht="15" hidden="1" thickBot="1" x14ac:dyDescent="0.4">
      <c r="A4" s="3"/>
      <c r="B4" s="3"/>
      <c r="C4" s="3"/>
      <c r="D4" s="3"/>
      <c r="E4" s="3"/>
      <c r="F4" s="103"/>
      <c r="G4" s="368"/>
      <c r="H4" s="369"/>
      <c r="I4" s="369"/>
      <c r="J4" s="369"/>
      <c r="K4" s="369"/>
      <c r="L4" s="370"/>
      <c r="M4" s="104"/>
      <c r="N4" s="3"/>
      <c r="O4" s="3"/>
      <c r="P4" s="3"/>
      <c r="Q4" s="3"/>
    </row>
    <row r="5" spans="1:22" hidden="1" x14ac:dyDescent="0.35">
      <c r="A5" s="3"/>
      <c r="B5" s="3"/>
      <c r="C5" s="3"/>
      <c r="D5" s="3"/>
      <c r="E5" s="3"/>
      <c r="F5" s="3"/>
      <c r="G5" s="105"/>
      <c r="H5" s="105"/>
      <c r="I5" s="105"/>
      <c r="J5" s="105"/>
      <c r="K5" s="105"/>
      <c r="L5" s="105"/>
      <c r="M5" s="3"/>
      <c r="N5" s="3"/>
      <c r="O5" s="3"/>
      <c r="P5" s="3"/>
      <c r="Q5" s="3"/>
    </row>
    <row r="6" spans="1:22" hidden="1" x14ac:dyDescent="0.35">
      <c r="A6" s="67"/>
      <c r="B6" s="67"/>
      <c r="C6" s="67"/>
      <c r="D6" s="3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</row>
    <row r="7" spans="1:22" ht="21" x14ac:dyDescent="0.35">
      <c r="A7" s="371" t="s">
        <v>10</v>
      </c>
      <c r="B7" s="371"/>
      <c r="C7" s="371"/>
      <c r="D7" s="372"/>
      <c r="E7" s="371"/>
      <c r="F7" s="358" t="s">
        <v>14</v>
      </c>
      <c r="G7" s="358"/>
      <c r="H7" s="358"/>
      <c r="I7" s="358"/>
      <c r="J7" s="358"/>
      <c r="K7" s="358"/>
      <c r="L7" s="371" t="s">
        <v>9</v>
      </c>
      <c r="M7" s="371"/>
      <c r="N7" s="68"/>
      <c r="O7" s="68"/>
      <c r="P7" s="68"/>
      <c r="Q7" s="68"/>
    </row>
    <row r="8" spans="1:22" ht="29.25" customHeight="1" x14ac:dyDescent="0.35">
      <c r="A8" s="69" t="s">
        <v>11</v>
      </c>
      <c r="B8" s="69" t="s">
        <v>12</v>
      </c>
      <c r="C8" s="69" t="s">
        <v>13</v>
      </c>
      <c r="D8" s="2" t="s">
        <v>7</v>
      </c>
      <c r="E8" s="69" t="s">
        <v>8</v>
      </c>
      <c r="F8" s="70" t="s">
        <v>15</v>
      </c>
      <c r="G8" s="70" t="s">
        <v>25</v>
      </c>
      <c r="H8" s="70" t="s">
        <v>26</v>
      </c>
      <c r="I8" s="70" t="s">
        <v>27</v>
      </c>
      <c r="J8" s="70" t="s">
        <v>0</v>
      </c>
      <c r="K8" s="70" t="s">
        <v>1</v>
      </c>
      <c r="L8" s="71" t="s">
        <v>2</v>
      </c>
      <c r="M8" s="71" t="s">
        <v>3</v>
      </c>
      <c r="N8" s="69" t="s">
        <v>4</v>
      </c>
      <c r="O8" s="69" t="s">
        <v>5</v>
      </c>
      <c r="P8" s="69" t="s">
        <v>29</v>
      </c>
      <c r="Q8" s="69" t="s">
        <v>6</v>
      </c>
    </row>
    <row r="9" spans="1:22" x14ac:dyDescent="0.35">
      <c r="A9" s="72"/>
      <c r="B9" s="72"/>
      <c r="C9" s="72"/>
      <c r="D9" s="8"/>
      <c r="E9" s="72"/>
      <c r="F9" s="72"/>
      <c r="G9" s="73"/>
      <c r="H9" s="73"/>
      <c r="I9" s="73"/>
      <c r="J9" s="74"/>
      <c r="K9" s="74"/>
      <c r="L9" s="72"/>
      <c r="M9" s="72"/>
      <c r="N9" s="74" t="str">
        <f>IF($K9&lt;&gt;0,DATE(YEAR($K9),MONTH($K9)-$M9,DAY($K9)-$L9),"")</f>
        <v/>
      </c>
      <c r="O9" s="72" t="str">
        <f ca="1">IF(DAYS360(NOW(), $K9) &gt;= 0, DAYS360(NOW(), $K9), "")</f>
        <v/>
      </c>
      <c r="P9" s="72"/>
    </row>
    <row r="10" spans="1:22" s="11" customFormat="1" x14ac:dyDescent="0.35">
      <c r="A10" s="58" t="s">
        <v>81</v>
      </c>
      <c r="B10" s="58" t="s">
        <v>54</v>
      </c>
      <c r="C10" s="58"/>
      <c r="D10" s="7"/>
      <c r="E10" s="58"/>
      <c r="F10" s="58" t="str">
        <f>'Membership Level'!A3</f>
        <v>Cricket Month</v>
      </c>
      <c r="G10" s="63">
        <v>2000</v>
      </c>
      <c r="H10" s="63">
        <v>2000</v>
      </c>
      <c r="I10" s="61"/>
      <c r="J10" s="59">
        <v>45690</v>
      </c>
      <c r="K10" s="59">
        <f>DATE(YEAR(J10),MONTH(J10)+VLOOKUP($F10,'Membership Level'!$A$3:$B$10,2,FALSE),DAY(J10))</f>
        <v>45718</v>
      </c>
      <c r="L10" s="58">
        <v>3</v>
      </c>
      <c r="M10" s="190">
        <v>0</v>
      </c>
      <c r="N10" s="60">
        <f t="shared" ref="N10:N73" si="0">IF($K10&lt;&gt;0,DATE(YEAR($K10),MONTH($K10)-$M10,DAY($K10)-$L10),"")</f>
        <v>45715</v>
      </c>
      <c r="O10" s="58" t="str">
        <f t="shared" ref="O10:O73" ca="1" si="1">IF(DAYS360(NOW(), $K10) &gt;= 0, DAYS360(NOW(), $K10), "")</f>
        <v/>
      </c>
      <c r="P10" s="60">
        <f>H10/G10*VLOOKUP(F10,'Membership Level'!$A$3:$C$10,3,FALSE)+J10</f>
        <v>45720</v>
      </c>
      <c r="Q10" s="11" t="s">
        <v>45</v>
      </c>
      <c r="R10" s="191">
        <v>44428</v>
      </c>
      <c r="T10" s="11">
        <f>5300/3</f>
        <v>1766.6666666666667</v>
      </c>
      <c r="U10" s="11" t="s">
        <v>46</v>
      </c>
    </row>
    <row r="11" spans="1:22" x14ac:dyDescent="0.35">
      <c r="A11" s="7" t="s">
        <v>30</v>
      </c>
      <c r="B11" s="7" t="s">
        <v>42</v>
      </c>
      <c r="C11" s="7"/>
      <c r="D11" s="7"/>
      <c r="E11" s="80"/>
      <c r="F11" s="7" t="str">
        <f>'Membership Level'!A3</f>
        <v>Cricket Month</v>
      </c>
      <c r="G11" s="75">
        <v>2000</v>
      </c>
      <c r="H11" s="184">
        <v>2000</v>
      </c>
      <c r="I11" s="185"/>
      <c r="J11" s="9">
        <v>45732</v>
      </c>
      <c r="K11" s="9">
        <f>DATE(YEAR(J11),MONTH(J11)+VLOOKUP($F11,'Membership Level'!$A$3:$B$10,2,FALSE),DAY(J11))</f>
        <v>45763</v>
      </c>
      <c r="L11" s="7">
        <v>3</v>
      </c>
      <c r="M11" s="192">
        <v>0</v>
      </c>
      <c r="N11" s="193">
        <f t="shared" si="0"/>
        <v>45760</v>
      </c>
      <c r="O11" s="7" t="str">
        <f t="shared" ca="1" si="1"/>
        <v/>
      </c>
      <c r="P11" s="193">
        <f>H11/G11*VLOOKUP(F11,'Membership Level'!$A$3:$C$10,3,FALSE)+J11</f>
        <v>45762</v>
      </c>
      <c r="Q11" s="194">
        <v>44754</v>
      </c>
      <c r="T11">
        <v>4250</v>
      </c>
    </row>
    <row r="12" spans="1:22" x14ac:dyDescent="0.35">
      <c r="A12" s="7" t="s">
        <v>40</v>
      </c>
      <c r="B12" s="7" t="s">
        <v>74</v>
      </c>
      <c r="C12" s="7"/>
      <c r="D12" s="7"/>
      <c r="E12" s="9"/>
      <c r="F12" s="7" t="str">
        <f>'Membership Level'!A3</f>
        <v>Cricket Month</v>
      </c>
      <c r="G12" s="75">
        <v>2000</v>
      </c>
      <c r="H12" s="184">
        <v>2000</v>
      </c>
      <c r="I12" s="185"/>
      <c r="J12" s="9">
        <v>45706</v>
      </c>
      <c r="K12" s="9">
        <f>DATE(YEAR(J12),MONTH(J12)+VLOOKUP($F12,'Membership Level'!$A$3:$B$10,2,FALSE),DAY(J12))</f>
        <v>45734</v>
      </c>
      <c r="L12" s="7">
        <v>3</v>
      </c>
      <c r="M12" s="192">
        <v>0</v>
      </c>
      <c r="N12" s="193">
        <f t="shared" si="0"/>
        <v>45731</v>
      </c>
      <c r="O12" s="7" t="str">
        <f t="shared" ca="1" si="1"/>
        <v/>
      </c>
      <c r="P12" s="193">
        <f>H12/G12*VLOOKUP(F12,'Membership Level'!$A$3:$C$10,3,FALSE)+J12</f>
        <v>45736</v>
      </c>
      <c r="Q12" t="s">
        <v>45</v>
      </c>
      <c r="T12">
        <v>2500</v>
      </c>
    </row>
    <row r="13" spans="1:22" x14ac:dyDescent="0.35">
      <c r="A13" s="7" t="s">
        <v>30</v>
      </c>
      <c r="B13" s="7" t="s">
        <v>75</v>
      </c>
      <c r="C13" s="7"/>
      <c r="D13" s="7"/>
      <c r="E13" s="7"/>
      <c r="F13" s="7" t="str">
        <f>'Membership Level'!A3</f>
        <v>Cricket Month</v>
      </c>
      <c r="G13" s="75">
        <v>2000</v>
      </c>
      <c r="H13" s="184">
        <v>1000</v>
      </c>
      <c r="I13" s="185"/>
      <c r="J13" s="9">
        <v>45675</v>
      </c>
      <c r="K13" s="9">
        <f>DATE(YEAR(J13),MONTH(J13)+VLOOKUP($F13,'Membership Level'!$A$3:$B$10,2,FALSE),DAY(J13))</f>
        <v>45706</v>
      </c>
      <c r="L13" s="7">
        <v>3</v>
      </c>
      <c r="M13" s="192">
        <v>0</v>
      </c>
      <c r="N13" s="193">
        <f t="shared" si="0"/>
        <v>45703</v>
      </c>
      <c r="O13" s="7" t="str">
        <f t="shared" ca="1" si="1"/>
        <v/>
      </c>
      <c r="P13" s="193">
        <f>H13/G13*VLOOKUP(F13,'Membership Level'!$A$3:$C$10,3,FALSE)+J13</f>
        <v>45690</v>
      </c>
      <c r="T13">
        <v>2000</v>
      </c>
      <c r="V13">
        <f>3400+850</f>
        <v>4250</v>
      </c>
    </row>
    <row r="14" spans="1:22" s="6" customFormat="1" x14ac:dyDescent="0.35">
      <c r="A14" s="62"/>
      <c r="B14" s="62"/>
      <c r="C14" s="62"/>
      <c r="D14" s="62"/>
      <c r="E14" s="62"/>
      <c r="F14" s="62"/>
      <c r="G14" s="92"/>
      <c r="H14" s="186"/>
      <c r="I14" s="185"/>
      <c r="J14" s="65"/>
      <c r="K14" s="65" t="e">
        <f>DATE(YEAR(J14),MONTH(J14)+VLOOKUP($F14,'Membership Level'!$A$3:$B$10,2,FALSE),DAY(J14))</f>
        <v>#N/A</v>
      </c>
      <c r="L14" s="62">
        <v>3</v>
      </c>
      <c r="M14" s="195">
        <v>0</v>
      </c>
      <c r="N14" s="66" t="e">
        <f t="shared" si="0"/>
        <v>#N/A</v>
      </c>
      <c r="O14" s="62" t="e">
        <f t="shared" ca="1" si="1"/>
        <v>#N/A</v>
      </c>
      <c r="P14" s="66" t="e">
        <f>H14/G14*VLOOKUP(F14,'Membership Level'!$A$3:$C$10,3,FALSE)+J14</f>
        <v>#DIV/0!</v>
      </c>
      <c r="R14" s="6" t="s">
        <v>44</v>
      </c>
      <c r="T14" s="6">
        <v>3750</v>
      </c>
    </row>
    <row r="15" spans="1:22" s="6" customFormat="1" x14ac:dyDescent="0.35">
      <c r="A15" s="62"/>
      <c r="B15" s="62"/>
      <c r="C15" s="62"/>
      <c r="D15" s="62"/>
      <c r="E15" s="62"/>
      <c r="F15" s="62"/>
      <c r="G15" s="92"/>
      <c r="H15" s="186"/>
      <c r="I15" s="185"/>
      <c r="J15" s="65"/>
      <c r="K15" s="65" t="e">
        <f>DATE(YEAR(J15),MONTH(J15)+VLOOKUP($F15,'Membership Level'!$A$3:$B$10,2,FALSE),DAY(J15))</f>
        <v>#N/A</v>
      </c>
      <c r="L15" s="62">
        <v>3</v>
      </c>
      <c r="M15" s="195">
        <v>0</v>
      </c>
      <c r="N15" s="66" t="e">
        <f t="shared" si="0"/>
        <v>#N/A</v>
      </c>
      <c r="O15" s="62" t="e">
        <f t="shared" ca="1" si="1"/>
        <v>#N/A</v>
      </c>
      <c r="P15" s="66" t="e">
        <f>H15/G15*VLOOKUP(F15,'Membership Level'!$A$3:$C$10,3,FALSE)+J15</f>
        <v>#DIV/0!</v>
      </c>
    </row>
    <row r="16" spans="1:22" x14ac:dyDescent="0.35">
      <c r="A16" s="7"/>
      <c r="B16" s="7"/>
      <c r="C16" s="7"/>
      <c r="D16" s="7"/>
      <c r="E16" s="7"/>
      <c r="F16" s="7"/>
      <c r="G16" s="75"/>
      <c r="H16" s="184"/>
      <c r="I16" s="185"/>
      <c r="J16" s="9"/>
      <c r="K16" s="9" t="e">
        <f>DATE(YEAR(J16),MONTH(J16)+VLOOKUP($F16,'Membership Level'!$A$3:$B$10,2,FALSE),DAY(J16))</f>
        <v>#N/A</v>
      </c>
      <c r="L16" s="7">
        <v>3</v>
      </c>
      <c r="M16" s="192">
        <v>0</v>
      </c>
      <c r="N16" s="193" t="e">
        <f t="shared" si="0"/>
        <v>#N/A</v>
      </c>
      <c r="O16" s="7" t="e">
        <f t="shared" ca="1" si="1"/>
        <v>#N/A</v>
      </c>
      <c r="P16" s="193" t="e">
        <f>H16/G16*VLOOKUP(F16,'Membership Level'!$A$3:$C$10,3,FALSE)+J16</f>
        <v>#DIV/0!</v>
      </c>
      <c r="Q16" t="s">
        <v>45</v>
      </c>
    </row>
    <row r="17" spans="1:20" s="6" customFormat="1" x14ac:dyDescent="0.35">
      <c r="A17" s="62"/>
      <c r="B17" s="62"/>
      <c r="C17" s="62"/>
      <c r="D17" s="62"/>
      <c r="E17" s="62"/>
      <c r="F17" s="62"/>
      <c r="G17" s="92"/>
      <c r="H17" s="186"/>
      <c r="I17" s="64"/>
      <c r="J17" s="65"/>
      <c r="K17" s="65" t="e">
        <f>DATE(YEAR(J17),MONTH(J17)+VLOOKUP($F17,'Membership Level'!$A$3:$B$10,2,FALSE),DAY(J17))</f>
        <v>#N/A</v>
      </c>
      <c r="L17" s="62">
        <v>3</v>
      </c>
      <c r="M17" s="195">
        <v>0</v>
      </c>
      <c r="N17" s="66" t="e">
        <f t="shared" si="0"/>
        <v>#N/A</v>
      </c>
      <c r="O17" s="62" t="e">
        <f t="shared" ca="1" si="1"/>
        <v>#N/A</v>
      </c>
      <c r="P17" s="66" t="e">
        <f>H17/G17*VLOOKUP(F17,'Membership Level'!$A$3:$C$10,3,FALSE)+J17</f>
        <v>#DIV/0!</v>
      </c>
      <c r="Q17" s="6" t="s">
        <v>45</v>
      </c>
    </row>
    <row r="18" spans="1:20" x14ac:dyDescent="0.35">
      <c r="A18" s="7"/>
      <c r="B18" s="7"/>
      <c r="C18" s="7"/>
      <c r="D18" s="7"/>
      <c r="E18" s="7"/>
      <c r="F18" s="7"/>
      <c r="G18" s="75"/>
      <c r="H18" s="196"/>
      <c r="I18" s="185"/>
      <c r="J18" s="9"/>
      <c r="K18" s="9" t="e">
        <f>DATE(YEAR(J18),MONTH(J18)+VLOOKUP($F18,'Membership Level'!$A$3:$B$10,2,FALSE),DAY(J18))</f>
        <v>#N/A</v>
      </c>
      <c r="L18" s="7">
        <v>3</v>
      </c>
      <c r="M18" s="192">
        <v>0</v>
      </c>
      <c r="N18" s="193" t="e">
        <f t="shared" si="0"/>
        <v>#N/A</v>
      </c>
      <c r="O18" s="7" t="e">
        <f t="shared" ca="1" si="1"/>
        <v>#N/A</v>
      </c>
      <c r="P18" s="193" t="e">
        <f>H18/G18*VLOOKUP(F18,'Membership Level'!$A$3:$C$10,3,FALSE)+J18</f>
        <v>#DIV/0!</v>
      </c>
      <c r="Q18" t="s">
        <v>45</v>
      </c>
      <c r="T18">
        <v>2500</v>
      </c>
    </row>
    <row r="19" spans="1:20" s="6" customFormat="1" x14ac:dyDescent="0.35">
      <c r="A19" s="62"/>
      <c r="B19" s="62"/>
      <c r="C19" s="62"/>
      <c r="D19" s="62"/>
      <c r="E19" s="62"/>
      <c r="F19" s="62"/>
      <c r="G19" s="92"/>
      <c r="H19" s="186"/>
      <c r="I19" s="185"/>
      <c r="J19" s="65"/>
      <c r="K19" s="65" t="e">
        <f>DATE(YEAR(J19),MONTH(J19)+VLOOKUP($F19,'Membership Level'!$A$3:$B$10,2,FALSE),DAY(J19))</f>
        <v>#N/A</v>
      </c>
      <c r="L19" s="62">
        <v>3</v>
      </c>
      <c r="M19" s="195">
        <v>0</v>
      </c>
      <c r="N19" s="66" t="e">
        <f t="shared" si="0"/>
        <v>#N/A</v>
      </c>
      <c r="O19" s="62" t="e">
        <f t="shared" ca="1" si="1"/>
        <v>#N/A</v>
      </c>
      <c r="P19" s="66" t="e">
        <f>H19/G19*VLOOKUP(F19,'Membership Level'!$A$3:$C$10,3,FALSE)+J19</f>
        <v>#DIV/0!</v>
      </c>
      <c r="Q19" s="6" t="s">
        <v>34</v>
      </c>
    </row>
    <row r="20" spans="1:20" s="6" customFormat="1" x14ac:dyDescent="0.35">
      <c r="A20" s="62"/>
      <c r="B20" s="62"/>
      <c r="C20" s="62"/>
      <c r="D20" s="62"/>
      <c r="E20" s="62"/>
      <c r="F20" s="62"/>
      <c r="G20" s="92"/>
      <c r="H20" s="186"/>
      <c r="I20" s="185"/>
      <c r="J20" s="65"/>
      <c r="K20" s="65" t="e">
        <f>DATE(YEAR(J20),MONTH(J20)+VLOOKUP($F20,'Membership Level'!$A$3:$B$10,2,FALSE),DAY(J20))</f>
        <v>#N/A</v>
      </c>
      <c r="L20" s="62">
        <v>3</v>
      </c>
      <c r="M20" s="195">
        <v>0</v>
      </c>
      <c r="N20" s="66" t="e">
        <f t="shared" si="0"/>
        <v>#N/A</v>
      </c>
      <c r="O20" s="62" t="e">
        <f t="shared" ca="1" si="1"/>
        <v>#N/A</v>
      </c>
      <c r="P20" s="66" t="e">
        <f>H20/G20*VLOOKUP(F20,'Membership Level'!$A$3:$C$10,3,FALSE)+J20</f>
        <v>#DIV/0!</v>
      </c>
    </row>
    <row r="21" spans="1:20" s="6" customFormat="1" x14ac:dyDescent="0.35">
      <c r="A21" s="62"/>
      <c r="B21" s="62"/>
      <c r="C21" s="62"/>
      <c r="D21" s="62"/>
      <c r="E21" s="94"/>
      <c r="F21" s="62"/>
      <c r="G21" s="92"/>
      <c r="H21" s="186"/>
      <c r="I21" s="64"/>
      <c r="J21" s="65"/>
      <c r="K21" s="65" t="e">
        <f>DATE(YEAR(J21),MONTH(J21)+VLOOKUP($F21,'Membership Level'!$A$3:$B$10,2,FALSE),DAY(J21))</f>
        <v>#N/A</v>
      </c>
      <c r="L21" s="62">
        <v>3</v>
      </c>
      <c r="M21" s="195">
        <v>0</v>
      </c>
      <c r="N21" s="66" t="e">
        <f t="shared" si="0"/>
        <v>#N/A</v>
      </c>
      <c r="O21" s="62" t="e">
        <f t="shared" ca="1" si="1"/>
        <v>#N/A</v>
      </c>
      <c r="P21" s="66" t="e">
        <f>H21/G21*VLOOKUP(F21,'Membership Level'!$A$3:$C$10,3,FALSE)+J21</f>
        <v>#DIV/0!</v>
      </c>
      <c r="Q21" s="6" t="s">
        <v>70</v>
      </c>
      <c r="T21" s="6">
        <v>4500</v>
      </c>
    </row>
    <row r="22" spans="1:20" x14ac:dyDescent="0.35">
      <c r="A22" s="7"/>
      <c r="B22" s="7"/>
      <c r="C22" s="7"/>
      <c r="D22" s="7"/>
      <c r="E22" s="7"/>
      <c r="F22" s="7"/>
      <c r="G22" s="75"/>
      <c r="H22" s="184"/>
      <c r="I22" s="185"/>
      <c r="J22" s="9"/>
      <c r="K22" s="9" t="e">
        <f>DATE(YEAR(J22),MONTH(J22)+VLOOKUP($F22,'Membership Level'!$A$3:$B$10,2,FALSE),DAY(J22))</f>
        <v>#N/A</v>
      </c>
      <c r="L22" s="7">
        <v>3</v>
      </c>
      <c r="M22" s="192">
        <v>0</v>
      </c>
      <c r="N22" s="193" t="e">
        <f t="shared" si="0"/>
        <v>#N/A</v>
      </c>
      <c r="O22" s="7" t="e">
        <f t="shared" ca="1" si="1"/>
        <v>#N/A</v>
      </c>
      <c r="P22" s="193" t="e">
        <f>H22/G22*VLOOKUP(F22,'Membership Level'!$A$3:$C$10,3,FALSE)+J22</f>
        <v>#DIV/0!</v>
      </c>
      <c r="Q22" t="s">
        <v>45</v>
      </c>
      <c r="R22" s="194">
        <v>44423</v>
      </c>
      <c r="T22">
        <v>2500</v>
      </c>
    </row>
    <row r="23" spans="1:20" s="11" customFormat="1" x14ac:dyDescent="0.35">
      <c r="A23" s="58"/>
      <c r="B23" s="58"/>
      <c r="C23" s="58"/>
      <c r="D23" s="62"/>
      <c r="E23" s="58"/>
      <c r="F23" s="58"/>
      <c r="G23" s="78"/>
      <c r="H23" s="63"/>
      <c r="I23" s="185"/>
      <c r="J23" s="59"/>
      <c r="K23" s="59" t="e">
        <f>DATE(YEAR(J23),MONTH(J23)+VLOOKUP($F23,'Membership Level'!$A$3:$B$10,2,FALSE),DAY(J23))</f>
        <v>#N/A</v>
      </c>
      <c r="L23" s="58">
        <v>3</v>
      </c>
      <c r="M23" s="190">
        <v>0</v>
      </c>
      <c r="N23" s="60" t="e">
        <f t="shared" si="0"/>
        <v>#N/A</v>
      </c>
      <c r="O23" s="58" t="e">
        <f t="shared" ca="1" si="1"/>
        <v>#N/A</v>
      </c>
      <c r="P23" s="60" t="e">
        <f>H23/G23*VLOOKUP(F23,'Membership Level'!$A$3:$C$10,3,FALSE)+J23</f>
        <v>#DIV/0!</v>
      </c>
    </row>
    <row r="24" spans="1:20" x14ac:dyDescent="0.35">
      <c r="A24" s="7"/>
      <c r="B24" s="7"/>
      <c r="C24" s="7"/>
      <c r="D24" s="7"/>
      <c r="E24" s="7"/>
      <c r="F24" s="7"/>
      <c r="G24" s="75"/>
      <c r="H24" s="184"/>
      <c r="I24" s="185"/>
      <c r="J24" s="9"/>
      <c r="K24" s="9" t="e">
        <f>DATE(YEAR(J24),MONTH(J24)+VLOOKUP($F24,'Membership Level'!$A$3:$B$10,2,FALSE),DAY(J24))</f>
        <v>#N/A</v>
      </c>
      <c r="L24" s="7">
        <v>3</v>
      </c>
      <c r="M24" s="192">
        <v>0</v>
      </c>
      <c r="N24" s="193" t="e">
        <f t="shared" si="0"/>
        <v>#N/A</v>
      </c>
      <c r="O24" s="7" t="e">
        <f t="shared" ca="1" si="1"/>
        <v>#N/A</v>
      </c>
      <c r="P24" s="193" t="e">
        <f>H24/G24*VLOOKUP(F24,'Membership Level'!$A$3:$C$10,3,FALSE)+J24</f>
        <v>#DIV/0!</v>
      </c>
      <c r="R24" s="1">
        <v>44448</v>
      </c>
    </row>
    <row r="25" spans="1:20" s="11" customFormat="1" x14ac:dyDescent="0.35">
      <c r="A25" s="58"/>
      <c r="B25" s="58"/>
      <c r="C25" s="58"/>
      <c r="D25" s="58"/>
      <c r="E25" s="59"/>
      <c r="F25" s="58"/>
      <c r="G25" s="78"/>
      <c r="H25" s="63"/>
      <c r="I25" s="61"/>
      <c r="J25" s="59"/>
      <c r="K25" s="59" t="e">
        <f>DATE(YEAR(J25),MONTH(J25)+VLOOKUP($F25,'Membership Level'!$A$3:$B$10,2,FALSE),DAY(J25))</f>
        <v>#N/A</v>
      </c>
      <c r="L25" s="58">
        <v>3</v>
      </c>
      <c r="M25" s="190">
        <v>0</v>
      </c>
      <c r="N25" s="60" t="e">
        <f t="shared" si="0"/>
        <v>#N/A</v>
      </c>
      <c r="O25" s="58" t="e">
        <f t="shared" ca="1" si="1"/>
        <v>#N/A</v>
      </c>
      <c r="P25" s="60" t="e">
        <f>H25/G25*VLOOKUP(F25,'Membership Level'!$A$3:$C$10,3,FALSE)+J25</f>
        <v>#DIV/0!</v>
      </c>
    </row>
    <row r="26" spans="1:20" s="11" customFormat="1" x14ac:dyDescent="0.35">
      <c r="A26" s="58"/>
      <c r="B26" s="58"/>
      <c r="C26" s="58"/>
      <c r="D26" s="62"/>
      <c r="E26" s="81"/>
      <c r="F26" s="58"/>
      <c r="G26" s="78"/>
      <c r="H26" s="63"/>
      <c r="I26" s="61"/>
      <c r="J26" s="59"/>
      <c r="K26" s="59" t="e">
        <f>DATE(YEAR(J26),MONTH(J26)+VLOOKUP($F26,'Membership Level'!$A$3:$B$10,2,FALSE),DAY(J26))</f>
        <v>#N/A</v>
      </c>
      <c r="L26" s="58">
        <v>3</v>
      </c>
      <c r="M26" s="190">
        <v>0</v>
      </c>
      <c r="N26" s="60" t="e">
        <f t="shared" si="0"/>
        <v>#N/A</v>
      </c>
      <c r="O26" s="58" t="e">
        <f t="shared" ca="1" si="1"/>
        <v>#N/A</v>
      </c>
      <c r="P26" s="60" t="e">
        <f>H26/G26*VLOOKUP(F26,'Membership Level'!$A$3:$C$10,3,FALSE)+J26</f>
        <v>#DIV/0!</v>
      </c>
      <c r="Q26" s="11" t="s">
        <v>47</v>
      </c>
    </row>
    <row r="27" spans="1:20" x14ac:dyDescent="0.35">
      <c r="A27" s="7"/>
      <c r="B27" s="7"/>
      <c r="C27" s="7"/>
      <c r="D27" s="7"/>
      <c r="E27" s="7"/>
      <c r="F27" s="7"/>
      <c r="G27" s="75"/>
      <c r="H27" s="184"/>
      <c r="I27" s="185"/>
      <c r="J27" s="9"/>
      <c r="K27" s="9" t="e">
        <f>DATE(YEAR(J27),MONTH(J27)+VLOOKUP($F27,'Membership Level'!$A$3:$B$10,2,FALSE),DAY(J27))</f>
        <v>#N/A</v>
      </c>
      <c r="L27" s="7">
        <v>3</v>
      </c>
      <c r="M27" s="192">
        <v>0</v>
      </c>
      <c r="N27" s="193" t="e">
        <f t="shared" si="0"/>
        <v>#N/A</v>
      </c>
      <c r="O27" s="7" t="e">
        <f t="shared" ca="1" si="1"/>
        <v>#N/A</v>
      </c>
      <c r="P27" s="193" t="e">
        <f>H27/G27*VLOOKUP(F27,'Membership Level'!$A$3:$C$10,3,FALSE)+J27</f>
        <v>#DIV/0!</v>
      </c>
    </row>
    <row r="28" spans="1:20" x14ac:dyDescent="0.35">
      <c r="A28" s="7"/>
      <c r="B28" s="7"/>
      <c r="C28" s="7"/>
      <c r="D28" s="7"/>
      <c r="E28" s="7"/>
      <c r="F28" s="7"/>
      <c r="G28" s="75"/>
      <c r="H28" s="184"/>
      <c r="I28" s="185"/>
      <c r="J28" s="9"/>
      <c r="K28" s="9" t="e">
        <f>DATE(YEAR(J28),MONTH(J28)+VLOOKUP($F28,'Membership Level'!$A$3:$B$10,2,FALSE),DAY(J28))</f>
        <v>#N/A</v>
      </c>
      <c r="L28" s="7">
        <v>3</v>
      </c>
      <c r="M28" s="192">
        <v>0</v>
      </c>
      <c r="N28" s="193" t="e">
        <f t="shared" si="0"/>
        <v>#N/A</v>
      </c>
      <c r="O28" s="7" t="e">
        <f t="shared" ca="1" si="1"/>
        <v>#N/A</v>
      </c>
      <c r="P28" s="193" t="e">
        <f>H28/G28*VLOOKUP(F28,'Membership Level'!$A$3:$C$10,3,FALSE)+J28</f>
        <v>#DIV/0!</v>
      </c>
      <c r="Q28" t="s">
        <v>45</v>
      </c>
    </row>
    <row r="29" spans="1:20" s="10" customFormat="1" x14ac:dyDescent="0.35">
      <c r="A29" s="79"/>
      <c r="B29" s="79"/>
      <c r="C29" s="79"/>
      <c r="D29" s="7"/>
      <c r="E29" s="97"/>
      <c r="F29" s="79"/>
      <c r="G29" s="98"/>
      <c r="H29" s="187"/>
      <c r="I29" s="99"/>
      <c r="J29" s="100"/>
      <c r="K29" s="100" t="e">
        <f>DATE(YEAR(J29),MONTH(J29)+VLOOKUP($F29,'Membership Level'!$A$3:$B$10,2,FALSE),DAY(J29))</f>
        <v>#N/A</v>
      </c>
      <c r="L29" s="79">
        <v>3</v>
      </c>
      <c r="M29" s="197">
        <v>0</v>
      </c>
      <c r="N29" s="101" t="e">
        <f t="shared" si="0"/>
        <v>#N/A</v>
      </c>
      <c r="O29" s="79" t="e">
        <f t="shared" ca="1" si="1"/>
        <v>#N/A</v>
      </c>
      <c r="P29" s="101" t="e">
        <f>H29/G29*VLOOKUP(F29,'Membership Level'!$A$3:$C$10,3,FALSE)+J29</f>
        <v>#DIV/0!</v>
      </c>
      <c r="Q29" s="10" t="s">
        <v>58</v>
      </c>
    </row>
    <row r="30" spans="1:20" x14ac:dyDescent="0.35">
      <c r="A30" s="7"/>
      <c r="B30" s="7"/>
      <c r="C30" s="7"/>
      <c r="D30" s="7"/>
      <c r="E30" s="7"/>
      <c r="F30" s="7"/>
      <c r="G30" s="75"/>
      <c r="H30" s="184"/>
      <c r="I30" s="185"/>
      <c r="J30" s="9"/>
      <c r="K30" s="9" t="e">
        <f>DATE(YEAR(J30),MONTH(J30)+VLOOKUP($F30,'Membership Level'!$A$3:$B$10,2,FALSE),DAY(J30))</f>
        <v>#N/A</v>
      </c>
      <c r="L30" s="7">
        <v>3</v>
      </c>
      <c r="M30" s="192">
        <v>0</v>
      </c>
      <c r="N30" s="193" t="e">
        <f t="shared" si="0"/>
        <v>#N/A</v>
      </c>
      <c r="O30" s="7" t="e">
        <f t="shared" ca="1" si="1"/>
        <v>#N/A</v>
      </c>
      <c r="P30" s="193" t="e">
        <f>H30/G30*VLOOKUP(F30,'Membership Level'!$A$3:$C$10,3,FALSE)+J30</f>
        <v>#DIV/0!</v>
      </c>
      <c r="Q30" s="194">
        <v>44752</v>
      </c>
      <c r="R30">
        <v>3000</v>
      </c>
    </row>
    <row r="31" spans="1:20" s="11" customFormat="1" x14ac:dyDescent="0.35">
      <c r="A31" s="58"/>
      <c r="B31" s="58"/>
      <c r="C31" s="58"/>
      <c r="D31" s="165"/>
      <c r="E31" s="81"/>
      <c r="F31" s="58"/>
      <c r="G31" s="78"/>
      <c r="H31" s="63"/>
      <c r="I31" s="61"/>
      <c r="J31" s="59"/>
      <c r="K31" s="59" t="e">
        <f>DATE(YEAR(J31),MONTH(J31)+VLOOKUP($F31,'Membership Level'!$A$3:$B$10,2,FALSE),DAY(J31))</f>
        <v>#N/A</v>
      </c>
      <c r="L31" s="58">
        <v>3</v>
      </c>
      <c r="M31" s="190">
        <v>0</v>
      </c>
      <c r="N31" s="60" t="e">
        <f t="shared" si="0"/>
        <v>#N/A</v>
      </c>
      <c r="O31" s="58" t="e">
        <f t="shared" ca="1" si="1"/>
        <v>#N/A</v>
      </c>
      <c r="P31" s="60" t="e">
        <f>H31/G31*VLOOKUP(F31,'Membership Level'!$A$3:$C$10,3,FALSE)+J31</f>
        <v>#DIV/0!</v>
      </c>
      <c r="Q31" s="11" t="s">
        <v>52</v>
      </c>
      <c r="R31" s="11" t="s">
        <v>51</v>
      </c>
      <c r="S31" s="11">
        <v>3000</v>
      </c>
    </row>
    <row r="32" spans="1:20" s="11" customFormat="1" x14ac:dyDescent="0.35">
      <c r="A32" s="58"/>
      <c r="B32" s="58"/>
      <c r="C32" s="58"/>
      <c r="D32" s="58"/>
      <c r="E32" s="58"/>
      <c r="F32" s="58"/>
      <c r="G32" s="78"/>
      <c r="H32" s="63"/>
      <c r="I32" s="61"/>
      <c r="J32" s="59"/>
      <c r="K32" s="59" t="e">
        <f>DATE(YEAR(J32),MONTH(J32)+VLOOKUP($F32,'Membership Level'!$A$3:$B$10,2,FALSE),DAY(J32))</f>
        <v>#N/A</v>
      </c>
      <c r="L32" s="58">
        <v>3</v>
      </c>
      <c r="M32" s="190">
        <v>0</v>
      </c>
      <c r="N32" s="60" t="e">
        <f t="shared" si="0"/>
        <v>#N/A</v>
      </c>
      <c r="O32" s="58" t="e">
        <f t="shared" ca="1" si="1"/>
        <v>#N/A</v>
      </c>
      <c r="P32" s="60" t="e">
        <f>H32/G32*VLOOKUP(F32,'Membership Level'!$A$3:$C$10,3,FALSE)+J32</f>
        <v>#DIV/0!</v>
      </c>
    </row>
    <row r="33" spans="1:17" x14ac:dyDescent="0.35">
      <c r="A33" s="7"/>
      <c r="B33" s="7"/>
      <c r="C33" s="7"/>
      <c r="D33" s="7"/>
      <c r="E33" s="7"/>
      <c r="F33" s="7"/>
      <c r="G33" s="75"/>
      <c r="H33" s="184"/>
      <c r="I33" s="185"/>
      <c r="J33" s="9"/>
      <c r="K33" s="9" t="e">
        <f>DATE(YEAR(J33),MONTH(J33)+VLOOKUP($F33,'Membership Level'!$A$3:$B$10,2,FALSE),DAY(J33))</f>
        <v>#N/A</v>
      </c>
      <c r="L33" s="7">
        <v>3</v>
      </c>
      <c r="M33" s="192">
        <v>0</v>
      </c>
      <c r="N33" s="193" t="e">
        <f t="shared" si="0"/>
        <v>#N/A</v>
      </c>
      <c r="O33" s="7" t="e">
        <f t="shared" ca="1" si="1"/>
        <v>#N/A</v>
      </c>
      <c r="P33" s="193" t="e">
        <f>H33/G33*VLOOKUP(F33,'Membership Level'!$A$3:$C$10,3,FALSE)+J33</f>
        <v>#DIV/0!</v>
      </c>
    </row>
    <row r="34" spans="1:17" x14ac:dyDescent="0.35">
      <c r="A34" s="7"/>
      <c r="B34" s="7"/>
      <c r="C34" s="7"/>
      <c r="D34" s="7"/>
      <c r="E34" s="80"/>
      <c r="F34" s="7"/>
      <c r="G34" s="75"/>
      <c r="H34" s="184"/>
      <c r="I34" s="185"/>
      <c r="J34" s="9"/>
      <c r="K34" s="9">
        <f>J34+90</f>
        <v>90</v>
      </c>
      <c r="L34" s="7">
        <v>3</v>
      </c>
      <c r="M34" s="192">
        <v>0</v>
      </c>
      <c r="N34" s="193">
        <f t="shared" si="0"/>
        <v>87</v>
      </c>
      <c r="O34" s="7" t="str">
        <f t="shared" ca="1" si="1"/>
        <v/>
      </c>
      <c r="P34" s="193" t="e">
        <f>H34/G34*VLOOKUP(F34,'Membership Level'!$A$3:$C$10,3,FALSE)+J34</f>
        <v>#DIV/0!</v>
      </c>
      <c r="Q34" t="s">
        <v>62</v>
      </c>
    </row>
    <row r="35" spans="1:17" x14ac:dyDescent="0.35">
      <c r="A35" s="7"/>
      <c r="B35" s="7"/>
      <c r="C35" s="7"/>
      <c r="D35" s="7"/>
      <c r="E35" s="9"/>
      <c r="F35" s="7"/>
      <c r="G35" s="75"/>
      <c r="H35" s="184"/>
      <c r="I35" s="185"/>
      <c r="J35" s="9"/>
      <c r="K35" s="9" t="e">
        <f>DATE(YEAR(J35),MONTH(J35)+VLOOKUP($F35,'Membership Level'!$A$3:$B$10,2,FALSE),DAY(J35))</f>
        <v>#N/A</v>
      </c>
      <c r="L35" s="7">
        <v>3</v>
      </c>
      <c r="M35" s="192">
        <v>0</v>
      </c>
      <c r="N35" s="193" t="e">
        <f t="shared" si="0"/>
        <v>#N/A</v>
      </c>
      <c r="O35" s="7" t="e">
        <f t="shared" ca="1" si="1"/>
        <v>#N/A</v>
      </c>
      <c r="P35" s="193" t="e">
        <f>H35/G35*VLOOKUP(F35,'Membership Level'!$A$3:$C$10,3,FALSE)+J35</f>
        <v>#DIV/0!</v>
      </c>
    </row>
    <row r="36" spans="1:17" s="6" customFormat="1" x14ac:dyDescent="0.35">
      <c r="A36" s="62"/>
      <c r="B36" s="62"/>
      <c r="C36" s="62"/>
      <c r="D36" s="62"/>
      <c r="E36" s="62"/>
      <c r="F36" s="62"/>
      <c r="G36" s="92"/>
      <c r="H36" s="186"/>
      <c r="I36" s="64"/>
      <c r="J36" s="65"/>
      <c r="K36" s="9" t="e">
        <f>DATE(YEAR(J36),MONTH(J36)+VLOOKUP($F36,'Membership Level'!$A$3:$B$10,2,FALSE),DAY(J36))</f>
        <v>#N/A</v>
      </c>
      <c r="L36" s="62">
        <v>3</v>
      </c>
      <c r="M36" s="195">
        <v>0</v>
      </c>
      <c r="N36" s="66" t="e">
        <f t="shared" si="0"/>
        <v>#N/A</v>
      </c>
      <c r="O36" s="62" t="e">
        <f t="shared" ca="1" si="1"/>
        <v>#N/A</v>
      </c>
      <c r="P36" s="66" t="e">
        <f>H36/G36*VLOOKUP(F36,'Membership Level'!$A$3:$C$10,3,FALSE)+J36</f>
        <v>#DIV/0!</v>
      </c>
    </row>
    <row r="37" spans="1:17" s="57" customFormat="1" x14ac:dyDescent="0.35">
      <c r="A37" s="198"/>
      <c r="B37" s="198"/>
      <c r="C37" s="198"/>
      <c r="D37" s="198"/>
      <c r="E37" s="198"/>
      <c r="F37" s="198"/>
      <c r="G37" s="199"/>
      <c r="H37" s="61"/>
      <c r="I37" s="61"/>
      <c r="J37" s="60"/>
      <c r="K37" s="60" t="e">
        <f>DATE(YEAR(J37),MONTH(J37)+VLOOKUP($F37,'Membership Level'!$A$3:$B$10,2,FALSE),DAY(J37))</f>
        <v>#N/A</v>
      </c>
      <c r="L37" s="198">
        <v>3</v>
      </c>
      <c r="M37" s="200">
        <v>0</v>
      </c>
      <c r="N37" s="60" t="e">
        <f t="shared" si="0"/>
        <v>#N/A</v>
      </c>
      <c r="O37" s="198" t="e">
        <f t="shared" ca="1" si="1"/>
        <v>#N/A</v>
      </c>
      <c r="P37" s="60" t="e">
        <f>H37/G37*VLOOKUP(F37,'Membership Level'!$A$3:$C$10,3,FALSE)+J37</f>
        <v>#DIV/0!</v>
      </c>
    </row>
    <row r="38" spans="1:17" x14ac:dyDescent="0.35">
      <c r="A38" s="7"/>
      <c r="B38" s="7"/>
      <c r="C38" s="7"/>
      <c r="D38" s="7"/>
      <c r="E38" s="7"/>
      <c r="F38" s="7"/>
      <c r="G38" s="75"/>
      <c r="H38" s="75"/>
      <c r="I38" s="185"/>
      <c r="J38" s="9"/>
      <c r="K38" s="9" t="e">
        <f>DATE(YEAR(J38),MONTH(J38)+VLOOKUP($F38,'Membership Level'!$A$3:$B$10,2,FALSE),DAY(J38))</f>
        <v>#N/A</v>
      </c>
      <c r="L38" s="7">
        <v>3</v>
      </c>
      <c r="M38" s="192">
        <v>0</v>
      </c>
      <c r="N38" s="193" t="e">
        <f t="shared" si="0"/>
        <v>#N/A</v>
      </c>
      <c r="O38" s="7" t="e">
        <f t="shared" ca="1" si="1"/>
        <v>#N/A</v>
      </c>
      <c r="P38" s="193" t="e">
        <f>H38/G38*VLOOKUP(F38,'Membership Level'!$A$3:$C$10,3,FALSE)+J38</f>
        <v>#DIV/0!</v>
      </c>
    </row>
    <row r="39" spans="1:17" x14ac:dyDescent="0.35">
      <c r="A39" s="7"/>
      <c r="B39" s="7"/>
      <c r="C39" s="7"/>
      <c r="D39" s="7"/>
      <c r="E39" s="7"/>
      <c r="F39" s="7"/>
      <c r="G39" s="75"/>
      <c r="H39" s="75"/>
      <c r="I39" s="185"/>
      <c r="J39" s="9"/>
      <c r="K39" s="9" t="e">
        <f>DATE(YEAR(J39),MONTH(J39)+VLOOKUP($F39,'Membership Level'!$A$3:$B$10,2,FALSE),DAY(J39))</f>
        <v>#N/A</v>
      </c>
      <c r="L39" s="7">
        <v>3</v>
      </c>
      <c r="M39" s="192">
        <v>0</v>
      </c>
      <c r="N39" s="193" t="e">
        <f t="shared" si="0"/>
        <v>#N/A</v>
      </c>
      <c r="O39" s="7" t="e">
        <f t="shared" ca="1" si="1"/>
        <v>#N/A</v>
      </c>
      <c r="P39" s="193" t="e">
        <f>H39/G39*VLOOKUP(F39,'Membership Level'!$A$3:$C$10,3,FALSE)+J39</f>
        <v>#DIV/0!</v>
      </c>
    </row>
    <row r="40" spans="1:17" s="11" customFormat="1" x14ac:dyDescent="0.35">
      <c r="A40" s="58"/>
      <c r="B40" s="58"/>
      <c r="C40" s="58"/>
      <c r="D40" s="58"/>
      <c r="E40" s="81"/>
      <c r="F40" s="58"/>
      <c r="G40" s="78"/>
      <c r="H40" s="78"/>
      <c r="I40" s="63"/>
      <c r="J40" s="59"/>
      <c r="K40" s="59" t="e">
        <f>DATE(YEAR(J40),MONTH(J40)+VLOOKUP($F40,'Membership Level'!$A$3:$B$10,2,FALSE),DAY(J40))</f>
        <v>#N/A</v>
      </c>
      <c r="L40" s="58">
        <v>3</v>
      </c>
      <c r="M40" s="190">
        <v>0</v>
      </c>
      <c r="N40" s="60" t="e">
        <f t="shared" si="0"/>
        <v>#N/A</v>
      </c>
      <c r="O40" s="58" t="e">
        <f t="shared" ca="1" si="1"/>
        <v>#N/A</v>
      </c>
      <c r="P40" s="60" t="e">
        <f>H40/G40*VLOOKUP(F40,'Membership Level'!$A$3:$C$10,3,FALSE)+J40</f>
        <v>#DIV/0!</v>
      </c>
    </row>
    <row r="41" spans="1:17" x14ac:dyDescent="0.35">
      <c r="A41" s="7"/>
      <c r="B41" s="7"/>
      <c r="C41" s="7"/>
      <c r="D41" s="7"/>
      <c r="E41" s="7"/>
      <c r="F41" s="7"/>
      <c r="G41" s="75"/>
      <c r="H41" s="75"/>
      <c r="I41" s="185"/>
      <c r="J41" s="9"/>
      <c r="K41" s="9" t="e">
        <f>DATE(YEAR(J41),MONTH(J41)+VLOOKUP($F41,'Membership Level'!$A$3:$B$10,2,FALSE),DAY(J41))</f>
        <v>#N/A</v>
      </c>
      <c r="L41" s="7">
        <v>3</v>
      </c>
      <c r="M41" s="192">
        <v>0</v>
      </c>
      <c r="N41" s="193" t="e">
        <f t="shared" si="0"/>
        <v>#N/A</v>
      </c>
      <c r="O41" s="7" t="e">
        <f t="shared" ca="1" si="1"/>
        <v>#N/A</v>
      </c>
      <c r="P41" s="193" t="e">
        <f>H41/G41*VLOOKUP(F41,'Membership Level'!$A$3:$C$10,3,FALSE)+J41</f>
        <v>#DIV/0!</v>
      </c>
    </row>
    <row r="42" spans="1:17" s="12" customFormat="1" x14ac:dyDescent="0.35">
      <c r="A42" s="201"/>
      <c r="B42" s="201"/>
      <c r="C42" s="201"/>
      <c r="D42" s="201"/>
      <c r="E42" s="201"/>
      <c r="F42" s="201"/>
      <c r="G42" s="202"/>
      <c r="H42" s="202"/>
      <c r="I42" s="203"/>
      <c r="J42" s="204"/>
      <c r="K42" s="204" t="e">
        <f>DATE(YEAR(J42),MONTH(J42)+VLOOKUP($F42,'Membership Level'!$A$3:$B$10,2,FALSE),DAY(J42))</f>
        <v>#N/A</v>
      </c>
      <c r="L42" s="201">
        <v>3</v>
      </c>
      <c r="M42" s="205">
        <v>0</v>
      </c>
      <c r="N42" s="206" t="e">
        <f t="shared" si="0"/>
        <v>#N/A</v>
      </c>
      <c r="O42" s="201" t="e">
        <f t="shared" ca="1" si="1"/>
        <v>#N/A</v>
      </c>
      <c r="P42" s="206" t="e">
        <f>H42/G42*VLOOKUP(F42,'Membership Level'!$A$3:$C$10,3,FALSE)+J42</f>
        <v>#DIV/0!</v>
      </c>
    </row>
    <row r="43" spans="1:17" x14ac:dyDescent="0.35">
      <c r="A43" s="7"/>
      <c r="B43" s="7"/>
      <c r="C43" s="7"/>
      <c r="D43" s="7"/>
      <c r="E43" s="7"/>
      <c r="F43" s="7"/>
      <c r="G43" s="75"/>
      <c r="H43" s="75"/>
      <c r="I43" s="185"/>
      <c r="J43" s="9"/>
      <c r="K43" s="9" t="e">
        <f>DATE(YEAR(J43),MONTH(J43)+VLOOKUP($F43,'Membership Level'!$A$3:$B$10,2,FALSE),DAY(J43))</f>
        <v>#N/A</v>
      </c>
      <c r="L43" s="7">
        <v>3</v>
      </c>
      <c r="M43" s="192">
        <v>0</v>
      </c>
      <c r="N43" s="193" t="e">
        <f t="shared" si="0"/>
        <v>#N/A</v>
      </c>
      <c r="O43" s="7" t="e">
        <f t="shared" ca="1" si="1"/>
        <v>#N/A</v>
      </c>
      <c r="P43" s="193" t="e">
        <f>H43/G43*VLOOKUP(F43,'Membership Level'!$A$3:$C$10,3,FALSE)+J43</f>
        <v>#DIV/0!</v>
      </c>
    </row>
    <row r="44" spans="1:17" x14ac:dyDescent="0.35">
      <c r="A44" s="7"/>
      <c r="B44" s="7"/>
      <c r="C44" s="7"/>
      <c r="D44" s="7"/>
      <c r="E44" s="7"/>
      <c r="F44" s="7"/>
      <c r="G44" s="75"/>
      <c r="H44" s="75"/>
      <c r="I44" s="185"/>
      <c r="J44" s="9"/>
      <c r="K44" s="9" t="e">
        <f>DATE(YEAR(J44),MONTH(J44)+VLOOKUP($F44,'Membership Level'!$A$3:$B$10,2,FALSE),DAY(J44))</f>
        <v>#N/A</v>
      </c>
      <c r="L44" s="7">
        <v>3</v>
      </c>
      <c r="M44" s="192">
        <v>0</v>
      </c>
      <c r="N44" s="193" t="e">
        <f t="shared" si="0"/>
        <v>#N/A</v>
      </c>
      <c r="O44" s="7" t="e">
        <f t="shared" ca="1" si="1"/>
        <v>#N/A</v>
      </c>
      <c r="P44" s="193" t="e">
        <f>H44/G44*VLOOKUP(F44,'Membership Level'!$A$3:$C$10,3,FALSE)+J44</f>
        <v>#DIV/0!</v>
      </c>
    </row>
    <row r="45" spans="1:17" s="11" customFormat="1" x14ac:dyDescent="0.35">
      <c r="A45" s="144"/>
      <c r="B45" s="144"/>
      <c r="C45" s="58"/>
      <c r="D45" s="58"/>
      <c r="E45" s="59"/>
      <c r="F45" s="58"/>
      <c r="G45" s="78"/>
      <c r="H45" s="78"/>
      <c r="I45" s="61"/>
      <c r="J45" s="59"/>
      <c r="K45" s="59" t="e">
        <f>DATE(YEAR(J45),MONTH(J45)+VLOOKUP($F45,'Membership Level'!$A$3:$B$10,2,FALSE),DAY(J45))</f>
        <v>#N/A</v>
      </c>
      <c r="L45" s="58">
        <v>3</v>
      </c>
      <c r="M45" s="190">
        <v>0</v>
      </c>
      <c r="N45" s="60" t="e">
        <f t="shared" si="0"/>
        <v>#N/A</v>
      </c>
      <c r="O45" s="58" t="e">
        <f t="shared" ca="1" si="1"/>
        <v>#N/A</v>
      </c>
      <c r="P45" s="60" t="e">
        <f>H45/G45*VLOOKUP(F45,'Membership Level'!$A$3:$C$10,3,FALSE)+J45</f>
        <v>#DIV/0!</v>
      </c>
      <c r="Q45" s="11" t="s">
        <v>55</v>
      </c>
    </row>
    <row r="46" spans="1:17" s="10" customFormat="1" x14ac:dyDescent="0.35">
      <c r="A46" s="79"/>
      <c r="B46" s="79"/>
      <c r="C46" s="79"/>
      <c r="D46" s="79"/>
      <c r="E46" s="79"/>
      <c r="F46" s="79"/>
      <c r="G46" s="98"/>
      <c r="H46" s="98"/>
      <c r="I46" s="99"/>
      <c r="J46" s="100"/>
      <c r="K46" s="100" t="e">
        <f>DATE(YEAR(J46),MONTH(J46)+VLOOKUP($F46,'Membership Level'!$A$3:$B$10,2,FALSE),DAY(J46))</f>
        <v>#N/A</v>
      </c>
      <c r="L46" s="79">
        <v>3</v>
      </c>
      <c r="M46" s="197">
        <v>0</v>
      </c>
      <c r="N46" s="101" t="e">
        <f t="shared" si="0"/>
        <v>#N/A</v>
      </c>
      <c r="O46" s="79" t="e">
        <f t="shared" ca="1" si="1"/>
        <v>#N/A</v>
      </c>
      <c r="P46" s="101" t="e">
        <f>H46/G46*VLOOKUP(F46,'Membership Level'!$A$3:$C$10,3,FALSE)+J46</f>
        <v>#DIV/0!</v>
      </c>
    </row>
    <row r="47" spans="1:17" s="4" customFormat="1" x14ac:dyDescent="0.35">
      <c r="A47" s="167"/>
      <c r="B47" s="167"/>
      <c r="C47" s="167"/>
      <c r="D47" s="167"/>
      <c r="E47" s="207"/>
      <c r="F47" s="167"/>
      <c r="G47" s="208"/>
      <c r="H47" s="208"/>
      <c r="I47" s="185"/>
      <c r="J47" s="193"/>
      <c r="K47" s="193" t="e">
        <f>DATE(YEAR(J47),MONTH(J47)+VLOOKUP($F47,'Membership Level'!$A$3:$B$10,2,FALSE),DAY(J47))</f>
        <v>#N/A</v>
      </c>
      <c r="L47" s="167">
        <v>3</v>
      </c>
      <c r="M47" s="209">
        <v>0</v>
      </c>
      <c r="N47" s="193" t="e">
        <f t="shared" si="0"/>
        <v>#N/A</v>
      </c>
      <c r="O47" s="167" t="e">
        <f t="shared" ca="1" si="1"/>
        <v>#N/A</v>
      </c>
      <c r="P47" s="193" t="e">
        <f>H47/G47*VLOOKUP(F47,'Membership Level'!$A$3:$C$10,3,FALSE)+J47</f>
        <v>#DIV/0!</v>
      </c>
    </row>
    <row r="48" spans="1:17" x14ac:dyDescent="0.35">
      <c r="A48" s="62"/>
      <c r="B48" s="62"/>
      <c r="C48" s="62"/>
      <c r="D48" s="62"/>
      <c r="E48" s="62"/>
      <c r="F48" s="62"/>
      <c r="G48" s="92"/>
      <c r="H48" s="92"/>
      <c r="I48" s="64"/>
      <c r="J48" s="65"/>
      <c r="K48" s="65" t="e">
        <f>DATE(YEAR(J48),MONTH(J48)+VLOOKUP($F48,'Membership Level'!$A$3:$B$10,2,FALSE),DAY(J48))</f>
        <v>#N/A</v>
      </c>
      <c r="L48" s="62">
        <v>3</v>
      </c>
      <c r="M48" s="195">
        <v>0</v>
      </c>
      <c r="N48" s="66" t="e">
        <f t="shared" si="0"/>
        <v>#N/A</v>
      </c>
      <c r="O48" s="62" t="e">
        <f t="shared" ca="1" si="1"/>
        <v>#N/A</v>
      </c>
      <c r="P48" s="66" t="e">
        <f>H48/G48*VLOOKUP(F48,'Membership Level'!$A$3:$C$10,3,FALSE)+J48</f>
        <v>#DIV/0!</v>
      </c>
    </row>
    <row r="49" spans="1:16" x14ac:dyDescent="0.35">
      <c r="A49" s="62"/>
      <c r="B49" s="62"/>
      <c r="C49" s="62"/>
      <c r="D49" s="62"/>
      <c r="E49" s="62"/>
      <c r="F49" s="62"/>
      <c r="G49" s="92"/>
      <c r="H49" s="92"/>
      <c r="I49" s="64"/>
      <c r="J49" s="65"/>
      <c r="K49" s="65" t="e">
        <f>DATE(YEAR(J49),MONTH(J49)+VLOOKUP($F49,'Membership Level'!$A$3:$B$10,2,FALSE),DAY(J49))</f>
        <v>#N/A</v>
      </c>
      <c r="L49" s="62">
        <v>3</v>
      </c>
      <c r="M49" s="195">
        <v>0</v>
      </c>
      <c r="N49" s="66" t="e">
        <f t="shared" si="0"/>
        <v>#N/A</v>
      </c>
      <c r="O49" s="62" t="e">
        <f t="shared" ca="1" si="1"/>
        <v>#N/A</v>
      </c>
      <c r="P49" s="66" t="e">
        <f>H49/G49*VLOOKUP(F49,'Membership Level'!$A$3:$C$10,3,FALSE)+J49</f>
        <v>#DIV/0!</v>
      </c>
    </row>
    <row r="50" spans="1:16" x14ac:dyDescent="0.35">
      <c r="A50" s="7"/>
      <c r="B50" s="7"/>
      <c r="C50" s="7"/>
      <c r="D50" s="7"/>
      <c r="E50" s="7"/>
      <c r="F50" s="7"/>
      <c r="G50" s="75"/>
      <c r="H50" s="75"/>
      <c r="I50" s="185"/>
      <c r="J50" s="9"/>
      <c r="K50" s="9" t="e">
        <f>DATE(YEAR(J50),MONTH(J50)+VLOOKUP($F50,'Membership Level'!$A$3:$B$10,2,FALSE),DAY(J50))</f>
        <v>#N/A</v>
      </c>
      <c r="L50" s="7">
        <v>3</v>
      </c>
      <c r="M50" s="192">
        <v>0</v>
      </c>
      <c r="N50" s="193" t="e">
        <f t="shared" si="0"/>
        <v>#N/A</v>
      </c>
      <c r="O50" s="7" t="e">
        <f t="shared" ca="1" si="1"/>
        <v>#N/A</v>
      </c>
      <c r="P50" s="193" t="e">
        <f>H50/G50*VLOOKUP(F50,'Membership Level'!$A$3:$C$10,3,FALSE)+J50</f>
        <v>#DIV/0!</v>
      </c>
    </row>
    <row r="51" spans="1:16" x14ac:dyDescent="0.35">
      <c r="A51" s="7"/>
      <c r="B51" s="7"/>
      <c r="C51" s="7"/>
      <c r="D51" s="7"/>
      <c r="E51" s="7"/>
      <c r="F51" s="7"/>
      <c r="G51" s="75"/>
      <c r="H51" s="75"/>
      <c r="I51" s="185"/>
      <c r="J51" s="9"/>
      <c r="K51" s="9" t="e">
        <f>DATE(YEAR(J51),MONTH(J51)+VLOOKUP($F51,'Membership Level'!$A$3:$B$10,2,FALSE),DAY(J51))</f>
        <v>#N/A</v>
      </c>
      <c r="L51" s="7">
        <v>3</v>
      </c>
      <c r="M51" s="192">
        <v>0</v>
      </c>
      <c r="N51" s="193" t="e">
        <f t="shared" si="0"/>
        <v>#N/A</v>
      </c>
      <c r="O51" s="7" t="e">
        <f t="shared" ca="1" si="1"/>
        <v>#N/A</v>
      </c>
      <c r="P51" s="193" t="e">
        <f>H51/G51*VLOOKUP(F51,'Membership Level'!$A$3:$C$10,3,FALSE)+J51</f>
        <v>#DIV/0!</v>
      </c>
    </row>
    <row r="52" spans="1:16" x14ac:dyDescent="0.35">
      <c r="A52" s="7"/>
      <c r="B52" s="7"/>
      <c r="C52" s="7"/>
      <c r="D52" s="7"/>
      <c r="E52" s="7"/>
      <c r="F52" s="7"/>
      <c r="G52" s="75"/>
      <c r="H52" s="75"/>
      <c r="I52" s="185"/>
      <c r="J52" s="9"/>
      <c r="K52" s="9" t="e">
        <f>DATE(YEAR(J52),MONTH(J52)+VLOOKUP($F52,'Membership Level'!$A$3:$B$10,2,FALSE),DAY(J52))</f>
        <v>#N/A</v>
      </c>
      <c r="L52" s="7">
        <v>3</v>
      </c>
      <c r="M52" s="192">
        <v>0</v>
      </c>
      <c r="N52" s="193" t="e">
        <f t="shared" si="0"/>
        <v>#N/A</v>
      </c>
      <c r="O52" s="7" t="e">
        <f t="shared" ca="1" si="1"/>
        <v>#N/A</v>
      </c>
      <c r="P52" s="193" t="e">
        <f>H52/G52*VLOOKUP(F52,'Membership Level'!$A$3:$C$10,3,FALSE)+J52</f>
        <v>#DIV/0!</v>
      </c>
    </row>
    <row r="53" spans="1:16" x14ac:dyDescent="0.35">
      <c r="A53" s="7"/>
      <c r="B53" s="7"/>
      <c r="C53" s="7"/>
      <c r="D53" s="7"/>
      <c r="E53" s="7"/>
      <c r="F53" s="7"/>
      <c r="G53" s="75"/>
      <c r="H53" s="75"/>
      <c r="I53" s="185"/>
      <c r="J53" s="9"/>
      <c r="K53" s="9" t="e">
        <f>DATE(YEAR(J53),MONTH(J53)+VLOOKUP($F53,'Membership Level'!$A$3:$B$10,2,FALSE),DAY(J53))</f>
        <v>#N/A</v>
      </c>
      <c r="L53" s="7">
        <v>3</v>
      </c>
      <c r="M53" s="192">
        <v>0</v>
      </c>
      <c r="N53" s="193" t="e">
        <f t="shared" si="0"/>
        <v>#N/A</v>
      </c>
      <c r="O53" s="7" t="e">
        <f t="shared" ca="1" si="1"/>
        <v>#N/A</v>
      </c>
      <c r="P53" s="193" t="e">
        <f>H53/G53*VLOOKUP(F53,'Membership Level'!$A$3:$C$10,3,FALSE)+J53</f>
        <v>#DIV/0!</v>
      </c>
    </row>
    <row r="54" spans="1:16" x14ac:dyDescent="0.35">
      <c r="A54" s="7"/>
      <c r="B54" s="7"/>
      <c r="C54" s="7"/>
      <c r="D54" s="7"/>
      <c r="E54" s="7"/>
      <c r="F54" s="7"/>
      <c r="G54" s="75"/>
      <c r="H54" s="75"/>
      <c r="I54" s="185"/>
      <c r="J54" s="9"/>
      <c r="K54" s="9" t="e">
        <f>DATE(YEAR(J54),MONTH(J54)+VLOOKUP($F54,'Membership Level'!$A$3:$B$10,2,FALSE),DAY(J54))</f>
        <v>#N/A</v>
      </c>
      <c r="L54" s="7">
        <v>3</v>
      </c>
      <c r="M54" s="192">
        <v>0</v>
      </c>
      <c r="N54" s="193" t="e">
        <f t="shared" si="0"/>
        <v>#N/A</v>
      </c>
      <c r="O54" s="7" t="e">
        <f t="shared" ca="1" si="1"/>
        <v>#N/A</v>
      </c>
      <c r="P54" s="193" t="e">
        <f>H54/G54*VLOOKUP(F54,'Membership Level'!$A$3:$C$10,3,FALSE)+J54</f>
        <v>#DIV/0!</v>
      </c>
    </row>
    <row r="55" spans="1:16" x14ac:dyDescent="0.35">
      <c r="A55" s="7"/>
      <c r="B55" s="7"/>
      <c r="C55" s="7"/>
      <c r="D55" s="7"/>
      <c r="E55" s="7"/>
      <c r="F55" s="7"/>
      <c r="G55" s="75"/>
      <c r="H55" s="75"/>
      <c r="I55" s="185"/>
      <c r="J55" s="9"/>
      <c r="K55" s="9" t="e">
        <f>DATE(YEAR(J55),MONTH(J55)+VLOOKUP($F55,'Membership Level'!$A$3:$B$10,2,FALSE),DAY(J55))</f>
        <v>#N/A</v>
      </c>
      <c r="L55" s="7"/>
      <c r="M55" s="192">
        <v>0</v>
      </c>
      <c r="N55" s="193" t="e">
        <f t="shared" si="0"/>
        <v>#N/A</v>
      </c>
      <c r="O55" s="7" t="e">
        <f t="shared" ca="1" si="1"/>
        <v>#N/A</v>
      </c>
      <c r="P55" s="193" t="e">
        <f>H55/G55*VLOOKUP(F55,'Membership Level'!$A$3:$C$10,3,FALSE)+J55</f>
        <v>#DIV/0!</v>
      </c>
    </row>
    <row r="56" spans="1:16" x14ac:dyDescent="0.35">
      <c r="A56" s="7"/>
      <c r="B56" s="7"/>
      <c r="C56" s="7"/>
      <c r="D56" s="7"/>
      <c r="E56" s="7"/>
      <c r="F56" s="7"/>
      <c r="G56" s="75"/>
      <c r="H56" s="75"/>
      <c r="I56" s="185"/>
      <c r="J56" s="9"/>
      <c r="K56" s="9" t="e">
        <f>DATE(YEAR(J56),MONTH(J56)+VLOOKUP($F56,'Membership Level'!$A$3:$B$10,2,FALSE),DAY(J56))</f>
        <v>#N/A</v>
      </c>
      <c r="L56" s="7">
        <v>3</v>
      </c>
      <c r="M56" s="192">
        <v>0</v>
      </c>
      <c r="N56" s="193" t="e">
        <f t="shared" si="0"/>
        <v>#N/A</v>
      </c>
      <c r="O56" s="7" t="e">
        <f t="shared" ca="1" si="1"/>
        <v>#N/A</v>
      </c>
      <c r="P56" s="193" t="e">
        <f>H56/G56*VLOOKUP(F56,'Membership Level'!$A$3:$C$10,3,FALSE)+J56</f>
        <v>#DIV/0!</v>
      </c>
    </row>
    <row r="57" spans="1:16" x14ac:dyDescent="0.35">
      <c r="A57" s="7"/>
      <c r="B57" s="7"/>
      <c r="C57" s="7"/>
      <c r="D57" s="7"/>
      <c r="E57" s="80"/>
      <c r="F57" s="7"/>
      <c r="G57" s="75"/>
      <c r="H57" s="75"/>
      <c r="I57" s="185"/>
      <c r="J57" s="9"/>
      <c r="K57" s="9" t="e">
        <f>DATE(YEAR(J57),MONTH(J57)+VLOOKUP($F57,'Membership Level'!$A$3:$B$10,2,FALSE),DAY(J57))</f>
        <v>#N/A</v>
      </c>
      <c r="L57" s="7"/>
      <c r="M57" s="192">
        <v>0</v>
      </c>
      <c r="N57" s="193" t="e">
        <f t="shared" si="0"/>
        <v>#N/A</v>
      </c>
      <c r="O57" s="7" t="e">
        <f t="shared" ca="1" si="1"/>
        <v>#N/A</v>
      </c>
      <c r="P57" s="193" t="e">
        <f>H57/G57*VLOOKUP(F57,'Membership Level'!$A$3:$C$10,3,FALSE)+J57</f>
        <v>#DIV/0!</v>
      </c>
    </row>
    <row r="58" spans="1:16" x14ac:dyDescent="0.35">
      <c r="A58" s="7"/>
      <c r="B58" s="7"/>
      <c r="C58" s="7"/>
      <c r="D58" s="7"/>
      <c r="E58" s="7"/>
      <c r="F58" s="7"/>
      <c r="G58" s="75"/>
      <c r="H58" s="75"/>
      <c r="I58" s="185"/>
      <c r="J58" s="9"/>
      <c r="K58" s="9" t="e">
        <f>DATE(YEAR(J58),MONTH(J58)+VLOOKUP($F58,'Membership Level'!$A$3:$B$10,2,FALSE),DAY(J58))</f>
        <v>#N/A</v>
      </c>
      <c r="L58" s="7"/>
      <c r="M58" s="192">
        <v>0</v>
      </c>
      <c r="N58" s="193" t="e">
        <f t="shared" si="0"/>
        <v>#N/A</v>
      </c>
      <c r="O58" s="7" t="e">
        <f t="shared" ca="1" si="1"/>
        <v>#N/A</v>
      </c>
      <c r="P58" s="193" t="e">
        <f>H58/G58*VLOOKUP(F58,'Membership Level'!$A$3:$C$10,3,FALSE)+J58</f>
        <v>#DIV/0!</v>
      </c>
    </row>
    <row r="59" spans="1:16" x14ac:dyDescent="0.35">
      <c r="A59" s="7"/>
      <c r="B59" s="7"/>
      <c r="C59" s="7"/>
      <c r="D59" s="7"/>
      <c r="E59" s="80"/>
      <c r="F59" s="7"/>
      <c r="G59" s="75"/>
      <c r="H59" s="75"/>
      <c r="I59" s="185"/>
      <c r="J59" s="9"/>
      <c r="K59" s="9" t="e">
        <f>DATE(YEAR(J59),MONTH(J59)+VLOOKUP($F59,'Membership Level'!$A$3:$B$10,2,FALSE),DAY(J59))</f>
        <v>#N/A</v>
      </c>
      <c r="L59" s="7">
        <v>3</v>
      </c>
      <c r="M59" s="192">
        <v>0</v>
      </c>
      <c r="N59" s="193" t="e">
        <f t="shared" si="0"/>
        <v>#N/A</v>
      </c>
      <c r="O59" s="7" t="e">
        <f t="shared" ca="1" si="1"/>
        <v>#N/A</v>
      </c>
      <c r="P59" s="193" t="e">
        <f>H59/G59*VLOOKUP(F59,'Membership Level'!$A$3:$C$10,3,FALSE)+J59</f>
        <v>#DIV/0!</v>
      </c>
    </row>
    <row r="60" spans="1:16" x14ac:dyDescent="0.35">
      <c r="A60" s="7"/>
      <c r="B60" s="7"/>
      <c r="C60" s="7"/>
      <c r="D60" s="7"/>
      <c r="E60" s="7"/>
      <c r="F60" s="7"/>
      <c r="G60" s="75"/>
      <c r="H60" s="75"/>
      <c r="I60" s="185"/>
      <c r="J60" s="9"/>
      <c r="K60" s="9" t="e">
        <f>DATE(YEAR(J60),MONTH(J60)+VLOOKUP($F60,'Membership Level'!$A$3:$B$10,2,FALSE),DAY(J60))</f>
        <v>#N/A</v>
      </c>
      <c r="L60" s="7"/>
      <c r="M60" s="192">
        <v>0</v>
      </c>
      <c r="N60" s="193" t="e">
        <f t="shared" si="0"/>
        <v>#N/A</v>
      </c>
      <c r="O60" s="7" t="e">
        <f t="shared" ca="1" si="1"/>
        <v>#N/A</v>
      </c>
      <c r="P60" s="193" t="e">
        <f>H60/G60*VLOOKUP(F60,'Membership Level'!$A$3:$C$10,3,FALSE)+J60</f>
        <v>#DIV/0!</v>
      </c>
    </row>
    <row r="61" spans="1:16" x14ac:dyDescent="0.35">
      <c r="A61" s="167"/>
      <c r="B61" s="167"/>
      <c r="C61" s="7"/>
      <c r="D61" s="7"/>
      <c r="E61" s="7"/>
      <c r="F61" s="7"/>
      <c r="G61" s="75"/>
      <c r="H61" s="75"/>
      <c r="I61" s="185"/>
      <c r="J61" s="9"/>
      <c r="K61" s="9" t="e">
        <f>DATE(YEAR(J61),MONTH(J61)+VLOOKUP($F61,'Membership Level'!$A$3:$B$10,2,FALSE),DAY(J61))</f>
        <v>#N/A</v>
      </c>
      <c r="L61" s="7">
        <v>3</v>
      </c>
      <c r="M61" s="192">
        <v>0</v>
      </c>
      <c r="N61" s="193" t="e">
        <f t="shared" si="0"/>
        <v>#N/A</v>
      </c>
      <c r="O61" s="7" t="e">
        <f t="shared" ca="1" si="1"/>
        <v>#N/A</v>
      </c>
      <c r="P61" s="193" t="e">
        <f>H61/G61*VLOOKUP(F61,'Membership Level'!$A$3:$C$10,3,FALSE)+J61</f>
        <v>#DIV/0!</v>
      </c>
    </row>
    <row r="62" spans="1:16" x14ac:dyDescent="0.35">
      <c r="A62" s="167"/>
      <c r="B62" s="167"/>
      <c r="C62" s="7"/>
      <c r="D62" s="7"/>
      <c r="E62" s="7"/>
      <c r="F62" s="7"/>
      <c r="G62" s="75"/>
      <c r="H62" s="75"/>
      <c r="I62" s="185"/>
      <c r="J62" s="9"/>
      <c r="K62" s="9" t="e">
        <f>DATE(YEAR(J62),MONTH(J62)+VLOOKUP($F62,'Membership Level'!$A$3:$B$10,2,FALSE),DAY(J62))</f>
        <v>#N/A</v>
      </c>
      <c r="L62" s="7">
        <v>3</v>
      </c>
      <c r="M62" s="192">
        <v>0</v>
      </c>
      <c r="N62" s="193" t="e">
        <f t="shared" si="0"/>
        <v>#N/A</v>
      </c>
      <c r="O62" s="7" t="e">
        <f t="shared" ca="1" si="1"/>
        <v>#N/A</v>
      </c>
      <c r="P62" s="193" t="e">
        <f>H62/G62*VLOOKUP(F62,'Membership Level'!$A$3:$C$10,3,FALSE)+J62</f>
        <v>#DIV/0!</v>
      </c>
    </row>
    <row r="63" spans="1:16" x14ac:dyDescent="0.35">
      <c r="A63" s="7"/>
      <c r="B63" s="7"/>
      <c r="C63" s="7"/>
      <c r="D63" s="7"/>
      <c r="E63" s="7"/>
      <c r="F63" s="7"/>
      <c r="G63" s="75"/>
      <c r="H63" s="75"/>
      <c r="I63" s="185"/>
      <c r="J63" s="9"/>
      <c r="K63" s="9" t="e">
        <f>DATE(YEAR(J63),MONTH(J63)+VLOOKUP($F63,'Membership Level'!$A$3:$B$10,2,FALSE),DAY(J63))</f>
        <v>#N/A</v>
      </c>
      <c r="L63" s="7"/>
      <c r="M63" s="192">
        <v>0</v>
      </c>
      <c r="N63" s="193" t="e">
        <f t="shared" si="0"/>
        <v>#N/A</v>
      </c>
      <c r="O63" s="7" t="e">
        <f t="shared" ca="1" si="1"/>
        <v>#N/A</v>
      </c>
      <c r="P63" s="193" t="e">
        <f>H63/G63*VLOOKUP(F63,'Membership Level'!$A$3:$C$10,3,FALSE)+J63</f>
        <v>#DIV/0!</v>
      </c>
    </row>
    <row r="64" spans="1:16" x14ac:dyDescent="0.35">
      <c r="A64" s="7"/>
      <c r="B64" s="7"/>
      <c r="C64" s="7"/>
      <c r="D64" s="7"/>
      <c r="E64" s="80"/>
      <c r="F64" s="7"/>
      <c r="G64" s="75"/>
      <c r="H64" s="75"/>
      <c r="I64" s="185"/>
      <c r="J64" s="9"/>
      <c r="K64" s="9" t="e">
        <f>DATE(YEAR(J64),MONTH(J64)+VLOOKUP($F64,'Membership Level'!$A$3:$B$10,2,FALSE),DAY(J64))</f>
        <v>#N/A</v>
      </c>
      <c r="L64" s="7"/>
      <c r="M64" s="192">
        <v>0</v>
      </c>
      <c r="N64" s="193" t="e">
        <f t="shared" si="0"/>
        <v>#N/A</v>
      </c>
      <c r="O64" s="7" t="e">
        <f t="shared" ca="1" si="1"/>
        <v>#N/A</v>
      </c>
      <c r="P64" s="193" t="e">
        <f>H64/G64*VLOOKUP(F64,'Membership Level'!$A$3:$C$10,3,FALSE)+J64</f>
        <v>#DIV/0!</v>
      </c>
    </row>
    <row r="65" spans="1:17" x14ac:dyDescent="0.35">
      <c r="A65" s="7"/>
      <c r="B65" s="7"/>
      <c r="C65" s="7"/>
      <c r="D65" s="7"/>
      <c r="E65" s="7"/>
      <c r="F65" s="7"/>
      <c r="G65" s="75"/>
      <c r="H65" s="75"/>
      <c r="I65" s="185"/>
      <c r="J65" s="9"/>
      <c r="K65" s="9" t="e">
        <f>DATE(YEAR(J65),MONTH(J65)+VLOOKUP($F65,'Membership Level'!$A$3:$B$10,2,FALSE),DAY(J65))</f>
        <v>#N/A</v>
      </c>
      <c r="L65" s="7"/>
      <c r="M65" s="192">
        <v>0</v>
      </c>
      <c r="N65" s="193" t="e">
        <f t="shared" si="0"/>
        <v>#N/A</v>
      </c>
      <c r="O65" s="7" t="e">
        <f t="shared" ca="1" si="1"/>
        <v>#N/A</v>
      </c>
      <c r="P65" s="193" t="e">
        <f>H65/G65*VLOOKUP(F65,'Membership Level'!$A$3:$C$10,3,FALSE)+J65</f>
        <v>#DIV/0!</v>
      </c>
    </row>
    <row r="66" spans="1:17" x14ac:dyDescent="0.35">
      <c r="A66" s="7"/>
      <c r="B66" s="7"/>
      <c r="C66" s="7"/>
      <c r="D66" s="7"/>
      <c r="E66" s="7"/>
      <c r="F66" s="7"/>
      <c r="G66" s="75"/>
      <c r="H66" s="75"/>
      <c r="I66" s="185"/>
      <c r="J66" s="9"/>
      <c r="K66" s="9" t="e">
        <f>DATE(YEAR(J66),MONTH(J66)+VLOOKUP($F66,'Membership Level'!$A$3:$B$10,2,FALSE),DAY(J66))</f>
        <v>#N/A</v>
      </c>
      <c r="L66" s="7"/>
      <c r="M66" s="192">
        <v>0</v>
      </c>
      <c r="N66" s="193" t="e">
        <f t="shared" si="0"/>
        <v>#N/A</v>
      </c>
      <c r="O66" s="7" t="e">
        <f t="shared" ca="1" si="1"/>
        <v>#N/A</v>
      </c>
      <c r="P66" s="193" t="e">
        <f>H66/G66*VLOOKUP(F66,'Membership Level'!$A$3:$C$10,3,FALSE)+J66</f>
        <v>#DIV/0!</v>
      </c>
    </row>
    <row r="67" spans="1:17" x14ac:dyDescent="0.35">
      <c r="A67" s="167"/>
      <c r="B67" s="167"/>
      <c r="C67" s="7"/>
      <c r="D67" s="7"/>
      <c r="E67" s="7"/>
      <c r="F67" s="7"/>
      <c r="G67" s="75"/>
      <c r="H67" s="75"/>
      <c r="I67" s="185"/>
      <c r="J67" s="9"/>
      <c r="K67" s="9" t="e">
        <f>DATE(YEAR(J67),MONTH(J67)+VLOOKUP($F67,'Membership Level'!$A$3:$B$10,2,FALSE),DAY(J67))</f>
        <v>#N/A</v>
      </c>
      <c r="L67" s="7">
        <v>3</v>
      </c>
      <c r="M67" s="192">
        <v>0</v>
      </c>
      <c r="N67" s="193" t="e">
        <f t="shared" si="0"/>
        <v>#N/A</v>
      </c>
      <c r="O67" s="7" t="e">
        <f t="shared" ca="1" si="1"/>
        <v>#N/A</v>
      </c>
      <c r="P67" s="193" t="e">
        <f>H67/G67*VLOOKUP(F67,'Membership Level'!$A$3:$C$10,3,FALSE)+J67</f>
        <v>#DIV/0!</v>
      </c>
    </row>
    <row r="68" spans="1:17" x14ac:dyDescent="0.35">
      <c r="A68" s="7"/>
      <c r="B68" s="7"/>
      <c r="C68" s="7"/>
      <c r="D68" s="7"/>
      <c r="E68" s="7"/>
      <c r="F68" s="7"/>
      <c r="G68" s="75"/>
      <c r="H68" s="75"/>
      <c r="I68" s="185"/>
      <c r="J68" s="9"/>
      <c r="K68" s="9" t="e">
        <f>DATE(YEAR(J68),MONTH(J68)+VLOOKUP($F68,'Membership Level'!$A$3:$B$10,2,FALSE),DAY(J68))</f>
        <v>#N/A</v>
      </c>
      <c r="L68" s="7"/>
      <c r="M68" s="192">
        <v>0</v>
      </c>
      <c r="N68" s="193" t="e">
        <f t="shared" si="0"/>
        <v>#N/A</v>
      </c>
      <c r="O68" s="7" t="e">
        <f t="shared" ca="1" si="1"/>
        <v>#N/A</v>
      </c>
      <c r="P68" s="193" t="e">
        <f>H68/G68*VLOOKUP(F68,'Membership Level'!$A$3:$C$10,3,FALSE)+J68</f>
        <v>#DIV/0!</v>
      </c>
    </row>
    <row r="69" spans="1:17" x14ac:dyDescent="0.35">
      <c r="A69" s="7"/>
      <c r="B69" s="7"/>
      <c r="C69" s="7"/>
      <c r="D69" s="7"/>
      <c r="E69" s="7"/>
      <c r="F69" s="7"/>
      <c r="G69" s="75"/>
      <c r="H69" s="75"/>
      <c r="I69" s="185"/>
      <c r="J69" s="9"/>
      <c r="K69" s="9" t="e">
        <f>DATE(YEAR(J69),MONTH(J69)+VLOOKUP($F69,'Membership Level'!$A$3:$B$10,2,FALSE),DAY(J69))</f>
        <v>#N/A</v>
      </c>
      <c r="L69" s="7">
        <v>3</v>
      </c>
      <c r="M69" s="192">
        <v>0</v>
      </c>
      <c r="N69" s="193" t="e">
        <f t="shared" si="0"/>
        <v>#N/A</v>
      </c>
      <c r="O69" s="7" t="e">
        <f t="shared" ca="1" si="1"/>
        <v>#N/A</v>
      </c>
      <c r="P69" s="193" t="e">
        <f>H69/G69*VLOOKUP(F69,'Membership Level'!$A$3:$C$10,3,FALSE)+J69</f>
        <v>#DIV/0!</v>
      </c>
    </row>
    <row r="70" spans="1:17" x14ac:dyDescent="0.35">
      <c r="A70" s="7"/>
      <c r="B70" s="7"/>
      <c r="C70" s="7"/>
      <c r="D70" s="7"/>
      <c r="E70" s="80"/>
      <c r="F70" s="7"/>
      <c r="G70" s="75"/>
      <c r="H70" s="75"/>
      <c r="I70" s="185"/>
      <c r="J70" s="9"/>
      <c r="K70" s="9" t="e">
        <f>DATE(YEAR(J70),MONTH(J70)+VLOOKUP($F70,'Membership Level'!$A$3:$B$10,2,FALSE),DAY(J70))</f>
        <v>#N/A</v>
      </c>
      <c r="L70" s="7">
        <v>3</v>
      </c>
      <c r="M70" s="192">
        <v>0</v>
      </c>
      <c r="N70" s="193" t="e">
        <f t="shared" si="0"/>
        <v>#N/A</v>
      </c>
      <c r="O70" s="7" t="e">
        <f t="shared" ca="1" si="1"/>
        <v>#N/A</v>
      </c>
      <c r="P70" s="193" t="e">
        <f>H70/G70*VLOOKUP(F70,'Membership Level'!$A$3:$C$10,3,FALSE)+J70</f>
        <v>#DIV/0!</v>
      </c>
    </row>
    <row r="71" spans="1:17" x14ac:dyDescent="0.35">
      <c r="A71" s="7"/>
      <c r="B71" s="7"/>
      <c r="C71" s="7"/>
      <c r="D71" s="7"/>
      <c r="E71" s="9"/>
      <c r="F71" s="7"/>
      <c r="G71" s="75"/>
      <c r="H71" s="75"/>
      <c r="I71" s="185"/>
      <c r="J71" s="9"/>
      <c r="K71" s="9" t="e">
        <f>DATE(YEAR(J71),MONTH(J71)+VLOOKUP($F71,'Membership Level'!$A$3:$B$10,2,FALSE),DAY(J71))</f>
        <v>#N/A</v>
      </c>
      <c r="L71" s="7">
        <v>3</v>
      </c>
      <c r="M71" s="192">
        <v>0</v>
      </c>
      <c r="N71" s="193" t="e">
        <f t="shared" si="0"/>
        <v>#N/A</v>
      </c>
      <c r="O71" s="7" t="e">
        <f t="shared" ca="1" si="1"/>
        <v>#N/A</v>
      </c>
      <c r="P71" s="193" t="e">
        <f>H71/G71*VLOOKUP(F71,'Membership Level'!$A$3:$C$10,3,FALSE)+J71</f>
        <v>#DIV/0!</v>
      </c>
    </row>
    <row r="72" spans="1:17" s="11" customFormat="1" x14ac:dyDescent="0.35">
      <c r="A72" s="58"/>
      <c r="B72" s="58"/>
      <c r="C72" s="58"/>
      <c r="D72" s="58"/>
      <c r="E72" s="81"/>
      <c r="F72" s="58"/>
      <c r="G72" s="78"/>
      <c r="H72" s="78"/>
      <c r="I72" s="61"/>
      <c r="J72" s="59"/>
      <c r="K72" s="59" t="e">
        <f>DATE(YEAR(J72),MONTH(J72)+VLOOKUP($F72,'Membership Level'!$A$3:$B$10,2,FALSE),DAY(J72))</f>
        <v>#N/A</v>
      </c>
      <c r="L72" s="58">
        <v>3</v>
      </c>
      <c r="M72" s="190">
        <v>0</v>
      </c>
      <c r="N72" s="60" t="e">
        <f t="shared" si="0"/>
        <v>#N/A</v>
      </c>
      <c r="O72" s="58" t="e">
        <f t="shared" ca="1" si="1"/>
        <v>#N/A</v>
      </c>
      <c r="P72" s="60" t="e">
        <f>H72/G72*VLOOKUP(F72,'Membership Level'!$A$3:$C$10,3,FALSE)+J72</f>
        <v>#DIV/0!</v>
      </c>
      <c r="Q72" s="11" t="s">
        <v>64</v>
      </c>
    </row>
    <row r="73" spans="1:17" x14ac:dyDescent="0.35">
      <c r="A73" s="7"/>
      <c r="B73" s="7"/>
      <c r="C73" s="7"/>
      <c r="D73" s="7"/>
      <c r="E73" s="7"/>
      <c r="F73" s="7"/>
      <c r="G73" s="75"/>
      <c r="H73" s="75"/>
      <c r="I73" s="185"/>
      <c r="J73" s="9"/>
      <c r="K73" s="9" t="e">
        <f>DATE(YEAR(J73),MONTH(J73)+VLOOKUP($F73,'Membership Level'!$A$3:$B$10,2,FALSE),DAY(J73))</f>
        <v>#N/A</v>
      </c>
      <c r="L73" s="7">
        <v>3</v>
      </c>
      <c r="M73" s="192">
        <v>0</v>
      </c>
      <c r="N73" s="193" t="e">
        <f t="shared" si="0"/>
        <v>#N/A</v>
      </c>
      <c r="O73" s="7" t="e">
        <f t="shared" ca="1" si="1"/>
        <v>#N/A</v>
      </c>
      <c r="P73" s="193" t="e">
        <f>H73/G73*VLOOKUP(F73,'Membership Level'!$A$3:$C$10,3,FALSE)+J73</f>
        <v>#DIV/0!</v>
      </c>
    </row>
    <row r="74" spans="1:17" x14ac:dyDescent="0.35">
      <c r="A74" s="7"/>
      <c r="B74" s="7"/>
      <c r="C74" s="7"/>
      <c r="D74" s="7"/>
      <c r="E74" s="80"/>
      <c r="F74" s="7"/>
      <c r="G74" s="75"/>
      <c r="H74" s="75"/>
      <c r="I74" s="185"/>
      <c r="J74" s="9"/>
      <c r="K74" s="9" t="e">
        <f>DATE(YEAR(J74),MONTH(J74)+VLOOKUP($F74,'Membership Level'!$A$3:$B$10,2,FALSE),DAY(J74))</f>
        <v>#N/A</v>
      </c>
      <c r="L74" s="7">
        <v>3</v>
      </c>
      <c r="M74" s="192">
        <v>0</v>
      </c>
      <c r="N74" s="193" t="e">
        <f t="shared" ref="N74:N137" si="2">IF($K74&lt;&gt;0,DATE(YEAR($K74),MONTH($K74)-$M74,DAY($K74)-$L74),"")</f>
        <v>#N/A</v>
      </c>
      <c r="O74" s="7" t="e">
        <f t="shared" ref="O74:O137" ca="1" si="3">IF(DAYS360(NOW(), $K74) &gt;= 0, DAYS360(NOW(), $K74), "")</f>
        <v>#N/A</v>
      </c>
      <c r="P74" s="193" t="e">
        <f>H74/G74*VLOOKUP(F74,'Membership Level'!$A$3:$C$10,3,FALSE)+J74</f>
        <v>#DIV/0!</v>
      </c>
    </row>
    <row r="75" spans="1:17" s="11" customFormat="1" x14ac:dyDescent="0.35">
      <c r="A75" s="58"/>
      <c r="B75" s="58"/>
      <c r="C75" s="79"/>
      <c r="D75" s="7"/>
      <c r="E75" s="58"/>
      <c r="F75" s="58"/>
      <c r="G75" s="78"/>
      <c r="H75" s="78"/>
      <c r="I75" s="145"/>
      <c r="J75" s="59"/>
      <c r="K75" s="59" t="e">
        <f>DATE(YEAR(J75),MONTH(J75)+VLOOKUP($F75,'Membership Level'!$A$3:$B$10,2,FALSE),DAY(J75))</f>
        <v>#N/A</v>
      </c>
      <c r="L75" s="58">
        <v>3</v>
      </c>
      <c r="M75" s="190">
        <v>0</v>
      </c>
      <c r="N75" s="60" t="e">
        <f t="shared" si="2"/>
        <v>#N/A</v>
      </c>
      <c r="O75" s="58" t="e">
        <f t="shared" ca="1" si="3"/>
        <v>#N/A</v>
      </c>
      <c r="P75" s="60" t="e">
        <f>H75/G75*VLOOKUP(F75,'Membership Level'!$A$3:$C$10,3,FALSE)+J75</f>
        <v>#DIV/0!</v>
      </c>
      <c r="Q75" s="11" t="s">
        <v>55</v>
      </c>
    </row>
    <row r="76" spans="1:17" x14ac:dyDescent="0.35">
      <c r="A76" s="7"/>
      <c r="B76" s="7"/>
      <c r="C76" s="7"/>
      <c r="D76" s="7"/>
      <c r="E76" s="80"/>
      <c r="F76" s="7"/>
      <c r="G76" s="75"/>
      <c r="H76" s="75"/>
      <c r="I76" s="185"/>
      <c r="J76" s="9"/>
      <c r="K76" s="9" t="e">
        <f>DATE(YEAR(J76),MONTH(J76)+VLOOKUP($F76,'Membership Level'!$A$3:$B$10,2,FALSE),DAY(J76))</f>
        <v>#N/A</v>
      </c>
      <c r="L76" s="7">
        <v>3</v>
      </c>
      <c r="M76" s="192">
        <v>0</v>
      </c>
      <c r="N76" s="193" t="e">
        <f t="shared" si="2"/>
        <v>#N/A</v>
      </c>
      <c r="O76" s="7" t="e">
        <f t="shared" ca="1" si="3"/>
        <v>#N/A</v>
      </c>
      <c r="P76" s="193" t="e">
        <f>H76/G76*VLOOKUP(F76,'Membership Level'!$A$3:$C$10,3,FALSE)+J76</f>
        <v>#DIV/0!</v>
      </c>
      <c r="Q76" t="s">
        <v>63</v>
      </c>
    </row>
    <row r="77" spans="1:17" s="11" customFormat="1" x14ac:dyDescent="0.35">
      <c r="A77" s="58"/>
      <c r="B77" s="58"/>
      <c r="C77" s="81"/>
      <c r="D77" s="58"/>
      <c r="E77" s="81"/>
      <c r="F77" s="58"/>
      <c r="G77" s="78"/>
      <c r="H77" s="78"/>
      <c r="I77" s="61"/>
      <c r="J77" s="59"/>
      <c r="K77" s="59" t="e">
        <f>DATE(YEAR(J77),MONTH(J77)+VLOOKUP($F77,'Membership Level'!$A$3:$B$10,2,FALSE),DAY(J77))</f>
        <v>#N/A</v>
      </c>
      <c r="L77" s="58">
        <v>3</v>
      </c>
      <c r="M77" s="190">
        <v>0</v>
      </c>
      <c r="N77" s="60" t="e">
        <f t="shared" si="2"/>
        <v>#N/A</v>
      </c>
      <c r="O77" s="58" t="e">
        <f t="shared" ca="1" si="3"/>
        <v>#N/A</v>
      </c>
      <c r="P77" s="60" t="e">
        <f>H77/G77*VLOOKUP(F77,'Membership Level'!$A$3:$C$10,3,FALSE)+J77</f>
        <v>#DIV/0!</v>
      </c>
    </row>
    <row r="78" spans="1:17" x14ac:dyDescent="0.35">
      <c r="A78" s="7"/>
      <c r="B78" s="7"/>
      <c r="C78" s="7"/>
      <c r="D78" s="7"/>
      <c r="E78" s="7"/>
      <c r="F78" s="7"/>
      <c r="G78" s="75"/>
      <c r="H78" s="75"/>
      <c r="I78" s="185"/>
      <c r="J78" s="9"/>
      <c r="K78" s="9" t="e">
        <f>DATE(YEAR(J78),MONTH(J78)+VLOOKUP($F78,'Membership Level'!$A$3:$B$10,2,FALSE),DAY(J78))</f>
        <v>#N/A</v>
      </c>
      <c r="L78" s="7">
        <v>3</v>
      </c>
      <c r="M78" s="192">
        <v>0</v>
      </c>
      <c r="N78" s="193" t="e">
        <f t="shared" si="2"/>
        <v>#N/A</v>
      </c>
      <c r="O78" s="7" t="e">
        <f t="shared" ca="1" si="3"/>
        <v>#N/A</v>
      </c>
      <c r="P78" s="193" t="e">
        <f>H78/G78*VLOOKUP(F78,'Membership Level'!$A$3:$C$10,3,FALSE)+J78</f>
        <v>#DIV/0!</v>
      </c>
    </row>
    <row r="79" spans="1:17" x14ac:dyDescent="0.35">
      <c r="A79" s="7"/>
      <c r="B79" s="7"/>
      <c r="C79" s="7"/>
      <c r="D79" s="7"/>
      <c r="E79" s="7"/>
      <c r="F79" s="7"/>
      <c r="G79" s="75"/>
      <c r="H79" s="75"/>
      <c r="I79" s="185"/>
      <c r="J79" s="9"/>
      <c r="K79" s="9" t="e">
        <f>DATE(YEAR(J79),MONTH(J79)+VLOOKUP($F79,'Membership Level'!$A$3:$B$10,2,FALSE),DAY(J79))</f>
        <v>#N/A</v>
      </c>
      <c r="L79" s="7">
        <v>3</v>
      </c>
      <c r="M79" s="192">
        <v>0</v>
      </c>
      <c r="N79" s="193" t="e">
        <f t="shared" si="2"/>
        <v>#N/A</v>
      </c>
      <c r="O79" s="7" t="e">
        <f t="shared" ca="1" si="3"/>
        <v>#N/A</v>
      </c>
      <c r="P79" s="193" t="e">
        <f>H79/G79*VLOOKUP(F79,'Membership Level'!$A$3:$C$10,3,FALSE)+J79</f>
        <v>#DIV/0!</v>
      </c>
    </row>
    <row r="80" spans="1:17" x14ac:dyDescent="0.35">
      <c r="A80" s="7"/>
      <c r="B80" s="7"/>
      <c r="C80" s="7"/>
      <c r="D80" s="7"/>
      <c r="E80" s="7"/>
      <c r="F80" s="7"/>
      <c r="G80" s="75"/>
      <c r="H80" s="75"/>
      <c r="I80" s="185"/>
      <c r="J80" s="9"/>
      <c r="K80" s="9" t="e">
        <f>DATE(YEAR(J80),MONTH(J80)+VLOOKUP($F80,'Membership Level'!$A$3:$B$10,2,FALSE),DAY(J80))</f>
        <v>#N/A</v>
      </c>
      <c r="L80" s="7">
        <v>3</v>
      </c>
      <c r="M80" s="192">
        <v>0</v>
      </c>
      <c r="N80" s="193" t="e">
        <f t="shared" si="2"/>
        <v>#N/A</v>
      </c>
      <c r="O80" s="7" t="e">
        <f t="shared" ca="1" si="3"/>
        <v>#N/A</v>
      </c>
      <c r="P80" s="193" t="e">
        <f>H80/G80*VLOOKUP(F80,'Membership Level'!$A$3:$C$10,3,FALSE)+J80</f>
        <v>#DIV/0!</v>
      </c>
    </row>
    <row r="81" spans="1:17" x14ac:dyDescent="0.35">
      <c r="A81" s="7"/>
      <c r="B81" s="7"/>
      <c r="C81" s="7"/>
      <c r="D81" s="7"/>
      <c r="E81" s="80"/>
      <c r="F81" s="7"/>
      <c r="G81" s="75"/>
      <c r="H81" s="75"/>
      <c r="I81" s="185"/>
      <c r="J81" s="9"/>
      <c r="K81" s="9" t="e">
        <f>DATE(YEAR(J81),MONTH(J81)+VLOOKUP($F81,'Membership Level'!$A$3:$B$10,2,FALSE),DAY(J81))</f>
        <v>#N/A</v>
      </c>
      <c r="L81" s="7">
        <v>3</v>
      </c>
      <c r="M81" s="192">
        <v>0</v>
      </c>
      <c r="N81" s="193" t="e">
        <f t="shared" si="2"/>
        <v>#N/A</v>
      </c>
      <c r="O81" s="7" t="e">
        <f t="shared" ca="1" si="3"/>
        <v>#N/A</v>
      </c>
      <c r="P81" s="193" t="e">
        <f>H81/G81*VLOOKUP(F81,'Membership Level'!$A$3:$C$10,3,FALSE)+J81</f>
        <v>#DIV/0!</v>
      </c>
    </row>
    <row r="82" spans="1:17" x14ac:dyDescent="0.35">
      <c r="A82" s="7"/>
      <c r="B82" s="7"/>
      <c r="C82" s="7"/>
      <c r="D82" s="7"/>
      <c r="E82" s="80"/>
      <c r="F82" s="7"/>
      <c r="G82" s="75"/>
      <c r="H82" s="75"/>
      <c r="I82" s="185"/>
      <c r="J82" s="9"/>
      <c r="K82" s="9" t="e">
        <f>DATE(YEAR(J82),MONTH(J82)+VLOOKUP($F82,'Membership Level'!$A$3:$B$10,2,FALSE),DAY(J82))</f>
        <v>#N/A</v>
      </c>
      <c r="L82" s="7">
        <v>3</v>
      </c>
      <c r="M82" s="192">
        <v>0</v>
      </c>
      <c r="N82" s="193" t="e">
        <f t="shared" si="2"/>
        <v>#N/A</v>
      </c>
      <c r="O82" s="7" t="e">
        <f t="shared" ca="1" si="3"/>
        <v>#N/A</v>
      </c>
      <c r="P82" s="193" t="e">
        <f>H82/G82*VLOOKUP(F82,'Membership Level'!$A$3:$C$10,3,FALSE)+J82</f>
        <v>#DIV/0!</v>
      </c>
      <c r="Q82" t="s">
        <v>55</v>
      </c>
    </row>
    <row r="83" spans="1:17" x14ac:dyDescent="0.35">
      <c r="A83" s="7"/>
      <c r="B83" s="7"/>
      <c r="C83" s="7"/>
      <c r="D83" s="7"/>
      <c r="E83" s="80"/>
      <c r="F83" s="7"/>
      <c r="G83" s="75"/>
      <c r="H83" s="75"/>
      <c r="I83" s="185"/>
      <c r="J83" s="9"/>
      <c r="K83" s="9" t="e">
        <f>DATE(YEAR(J83),MONTH(J83)+VLOOKUP($F83,'Membership Level'!$A$3:$B$10,2,FALSE),DAY(J83))</f>
        <v>#N/A</v>
      </c>
      <c r="L83" s="7">
        <v>3</v>
      </c>
      <c r="M83" s="192">
        <v>0</v>
      </c>
      <c r="N83" s="193" t="e">
        <f t="shared" si="2"/>
        <v>#N/A</v>
      </c>
      <c r="O83" s="7" t="e">
        <f t="shared" ca="1" si="3"/>
        <v>#N/A</v>
      </c>
      <c r="P83" s="193" t="e">
        <f>H83/G83*VLOOKUP(F83,'Membership Level'!$A$3:$C$10,3,FALSE)+J83</f>
        <v>#DIV/0!</v>
      </c>
      <c r="Q83" t="s">
        <v>76</v>
      </c>
    </row>
    <row r="84" spans="1:17" x14ac:dyDescent="0.35">
      <c r="A84" s="7"/>
      <c r="B84" s="7"/>
      <c r="C84" s="7"/>
      <c r="D84" s="7"/>
      <c r="E84" s="80"/>
      <c r="F84" s="7"/>
      <c r="G84" s="75"/>
      <c r="H84" s="75"/>
      <c r="I84" s="185"/>
      <c r="J84" s="9"/>
      <c r="K84" s="9" t="e">
        <f>DATE(YEAR(J84),MONTH(J84)+VLOOKUP($F84,'Membership Level'!$A$3:$B$10,2,FALSE),DAY(J84))</f>
        <v>#N/A</v>
      </c>
      <c r="L84" s="7">
        <v>3</v>
      </c>
      <c r="M84" s="192">
        <v>0</v>
      </c>
      <c r="N84" s="193" t="e">
        <f t="shared" si="2"/>
        <v>#N/A</v>
      </c>
      <c r="O84" s="7" t="e">
        <f t="shared" ca="1" si="3"/>
        <v>#N/A</v>
      </c>
      <c r="P84" s="193" t="e">
        <f>H84/G84*VLOOKUP(F84,'Membership Level'!$A$3:$C$10,3,FALSE)+J84</f>
        <v>#DIV/0!</v>
      </c>
    </row>
    <row r="85" spans="1:17" s="11" customFormat="1" x14ac:dyDescent="0.35">
      <c r="A85" s="58"/>
      <c r="B85" s="58"/>
      <c r="C85" s="58"/>
      <c r="D85" s="58"/>
      <c r="E85" s="81"/>
      <c r="F85" s="58"/>
      <c r="G85" s="78"/>
      <c r="H85" s="78"/>
      <c r="I85" s="61"/>
      <c r="J85" s="59"/>
      <c r="K85" s="59" t="e">
        <f>DATE(YEAR(J85),MONTH(J85)+VLOOKUP($F85,'Membership Level'!$A$3:$B$10,2,FALSE),DAY(J85))</f>
        <v>#N/A</v>
      </c>
      <c r="L85" s="58">
        <v>3</v>
      </c>
      <c r="M85" s="190">
        <v>0</v>
      </c>
      <c r="N85" s="60" t="e">
        <f t="shared" si="2"/>
        <v>#N/A</v>
      </c>
      <c r="O85" s="58" t="e">
        <f t="shared" ca="1" si="3"/>
        <v>#N/A</v>
      </c>
      <c r="P85" s="60" t="e">
        <f>H85/G85*VLOOKUP(F85,'Membership Level'!$A$3:$C$10,3,FALSE)+J85</f>
        <v>#DIV/0!</v>
      </c>
    </row>
    <row r="86" spans="1:17" x14ac:dyDescent="0.35">
      <c r="A86" s="7"/>
      <c r="B86" s="7"/>
      <c r="C86" s="7"/>
      <c r="D86" s="7"/>
      <c r="E86" s="210"/>
      <c r="F86" s="7"/>
      <c r="G86" s="75"/>
      <c r="H86" s="75"/>
      <c r="I86" s="185"/>
      <c r="J86" s="9"/>
      <c r="K86" s="9" t="e">
        <f>DATE(YEAR(J86),MONTH(J86)+VLOOKUP($F86,'Membership Level'!$A$3:$B$10,2,FALSE),DAY(J86))</f>
        <v>#N/A</v>
      </c>
      <c r="L86" s="7">
        <v>3</v>
      </c>
      <c r="M86" s="192">
        <v>0</v>
      </c>
      <c r="N86" s="193" t="e">
        <f t="shared" si="2"/>
        <v>#N/A</v>
      </c>
      <c r="O86" s="7" t="e">
        <f t="shared" ca="1" si="3"/>
        <v>#N/A</v>
      </c>
      <c r="P86" s="193" t="e">
        <f>H86/G86*VLOOKUP(F86,'Membership Level'!$A$3:$C$10,3,FALSE)+J86</f>
        <v>#DIV/0!</v>
      </c>
    </row>
    <row r="87" spans="1:17" x14ac:dyDescent="0.35">
      <c r="A87" s="211"/>
      <c r="B87" s="7"/>
      <c r="C87" s="7"/>
      <c r="D87" s="7"/>
      <c r="E87" s="7"/>
      <c r="F87" s="7"/>
      <c r="G87" s="75"/>
      <c r="H87" s="75"/>
      <c r="I87" s="185"/>
      <c r="J87" s="9"/>
      <c r="K87" s="9" t="e">
        <f>DATE(YEAR(J87),MONTH(J87)+VLOOKUP($F87,'Membership Level'!$A$3:$B$10,2,FALSE),DAY(J87))</f>
        <v>#N/A</v>
      </c>
      <c r="L87" s="7">
        <v>3</v>
      </c>
      <c r="M87" s="192">
        <v>0</v>
      </c>
      <c r="N87" s="193" t="e">
        <f t="shared" si="2"/>
        <v>#N/A</v>
      </c>
      <c r="O87" s="7" t="e">
        <f t="shared" ca="1" si="3"/>
        <v>#N/A</v>
      </c>
      <c r="P87" s="193" t="e">
        <f>H87/G87*VLOOKUP(F87,'Membership Level'!$A$3:$C$10,3,FALSE)+J87</f>
        <v>#DIV/0!</v>
      </c>
      <c r="Q87" t="s">
        <v>59</v>
      </c>
    </row>
    <row r="88" spans="1:17" x14ac:dyDescent="0.35">
      <c r="A88" s="7"/>
      <c r="B88" s="7"/>
      <c r="C88" s="7"/>
      <c r="D88" s="7"/>
      <c r="E88" s="7"/>
      <c r="F88" s="7"/>
      <c r="G88" s="75"/>
      <c r="H88" s="75"/>
      <c r="I88" s="185"/>
      <c r="J88" s="9"/>
      <c r="K88" s="9" t="e">
        <f>DATE(YEAR(J88),MONTH(J88)+VLOOKUP($F88,'Membership Level'!$A$3:$B$10,2,FALSE),DAY(J88))</f>
        <v>#N/A</v>
      </c>
      <c r="L88" s="7">
        <v>3</v>
      </c>
      <c r="M88" s="192">
        <v>0</v>
      </c>
      <c r="N88" s="193" t="e">
        <f t="shared" si="2"/>
        <v>#N/A</v>
      </c>
      <c r="O88" s="7" t="e">
        <f t="shared" ca="1" si="3"/>
        <v>#N/A</v>
      </c>
      <c r="P88" s="193" t="e">
        <f>H88/G88*VLOOKUP(F88,'Membership Level'!$A$3:$C$10,3,FALSE)+J88</f>
        <v>#DIV/0!</v>
      </c>
    </row>
    <row r="89" spans="1:17" x14ac:dyDescent="0.35">
      <c r="A89" s="7"/>
      <c r="B89" s="7"/>
      <c r="C89" s="7"/>
      <c r="D89" s="7"/>
      <c r="E89" s="7"/>
      <c r="F89" s="7"/>
      <c r="G89" s="75"/>
      <c r="H89" s="75"/>
      <c r="I89" s="185"/>
      <c r="J89" s="9"/>
      <c r="K89" s="9" t="e">
        <f>DATE(YEAR(J89),MONTH(J89)+VLOOKUP($F89,'Membership Level'!$A$3:$B$10,2,FALSE),DAY(J89))</f>
        <v>#N/A</v>
      </c>
      <c r="L89" s="7">
        <v>3</v>
      </c>
      <c r="M89" s="192">
        <v>0</v>
      </c>
      <c r="N89" s="193" t="e">
        <f t="shared" si="2"/>
        <v>#N/A</v>
      </c>
      <c r="O89" s="7" t="e">
        <f t="shared" ca="1" si="3"/>
        <v>#N/A</v>
      </c>
      <c r="P89" s="193" t="e">
        <f>H89/G89*VLOOKUP(F89,'Membership Level'!$A$3:$C$10,3,FALSE)+J89</f>
        <v>#DIV/0!</v>
      </c>
    </row>
    <row r="90" spans="1:17" x14ac:dyDescent="0.35">
      <c r="A90" s="7"/>
      <c r="B90" s="7"/>
      <c r="C90" s="7"/>
      <c r="D90" s="7"/>
      <c r="E90" s="80"/>
      <c r="F90" s="7"/>
      <c r="G90" s="75"/>
      <c r="H90" s="75"/>
      <c r="I90" s="185"/>
      <c r="J90" s="9"/>
      <c r="K90" s="9" t="e">
        <f>DATE(YEAR(J90),MONTH(J90)+VLOOKUP($F90,'Membership Level'!$A$3:$B$10,2,FALSE),DAY(J90))</f>
        <v>#N/A</v>
      </c>
      <c r="L90" s="7">
        <v>3</v>
      </c>
      <c r="M90" s="192">
        <v>0</v>
      </c>
      <c r="N90" s="193" t="e">
        <f t="shared" si="2"/>
        <v>#N/A</v>
      </c>
      <c r="O90" s="7" t="e">
        <f t="shared" ca="1" si="3"/>
        <v>#N/A</v>
      </c>
      <c r="P90" s="193" t="e">
        <f>H90/G90*VLOOKUP(F90,'Membership Level'!$A$3:$C$10,3,FALSE)+J90</f>
        <v>#DIV/0!</v>
      </c>
      <c r="Q90" t="s">
        <v>57</v>
      </c>
    </row>
    <row r="91" spans="1:17" s="151" customFormat="1" x14ac:dyDescent="0.35">
      <c r="A91" s="166"/>
      <c r="B91" s="166"/>
      <c r="C91" s="166"/>
      <c r="D91" s="167"/>
      <c r="E91" s="168"/>
      <c r="F91" s="166"/>
      <c r="G91" s="169"/>
      <c r="H91" s="169"/>
      <c r="I91" s="188"/>
      <c r="J91" s="170"/>
      <c r="K91" s="170" t="e">
        <f>DATE(YEAR(J91),MONTH(J91)+VLOOKUP($F91,'Membership Level'!$A$3:$B$10,2,FALSE),DAY(J91))</f>
        <v>#N/A</v>
      </c>
      <c r="L91" s="166">
        <v>3</v>
      </c>
      <c r="M91" s="212">
        <v>0</v>
      </c>
      <c r="N91" s="170" t="e">
        <f t="shared" si="2"/>
        <v>#N/A</v>
      </c>
      <c r="O91" s="166" t="e">
        <f t="shared" ca="1" si="3"/>
        <v>#N/A</v>
      </c>
      <c r="P91" s="170" t="e">
        <f>H91/G91*VLOOKUP(F91,'Membership Level'!$A$3:$C$10,3,FALSE)+J91</f>
        <v>#DIV/0!</v>
      </c>
    </row>
    <row r="92" spans="1:17" x14ac:dyDescent="0.35">
      <c r="A92" s="7"/>
      <c r="B92" s="7"/>
      <c r="C92" s="7"/>
      <c r="D92" s="7"/>
      <c r="E92" s="9"/>
      <c r="F92" s="7"/>
      <c r="G92" s="75"/>
      <c r="H92" s="75"/>
      <c r="I92" s="185"/>
      <c r="J92" s="9"/>
      <c r="K92" s="9" t="e">
        <f>DATE(YEAR(J92),MONTH(J92)+VLOOKUP($F92,'Membership Level'!$A$3:$B$10,2,FALSE),DAY(J92))</f>
        <v>#N/A</v>
      </c>
      <c r="L92" s="7">
        <v>3</v>
      </c>
      <c r="M92" s="192">
        <v>0</v>
      </c>
      <c r="N92" s="193" t="e">
        <f t="shared" si="2"/>
        <v>#N/A</v>
      </c>
      <c r="O92" s="7" t="e">
        <f t="shared" ca="1" si="3"/>
        <v>#N/A</v>
      </c>
      <c r="P92" s="193" t="e">
        <f>H92/G92*VLOOKUP(F92,'Membership Level'!$A$3:$C$10,3,FALSE)+J92</f>
        <v>#DIV/0!</v>
      </c>
    </row>
    <row r="93" spans="1:17" s="11" customFormat="1" x14ac:dyDescent="0.35">
      <c r="A93" s="58"/>
      <c r="B93" s="58"/>
      <c r="C93" s="58"/>
      <c r="D93" s="58"/>
      <c r="E93" s="81"/>
      <c r="F93" s="58"/>
      <c r="G93" s="78"/>
      <c r="H93" s="78"/>
      <c r="I93" s="145"/>
      <c r="J93" s="59"/>
      <c r="K93" s="59" t="e">
        <f>DATE(YEAR(J93),MONTH(J93)+VLOOKUP($F93,'Membership Level'!$A$3:$B$10,2,FALSE),DAY(J93))</f>
        <v>#N/A</v>
      </c>
      <c r="L93" s="58">
        <v>3</v>
      </c>
      <c r="M93" s="190">
        <v>0</v>
      </c>
      <c r="N93" s="60" t="e">
        <f t="shared" si="2"/>
        <v>#N/A</v>
      </c>
      <c r="O93" s="58" t="e">
        <f t="shared" ca="1" si="3"/>
        <v>#N/A</v>
      </c>
      <c r="P93" s="60" t="e">
        <f>H93/G93*VLOOKUP(F93,'Membership Level'!$A$3:$C$10,3,FALSE)+J93</f>
        <v>#DIV/0!</v>
      </c>
    </row>
    <row r="94" spans="1:17" x14ac:dyDescent="0.35">
      <c r="A94" s="7"/>
      <c r="B94" s="7"/>
      <c r="C94" s="7"/>
      <c r="D94" s="7"/>
      <c r="E94" s="80"/>
      <c r="F94" s="7"/>
      <c r="G94" s="75"/>
      <c r="H94" s="75"/>
      <c r="I94" s="185"/>
      <c r="J94" s="9"/>
      <c r="K94" s="9" t="e">
        <f>DATE(YEAR(J94),MONTH(J94)+VLOOKUP($F94,'Membership Level'!$A$3:$B$10,2,FALSE),DAY(J94))</f>
        <v>#N/A</v>
      </c>
      <c r="L94" s="7">
        <v>3</v>
      </c>
      <c r="M94" s="192">
        <v>0</v>
      </c>
      <c r="N94" s="193" t="e">
        <f t="shared" si="2"/>
        <v>#N/A</v>
      </c>
      <c r="O94" s="7" t="e">
        <f t="shared" ca="1" si="3"/>
        <v>#N/A</v>
      </c>
      <c r="P94" s="193" t="e">
        <f>H94/G94*VLOOKUP(F94,'Membership Level'!$A$3:$C$10,3,FALSE)+J94</f>
        <v>#DIV/0!</v>
      </c>
    </row>
    <row r="95" spans="1:17" s="11" customFormat="1" x14ac:dyDescent="0.35">
      <c r="A95" s="58"/>
      <c r="B95" s="58"/>
      <c r="C95" s="58"/>
      <c r="D95" s="58"/>
      <c r="E95" s="81"/>
      <c r="F95" s="58"/>
      <c r="G95" s="78"/>
      <c r="H95" s="78"/>
      <c r="I95" s="61"/>
      <c r="J95" s="59"/>
      <c r="K95" s="59" t="e">
        <f>DATE(YEAR(J95),MONTH(J95)+VLOOKUP($F95,'Membership Level'!$A$3:$B$10,2,FALSE),DAY(J95))</f>
        <v>#N/A</v>
      </c>
      <c r="L95" s="58">
        <v>3</v>
      </c>
      <c r="M95" s="190">
        <v>0</v>
      </c>
      <c r="N95" s="60" t="e">
        <f t="shared" si="2"/>
        <v>#N/A</v>
      </c>
      <c r="O95" s="58" t="e">
        <f t="shared" ca="1" si="3"/>
        <v>#N/A</v>
      </c>
      <c r="P95" s="60" t="e">
        <f>H95/G95*VLOOKUP(F95,'Membership Level'!$A$3:$C$10,3,FALSE)+J95</f>
        <v>#DIV/0!</v>
      </c>
      <c r="Q95" s="11" t="s">
        <v>52</v>
      </c>
    </row>
    <row r="96" spans="1:17" s="11" customFormat="1" x14ac:dyDescent="0.35">
      <c r="A96" s="58"/>
      <c r="B96" s="58"/>
      <c r="C96" s="58"/>
      <c r="D96" s="58"/>
      <c r="E96" s="81"/>
      <c r="F96" s="58"/>
      <c r="G96" s="78"/>
      <c r="H96" s="78"/>
      <c r="I96" s="61"/>
      <c r="J96" s="59"/>
      <c r="K96" s="59" t="e">
        <f>DATE(YEAR(J96),MONTH(J96)+VLOOKUP($F96,'Membership Level'!$A$3:$B$10,2,FALSE),DAY(J96))</f>
        <v>#N/A</v>
      </c>
      <c r="L96" s="58">
        <v>3</v>
      </c>
      <c r="M96" s="190">
        <v>0</v>
      </c>
      <c r="N96" s="60" t="e">
        <f t="shared" si="2"/>
        <v>#N/A</v>
      </c>
      <c r="O96" s="58" t="e">
        <f t="shared" ca="1" si="3"/>
        <v>#N/A</v>
      </c>
      <c r="P96" s="60" t="e">
        <f>H96/G96*VLOOKUP(F96,'Membership Level'!$A$3:$C$10,3,FALSE)+J96</f>
        <v>#DIV/0!</v>
      </c>
    </row>
    <row r="97" spans="1:18" x14ac:dyDescent="0.35">
      <c r="A97" s="7"/>
      <c r="B97" s="7"/>
      <c r="C97" s="80"/>
      <c r="D97" s="7"/>
      <c r="E97" s="80"/>
      <c r="F97" s="7"/>
      <c r="G97" s="75"/>
      <c r="H97" s="75"/>
      <c r="I97" s="185"/>
      <c r="J97" s="9"/>
      <c r="K97" s="9" t="e">
        <f>DATE(YEAR(J97),MONTH(J97)+VLOOKUP($F97,'Membership Level'!$A$3:$B$10,2,FALSE),DAY(J97))</f>
        <v>#N/A</v>
      </c>
      <c r="L97" s="7">
        <v>3</v>
      </c>
      <c r="M97" s="192">
        <v>0</v>
      </c>
      <c r="N97" s="193" t="e">
        <f t="shared" si="2"/>
        <v>#N/A</v>
      </c>
      <c r="O97" s="7" t="e">
        <f t="shared" ca="1" si="3"/>
        <v>#N/A</v>
      </c>
      <c r="P97" s="193" t="e">
        <f>H97/G97*VLOOKUP(F97,'Membership Level'!$A$3:$C$10,3,FALSE)+J97</f>
        <v>#DIV/0!</v>
      </c>
    </row>
    <row r="98" spans="1:18" x14ac:dyDescent="0.35">
      <c r="A98" s="7"/>
      <c r="B98" s="7"/>
      <c r="C98" s="7"/>
      <c r="D98" s="7"/>
      <c r="E98" s="7"/>
      <c r="F98" s="7"/>
      <c r="G98" s="75"/>
      <c r="H98" s="75"/>
      <c r="I98" s="185"/>
      <c r="J98" s="9"/>
      <c r="K98" s="9" t="e">
        <f>DATE(YEAR(J98),MONTH(J98)+VLOOKUP($F98,'Membership Level'!$A$3:$B$10,2,FALSE),DAY(J98))</f>
        <v>#N/A</v>
      </c>
      <c r="L98" s="7">
        <v>3</v>
      </c>
      <c r="M98" s="192">
        <v>0</v>
      </c>
      <c r="N98" s="193" t="e">
        <f t="shared" si="2"/>
        <v>#N/A</v>
      </c>
      <c r="O98" s="7" t="e">
        <f t="shared" ca="1" si="3"/>
        <v>#N/A</v>
      </c>
      <c r="P98" s="193" t="e">
        <f>H98/G98*VLOOKUP(F98,'Membership Level'!$A$3:$C$10,3,FALSE)+J98</f>
        <v>#DIV/0!</v>
      </c>
    </row>
    <row r="99" spans="1:18" x14ac:dyDescent="0.35">
      <c r="A99" s="7"/>
      <c r="B99" s="7"/>
      <c r="C99" s="7"/>
      <c r="D99" s="7"/>
      <c r="E99" s="80"/>
      <c r="F99" s="7"/>
      <c r="G99" s="75"/>
      <c r="H99" s="75"/>
      <c r="I99" s="185"/>
      <c r="J99" s="9"/>
      <c r="K99" s="9" t="e">
        <f>DATE(YEAR(J99),MONTH(J99)+VLOOKUP($F99,'Membership Level'!$A$3:$B$10,2,FALSE),DAY(J99))</f>
        <v>#N/A</v>
      </c>
      <c r="L99" s="7">
        <v>3</v>
      </c>
      <c r="M99" s="192">
        <v>0</v>
      </c>
      <c r="N99" s="193" t="e">
        <f t="shared" si="2"/>
        <v>#N/A</v>
      </c>
      <c r="O99" s="7" t="e">
        <f t="shared" ca="1" si="3"/>
        <v>#N/A</v>
      </c>
      <c r="P99" s="193" t="e">
        <f>H99/G99*VLOOKUP(F99,'Membership Level'!$A$3:$C$10,3,FALSE)+J99</f>
        <v>#DIV/0!</v>
      </c>
      <c r="Q99" t="s">
        <v>52</v>
      </c>
    </row>
    <row r="100" spans="1:18" x14ac:dyDescent="0.35">
      <c r="A100" s="7"/>
      <c r="B100" s="7"/>
      <c r="C100" s="80"/>
      <c r="D100" s="7"/>
      <c r="E100" s="80"/>
      <c r="F100" s="7"/>
      <c r="G100" s="75"/>
      <c r="H100" s="75"/>
      <c r="I100" s="185"/>
      <c r="J100" s="9"/>
      <c r="K100" s="9" t="e">
        <f>DATE(YEAR(J100),MONTH(J100)+VLOOKUP($F100,'Membership Level'!$A$3:$B$10,2,FALSE),DAY(J100))</f>
        <v>#N/A</v>
      </c>
      <c r="L100" s="7">
        <v>3</v>
      </c>
      <c r="M100" s="192">
        <v>0</v>
      </c>
      <c r="N100" s="193" t="e">
        <f t="shared" si="2"/>
        <v>#N/A</v>
      </c>
      <c r="O100" s="7" t="e">
        <f t="shared" ca="1" si="3"/>
        <v>#N/A</v>
      </c>
      <c r="P100" s="193" t="e">
        <f>H100/G100*VLOOKUP(F100,'Membership Level'!$A$3:$C$10,3,FALSE)+J100</f>
        <v>#DIV/0!</v>
      </c>
    </row>
    <row r="101" spans="1:18" x14ac:dyDescent="0.35">
      <c r="A101" s="7"/>
      <c r="B101" s="7"/>
      <c r="C101" s="80"/>
      <c r="D101" s="7"/>
      <c r="E101" s="80"/>
      <c r="F101" s="7"/>
      <c r="G101" s="75"/>
      <c r="H101" s="75"/>
      <c r="I101" s="185"/>
      <c r="J101" s="9"/>
      <c r="K101" s="9" t="e">
        <f>DATE(YEAR(J101),MONTH(J101)+VLOOKUP($F101,'Membership Level'!$A$3:$B$10,2,FALSE),DAY(J101))</f>
        <v>#N/A</v>
      </c>
      <c r="L101" s="7">
        <v>3</v>
      </c>
      <c r="M101" s="192">
        <v>0</v>
      </c>
      <c r="N101" s="193" t="e">
        <f t="shared" si="2"/>
        <v>#N/A</v>
      </c>
      <c r="O101" s="7" t="e">
        <f t="shared" ca="1" si="3"/>
        <v>#N/A</v>
      </c>
      <c r="P101" s="193" t="e">
        <f>H101/G101*VLOOKUP(F101,'Membership Level'!$A$3:$C$10,3,FALSE)+J101</f>
        <v>#DIV/0!</v>
      </c>
      <c r="Q101" t="s">
        <v>56</v>
      </c>
    </row>
    <row r="102" spans="1:18" x14ac:dyDescent="0.35">
      <c r="A102" s="7"/>
      <c r="B102" s="7"/>
      <c r="C102" s="7"/>
      <c r="D102" s="7"/>
      <c r="E102" s="80"/>
      <c r="F102" s="7"/>
      <c r="G102" s="75"/>
      <c r="H102" s="75"/>
      <c r="I102" s="185"/>
      <c r="J102" s="9"/>
      <c r="K102" s="9" t="e">
        <f>DATE(YEAR(J102),MONTH(J102)+VLOOKUP($F102,'Membership Level'!$A$3:$B$10,2,FALSE),DAY(J102))</f>
        <v>#N/A</v>
      </c>
      <c r="L102" s="7">
        <v>3</v>
      </c>
      <c r="M102" s="192">
        <v>0</v>
      </c>
      <c r="N102" s="193" t="e">
        <f t="shared" si="2"/>
        <v>#N/A</v>
      </c>
      <c r="O102" s="7" t="e">
        <f t="shared" ca="1" si="3"/>
        <v>#N/A</v>
      </c>
      <c r="P102" s="193" t="e">
        <f>H102/G102*VLOOKUP(F102,'Membership Level'!$A$3:$C$10,3,FALSE)+J102</f>
        <v>#DIV/0!</v>
      </c>
    </row>
    <row r="103" spans="1:18" s="11" customFormat="1" x14ac:dyDescent="0.35">
      <c r="A103" s="58"/>
      <c r="B103" s="58"/>
      <c r="C103" s="58"/>
      <c r="D103" s="58"/>
      <c r="E103" s="81"/>
      <c r="F103" s="58"/>
      <c r="G103" s="78"/>
      <c r="H103" s="78"/>
      <c r="I103" s="61"/>
      <c r="J103" s="59"/>
      <c r="K103" s="59" t="e">
        <f>DATE(YEAR(J103),MONTH(J103)+VLOOKUP($F103,'Membership Level'!$A$3:$B$10,2,FALSE),DAY(J103))</f>
        <v>#N/A</v>
      </c>
      <c r="L103" s="58">
        <v>3</v>
      </c>
      <c r="M103" s="190">
        <v>0</v>
      </c>
      <c r="N103" s="60" t="e">
        <f t="shared" si="2"/>
        <v>#N/A</v>
      </c>
      <c r="O103" s="58" t="e">
        <f t="shared" ca="1" si="3"/>
        <v>#N/A</v>
      </c>
      <c r="P103" s="60" t="e">
        <f>H103/G103*VLOOKUP(F103,'Membership Level'!$A$3:$C$10,3,FALSE)+J103</f>
        <v>#DIV/0!</v>
      </c>
      <c r="Q103" s="11" t="s">
        <v>61</v>
      </c>
    </row>
    <row r="104" spans="1:18" s="10" customFormat="1" x14ac:dyDescent="0.35">
      <c r="A104" s="79"/>
      <c r="B104" s="79"/>
      <c r="C104" s="79"/>
      <c r="D104" s="62"/>
      <c r="E104" s="97"/>
      <c r="F104" s="79"/>
      <c r="G104" s="98"/>
      <c r="H104" s="98"/>
      <c r="I104" s="99"/>
      <c r="J104" s="100"/>
      <c r="K104" s="100" t="e">
        <f>DATE(YEAR(J104),MONTH(J104)+VLOOKUP($F104,'Membership Level'!$A$3:$B$10,2,FALSE),DAY(J104))</f>
        <v>#N/A</v>
      </c>
      <c r="L104" s="79">
        <v>3</v>
      </c>
      <c r="M104" s="197">
        <v>0</v>
      </c>
      <c r="N104" s="101" t="e">
        <f t="shared" si="2"/>
        <v>#N/A</v>
      </c>
      <c r="O104" s="79" t="e">
        <f t="shared" ca="1" si="3"/>
        <v>#N/A</v>
      </c>
      <c r="P104" s="101" t="e">
        <f>H104/G104*VLOOKUP(F104,'Membership Level'!$A$3:$C$10,3,FALSE)+J104</f>
        <v>#DIV/0!</v>
      </c>
      <c r="Q104" s="10" t="s">
        <v>52</v>
      </c>
    </row>
    <row r="105" spans="1:18" x14ac:dyDescent="0.35">
      <c r="A105" s="7"/>
      <c r="B105" s="7"/>
      <c r="C105" s="7"/>
      <c r="D105" s="7"/>
      <c r="E105" s="80"/>
      <c r="F105" s="7"/>
      <c r="G105" s="75"/>
      <c r="H105" s="75"/>
      <c r="I105" s="185"/>
      <c r="J105" s="9"/>
      <c r="K105" s="9" t="e">
        <f>DATE(YEAR(J105),MONTH(J105)+VLOOKUP($F105,'Membership Level'!$A$3:$B$10,2,FALSE),DAY(J105))</f>
        <v>#N/A</v>
      </c>
      <c r="L105" s="7">
        <v>3</v>
      </c>
      <c r="M105" s="192">
        <v>0</v>
      </c>
      <c r="N105" s="193" t="e">
        <f t="shared" si="2"/>
        <v>#N/A</v>
      </c>
      <c r="O105" s="7" t="e">
        <f t="shared" ca="1" si="3"/>
        <v>#N/A</v>
      </c>
      <c r="P105" s="193" t="e">
        <f>H105/G105*VLOOKUP(F105,'Membership Level'!$A$3:$C$10,3,FALSE)+J105</f>
        <v>#DIV/0!</v>
      </c>
    </row>
    <row r="106" spans="1:18" s="11" customFormat="1" x14ac:dyDescent="0.35">
      <c r="A106" s="58"/>
      <c r="B106" s="58"/>
      <c r="C106" s="58"/>
      <c r="D106" s="58"/>
      <c r="E106" s="81"/>
      <c r="F106" s="58"/>
      <c r="G106" s="78"/>
      <c r="H106" s="78"/>
      <c r="I106" s="78"/>
      <c r="J106" s="59"/>
      <c r="K106" s="59" t="e">
        <f>DATE(YEAR(J106),MONTH(J106)+VLOOKUP($F106,'Membership Level'!$A$3:$B$10,2,FALSE),DAY(J106))</f>
        <v>#N/A</v>
      </c>
      <c r="L106" s="58">
        <v>3</v>
      </c>
      <c r="M106" s="190">
        <v>0</v>
      </c>
      <c r="N106" s="60" t="e">
        <f t="shared" si="2"/>
        <v>#N/A</v>
      </c>
      <c r="O106" s="58" t="e">
        <f t="shared" ca="1" si="3"/>
        <v>#N/A</v>
      </c>
      <c r="P106" s="60" t="e">
        <f>H106/G106*VLOOKUP(F106,'Membership Level'!$A$3:$C$10,3,FALSE)+J106</f>
        <v>#DIV/0!</v>
      </c>
      <c r="Q106" s="11" t="s">
        <v>52</v>
      </c>
    </row>
    <row r="107" spans="1:18" s="11" customFormat="1" x14ac:dyDescent="0.35">
      <c r="A107" s="58"/>
      <c r="B107" s="58"/>
      <c r="C107" s="58"/>
      <c r="D107" s="58"/>
      <c r="E107" s="59"/>
      <c r="F107" s="58"/>
      <c r="G107" s="78"/>
      <c r="H107" s="78"/>
      <c r="I107" s="78"/>
      <c r="J107" s="59"/>
      <c r="K107" s="59" t="e">
        <f>DATE(YEAR(J107),MONTH(J107)+VLOOKUP($F107,'Membership Level'!$A$3:$B$10,2,FALSE),DAY(J107))</f>
        <v>#N/A</v>
      </c>
      <c r="L107" s="58">
        <v>3</v>
      </c>
      <c r="M107" s="190">
        <v>0</v>
      </c>
      <c r="N107" s="60" t="e">
        <f t="shared" si="2"/>
        <v>#N/A</v>
      </c>
      <c r="O107" s="58" t="e">
        <f t="shared" ca="1" si="3"/>
        <v>#N/A</v>
      </c>
      <c r="P107" s="60" t="e">
        <f>H107/G107*VLOOKUP(F107,'Membership Level'!$A$3:$C$10,3,FALSE)+J107</f>
        <v>#DIV/0!</v>
      </c>
      <c r="Q107" s="11" t="s">
        <v>56</v>
      </c>
    </row>
    <row r="108" spans="1:18" s="11" customFormat="1" x14ac:dyDescent="0.35">
      <c r="A108" s="58"/>
      <c r="B108" s="58"/>
      <c r="C108" s="58"/>
      <c r="D108" s="58"/>
      <c r="E108" s="59"/>
      <c r="F108" s="58"/>
      <c r="G108" s="78"/>
      <c r="H108" s="78"/>
      <c r="I108" s="78"/>
      <c r="J108" s="59"/>
      <c r="K108" s="59" t="e">
        <f>DATE(YEAR(J108),MONTH(J108)+VLOOKUP($F108,'Membership Level'!$A$3:$B$10,2,FALSE),DAY(J108))</f>
        <v>#N/A</v>
      </c>
      <c r="L108" s="58">
        <v>3</v>
      </c>
      <c r="M108" s="190">
        <v>0</v>
      </c>
      <c r="N108" s="60" t="e">
        <f t="shared" si="2"/>
        <v>#N/A</v>
      </c>
      <c r="O108" s="58" t="e">
        <f t="shared" ca="1" si="3"/>
        <v>#N/A</v>
      </c>
      <c r="P108" s="60" t="e">
        <f>H108/G108*VLOOKUP(F108,'Membership Level'!$A$3:$C$10,3,FALSE)+J108</f>
        <v>#DIV/0!</v>
      </c>
      <c r="Q108" s="11" t="s">
        <v>56</v>
      </c>
    </row>
    <row r="109" spans="1:18" s="10" customFormat="1" x14ac:dyDescent="0.35">
      <c r="A109" s="79"/>
      <c r="B109" s="79"/>
      <c r="C109" s="79"/>
      <c r="D109" s="7"/>
      <c r="E109" s="97"/>
      <c r="F109" s="79"/>
      <c r="G109" s="98"/>
      <c r="H109" s="98"/>
      <c r="I109" s="98"/>
      <c r="J109" s="100"/>
      <c r="K109" s="100" t="e">
        <f>DATE(YEAR(J109),MONTH(J109)+VLOOKUP($F109,'Membership Level'!$A$3:$B$10,2,FALSE),DAY(J109))</f>
        <v>#N/A</v>
      </c>
      <c r="L109" s="79">
        <v>3</v>
      </c>
      <c r="M109" s="197">
        <v>0</v>
      </c>
      <c r="N109" s="101" t="e">
        <f t="shared" si="2"/>
        <v>#N/A</v>
      </c>
      <c r="O109" s="79" t="e">
        <f t="shared" ca="1" si="3"/>
        <v>#N/A</v>
      </c>
      <c r="P109" s="101" t="e">
        <f>H109/G109*VLOOKUP(F109,'Membership Level'!$A$3:$C$10,3,FALSE)+J109</f>
        <v>#DIV/0!</v>
      </c>
    </row>
    <row r="110" spans="1:18" s="11" customFormat="1" x14ac:dyDescent="0.35">
      <c r="A110" s="58"/>
      <c r="B110" s="58"/>
      <c r="C110" s="58"/>
      <c r="D110" s="7"/>
      <c r="E110" s="81"/>
      <c r="F110" s="58"/>
      <c r="G110" s="78"/>
      <c r="H110" s="78"/>
      <c r="I110" s="78"/>
      <c r="J110" s="59"/>
      <c r="K110" s="59" t="e">
        <f>DATE(YEAR(J110),MONTH(J110)+VLOOKUP($F110,'Membership Level'!$A$3:$B$10,2,FALSE),DAY(J110))</f>
        <v>#N/A</v>
      </c>
      <c r="L110" s="58">
        <v>3</v>
      </c>
      <c r="M110" s="190">
        <v>0</v>
      </c>
      <c r="N110" s="60" t="e">
        <f t="shared" si="2"/>
        <v>#N/A</v>
      </c>
      <c r="O110" s="58" t="e">
        <f t="shared" ca="1" si="3"/>
        <v>#N/A</v>
      </c>
      <c r="P110" s="60" t="e">
        <f>H110/G110*VLOOKUP(F110,'Membership Level'!$A$3:$C$10,3,FALSE)+J110</f>
        <v>#DIV/0!</v>
      </c>
      <c r="Q110" s="11" t="s">
        <v>52</v>
      </c>
      <c r="R110" s="191">
        <v>44822</v>
      </c>
    </row>
    <row r="111" spans="1:18" x14ac:dyDescent="0.35">
      <c r="A111" s="7"/>
      <c r="B111" s="7"/>
      <c r="C111" s="7"/>
      <c r="D111" s="7"/>
      <c r="E111" s="80"/>
      <c r="F111" s="7"/>
      <c r="G111" s="75"/>
      <c r="H111" s="75"/>
      <c r="I111" s="75"/>
      <c r="J111" s="9"/>
      <c r="K111" s="9" t="e">
        <f>DATE(YEAR(J111),MONTH(J111)+VLOOKUP($F111,'Membership Level'!$A$3:$B$10,2,FALSE),DAY(J111))</f>
        <v>#N/A</v>
      </c>
      <c r="L111" s="7">
        <v>3</v>
      </c>
      <c r="M111" s="192">
        <v>0</v>
      </c>
      <c r="N111" s="193" t="e">
        <f t="shared" si="2"/>
        <v>#N/A</v>
      </c>
      <c r="O111" s="7" t="e">
        <f t="shared" ca="1" si="3"/>
        <v>#N/A</v>
      </c>
      <c r="P111" s="193" t="e">
        <f>H111/G111*VLOOKUP(F111,'Membership Level'!$A$3:$C$10,3,FALSE)+J111</f>
        <v>#DIV/0!</v>
      </c>
    </row>
    <row r="112" spans="1:18" x14ac:dyDescent="0.35">
      <c r="A112" s="7"/>
      <c r="B112" s="7"/>
      <c r="C112" s="7"/>
      <c r="D112" s="7"/>
      <c r="E112" s="80"/>
      <c r="F112" s="7"/>
      <c r="G112" s="75"/>
      <c r="H112" s="75"/>
      <c r="I112" s="75"/>
      <c r="J112" s="9"/>
      <c r="K112" s="9" t="e">
        <f>DATE(YEAR(J112),MONTH(J112)+VLOOKUP($F112,'Membership Level'!$A$3:$B$10,2,FALSE),DAY(J112))</f>
        <v>#N/A</v>
      </c>
      <c r="L112" s="7">
        <v>3</v>
      </c>
      <c r="M112" s="192">
        <v>0</v>
      </c>
      <c r="N112" s="193" t="e">
        <f t="shared" si="2"/>
        <v>#N/A</v>
      </c>
      <c r="O112" s="7" t="e">
        <f t="shared" ca="1" si="3"/>
        <v>#N/A</v>
      </c>
      <c r="P112" s="193" t="e">
        <f>H112/G112*VLOOKUP(F112,'Membership Level'!$A$3:$C$10,3,FALSE)+J112</f>
        <v>#DIV/0!</v>
      </c>
    </row>
    <row r="113" spans="1:16" x14ac:dyDescent="0.35">
      <c r="A113" s="7"/>
      <c r="B113" s="7"/>
      <c r="C113" s="7"/>
      <c r="D113" s="7"/>
      <c r="E113" s="7"/>
      <c r="F113" s="7"/>
      <c r="G113" s="75"/>
      <c r="H113" s="75"/>
      <c r="I113" s="75"/>
      <c r="J113" s="9"/>
      <c r="K113" s="9" t="e">
        <f>DATE(YEAR(J113),MONTH(J113)+VLOOKUP($F113,'Membership Level'!$A$3:$B$10,2,FALSE),DAY(J113))</f>
        <v>#N/A</v>
      </c>
      <c r="L113" s="7">
        <v>3</v>
      </c>
      <c r="M113" s="192">
        <v>0</v>
      </c>
      <c r="N113" s="193" t="e">
        <f t="shared" si="2"/>
        <v>#N/A</v>
      </c>
      <c r="O113" s="7" t="e">
        <f t="shared" ca="1" si="3"/>
        <v>#N/A</v>
      </c>
      <c r="P113" s="193" t="e">
        <f>H113/G113*VLOOKUP(F113,'Membership Level'!$A$3:$C$10,3,FALSE)+J113</f>
        <v>#DIV/0!</v>
      </c>
    </row>
    <row r="114" spans="1:16" s="11" customFormat="1" x14ac:dyDescent="0.35">
      <c r="A114" s="58"/>
      <c r="B114" s="58"/>
      <c r="C114" s="81"/>
      <c r="D114" s="58"/>
      <c r="E114" s="81"/>
      <c r="F114" s="58"/>
      <c r="G114" s="78"/>
      <c r="H114" s="78"/>
      <c r="I114" s="78"/>
      <c r="J114" s="59"/>
      <c r="K114" s="59" t="e">
        <f>DATE(YEAR(J114),MONTH(J114)+VLOOKUP($F114,'Membership Level'!$A$3:$B$10,2,FALSE),DAY(J114))</f>
        <v>#N/A</v>
      </c>
      <c r="L114" s="58">
        <v>3</v>
      </c>
      <c r="M114" s="190">
        <v>0</v>
      </c>
      <c r="N114" s="60" t="e">
        <f t="shared" si="2"/>
        <v>#N/A</v>
      </c>
      <c r="O114" s="58" t="e">
        <f t="shared" ca="1" si="3"/>
        <v>#N/A</v>
      </c>
      <c r="P114" s="60" t="e">
        <f>H114/G114*VLOOKUP(F114,'Membership Level'!$A$3:$C$10,3,FALSE)+J114</f>
        <v>#DIV/0!</v>
      </c>
    </row>
    <row r="115" spans="1:16" x14ac:dyDescent="0.35">
      <c r="A115" s="7"/>
      <c r="B115" s="7"/>
      <c r="C115" s="7"/>
      <c r="D115" s="7"/>
      <c r="E115" s="80"/>
      <c r="F115" s="7"/>
      <c r="G115" s="75"/>
      <c r="H115" s="75"/>
      <c r="I115" s="75"/>
      <c r="J115" s="9"/>
      <c r="K115" s="9" t="e">
        <f>DATE(YEAR(J115),MONTH(J115)+VLOOKUP($F115,'Membership Level'!$A$3:$B$10,2,FALSE),DAY(J115))</f>
        <v>#N/A</v>
      </c>
      <c r="L115" s="7">
        <v>3</v>
      </c>
      <c r="M115" s="7"/>
      <c r="N115" s="193" t="e">
        <f t="shared" si="2"/>
        <v>#N/A</v>
      </c>
      <c r="O115" s="7" t="e">
        <f t="shared" ca="1" si="3"/>
        <v>#N/A</v>
      </c>
      <c r="P115" s="193" t="e">
        <f>H115/G115*VLOOKUP(F115,'Membership Level'!$A$3:$C$10,3,FALSE)+J115</f>
        <v>#DIV/0!</v>
      </c>
    </row>
    <row r="116" spans="1:16" s="6" customFormat="1" x14ac:dyDescent="0.35">
      <c r="A116" s="62"/>
      <c r="B116" s="62"/>
      <c r="C116" s="94"/>
      <c r="D116" s="7"/>
      <c r="E116" s="94"/>
      <c r="F116" s="62"/>
      <c r="G116" s="92"/>
      <c r="H116" s="92"/>
      <c r="I116" s="92"/>
      <c r="J116" s="65"/>
      <c r="K116" s="65" t="e">
        <f>DATE(YEAR(J116),MONTH(J116)+VLOOKUP($F116,'Membership Level'!$A$3:$B$10,2,FALSE),DAY(J116))</f>
        <v>#N/A</v>
      </c>
      <c r="L116" s="62">
        <v>3</v>
      </c>
      <c r="M116" s="62"/>
      <c r="N116" s="66" t="e">
        <f t="shared" si="2"/>
        <v>#N/A</v>
      </c>
      <c r="O116" s="62" t="e">
        <f t="shared" ca="1" si="3"/>
        <v>#N/A</v>
      </c>
      <c r="P116" s="66" t="e">
        <f>H116/G116*VLOOKUP(F116,'Membership Level'!$A$3:$C$10,3,FALSE)+J116</f>
        <v>#DIV/0!</v>
      </c>
    </row>
    <row r="117" spans="1:16" x14ac:dyDescent="0.35">
      <c r="A117" s="7"/>
      <c r="B117" s="7"/>
      <c r="C117" s="7"/>
      <c r="D117" s="7"/>
      <c r="E117" s="80"/>
      <c r="F117" s="7"/>
      <c r="G117" s="75"/>
      <c r="H117" s="75"/>
      <c r="I117" s="75"/>
      <c r="J117" s="9"/>
      <c r="K117" s="9" t="e">
        <f>DATE(YEAR(J117),MONTH(J117)+VLOOKUP($F117,'Membership Level'!$A$3:$B$10,2,FALSE),DAY(J117))</f>
        <v>#N/A</v>
      </c>
      <c r="L117" s="7">
        <v>3</v>
      </c>
      <c r="M117" s="7"/>
      <c r="N117" s="193" t="e">
        <f t="shared" si="2"/>
        <v>#N/A</v>
      </c>
      <c r="O117" s="7" t="e">
        <f t="shared" ca="1" si="3"/>
        <v>#N/A</v>
      </c>
      <c r="P117" s="193" t="e">
        <f>H117/G117*VLOOKUP(F117,'Membership Level'!$A$3:$C$10,3,FALSE)+J117</f>
        <v>#DIV/0!</v>
      </c>
    </row>
    <row r="118" spans="1:16" x14ac:dyDescent="0.35">
      <c r="A118" s="7"/>
      <c r="B118" s="7"/>
      <c r="C118" s="80"/>
      <c r="D118" s="7"/>
      <c r="E118" s="80"/>
      <c r="F118" s="7"/>
      <c r="G118" s="75"/>
      <c r="H118" s="75"/>
      <c r="I118" s="75"/>
      <c r="J118" s="9"/>
      <c r="K118" s="9" t="e">
        <f>DATE(YEAR(J118),MONTH(J118)+VLOOKUP($F118,'Membership Level'!$A$3:$B$10,2,FALSE),DAY(J118))</f>
        <v>#N/A</v>
      </c>
      <c r="L118" s="7">
        <v>3</v>
      </c>
      <c r="M118" s="7"/>
      <c r="N118" s="193" t="e">
        <f t="shared" si="2"/>
        <v>#N/A</v>
      </c>
      <c r="O118" s="7" t="e">
        <f t="shared" ca="1" si="3"/>
        <v>#N/A</v>
      </c>
      <c r="P118" s="193" t="e">
        <f>H118/G118*VLOOKUP(F118,'Membership Level'!$A$3:$C$10,3,FALSE)+J118</f>
        <v>#DIV/0!</v>
      </c>
    </row>
    <row r="119" spans="1:16" s="6" customFormat="1" x14ac:dyDescent="0.35">
      <c r="A119" s="62"/>
      <c r="B119" s="62"/>
      <c r="C119" s="94"/>
      <c r="D119" s="7"/>
      <c r="E119" s="94"/>
      <c r="F119" s="62"/>
      <c r="G119" s="92"/>
      <c r="H119" s="92"/>
      <c r="I119" s="92"/>
      <c r="J119" s="65"/>
      <c r="K119" s="65" t="e">
        <f>DATE(YEAR(J119),MONTH(J119)+VLOOKUP($F119,'Membership Level'!$A$3:$B$10,2,FALSE),DAY(J119))</f>
        <v>#N/A</v>
      </c>
      <c r="L119" s="62">
        <v>3</v>
      </c>
      <c r="M119" s="62"/>
      <c r="N119" s="66" t="e">
        <f t="shared" si="2"/>
        <v>#N/A</v>
      </c>
      <c r="O119" s="62" t="e">
        <f t="shared" ca="1" si="3"/>
        <v>#N/A</v>
      </c>
      <c r="P119" s="66" t="e">
        <f>H119/G119*VLOOKUP(F119,'Membership Level'!$A$3:$C$10,3,FALSE)+J119</f>
        <v>#DIV/0!</v>
      </c>
    </row>
    <row r="120" spans="1:16" x14ac:dyDescent="0.35">
      <c r="A120" s="7"/>
      <c r="B120" s="7"/>
      <c r="C120" s="80"/>
      <c r="D120" s="7"/>
      <c r="E120" s="80"/>
      <c r="F120" s="7"/>
      <c r="G120" s="75"/>
      <c r="H120" s="75"/>
      <c r="I120" s="75"/>
      <c r="J120" s="9"/>
      <c r="K120" s="9" t="e">
        <f>DATE(YEAR(J120),MONTH(J120)+VLOOKUP($F120,'Membership Level'!$A$3:$B$10,2,FALSE),DAY(J120))</f>
        <v>#N/A</v>
      </c>
      <c r="L120" s="7">
        <v>3</v>
      </c>
      <c r="M120" s="7"/>
      <c r="N120" s="193" t="e">
        <f t="shared" si="2"/>
        <v>#N/A</v>
      </c>
      <c r="O120" s="7" t="e">
        <f t="shared" ca="1" si="3"/>
        <v>#N/A</v>
      </c>
      <c r="P120" s="193" t="e">
        <f>H120/G120*VLOOKUP(F120,'Membership Level'!$A$3:$C$10,3,FALSE)+J120</f>
        <v>#DIV/0!</v>
      </c>
    </row>
    <row r="121" spans="1:16" x14ac:dyDescent="0.35">
      <c r="A121" s="7"/>
      <c r="B121" s="7"/>
      <c r="C121" s="80"/>
      <c r="D121" s="7"/>
      <c r="E121" s="80"/>
      <c r="F121" s="7"/>
      <c r="G121" s="75"/>
      <c r="H121" s="75"/>
      <c r="I121" s="75"/>
      <c r="J121" s="9"/>
      <c r="K121" s="9" t="e">
        <f>DATE(YEAR(J121),MONTH(J121)+VLOOKUP($F121,'Membership Level'!$A$3:$B$10,2,FALSE),DAY(J121))</f>
        <v>#N/A</v>
      </c>
      <c r="L121" s="7">
        <v>3</v>
      </c>
      <c r="M121" s="7"/>
      <c r="N121" s="193" t="e">
        <f t="shared" si="2"/>
        <v>#N/A</v>
      </c>
      <c r="O121" s="7" t="e">
        <f t="shared" ca="1" si="3"/>
        <v>#N/A</v>
      </c>
      <c r="P121" s="193" t="e">
        <f>H121/G121*VLOOKUP(F121,'Membership Level'!$A$3:$C$10,3,FALSE)+J121</f>
        <v>#DIV/0!</v>
      </c>
    </row>
    <row r="122" spans="1:16" x14ac:dyDescent="0.35">
      <c r="A122" s="7"/>
      <c r="B122" s="7"/>
      <c r="C122" s="80"/>
      <c r="D122" s="7"/>
      <c r="E122" s="80"/>
      <c r="F122" s="7"/>
      <c r="G122" s="75"/>
      <c r="H122" s="75"/>
      <c r="I122" s="75"/>
      <c r="J122" s="9"/>
      <c r="K122" s="9" t="e">
        <f>DATE(YEAR(J122),MONTH(J122)+VLOOKUP($F122,'Membership Level'!$A$3:$B$10,2,FALSE),DAY(J122))</f>
        <v>#N/A</v>
      </c>
      <c r="L122" s="7">
        <v>3</v>
      </c>
      <c r="M122" s="7"/>
      <c r="N122" s="193" t="e">
        <f t="shared" si="2"/>
        <v>#N/A</v>
      </c>
      <c r="O122" s="7" t="e">
        <f t="shared" ca="1" si="3"/>
        <v>#N/A</v>
      </c>
      <c r="P122" s="193" t="e">
        <f>H122/G122*VLOOKUP(F122,'Membership Level'!$A$3:$C$10,3,FALSE)+J122</f>
        <v>#DIV/0!</v>
      </c>
    </row>
    <row r="123" spans="1:16" s="10" customFormat="1" x14ac:dyDescent="0.35">
      <c r="A123" s="79"/>
      <c r="B123" s="79"/>
      <c r="C123" s="79"/>
      <c r="D123" s="7"/>
      <c r="E123" s="97"/>
      <c r="F123" s="79"/>
      <c r="G123" s="98"/>
      <c r="H123" s="98"/>
      <c r="I123" s="98"/>
      <c r="J123" s="100"/>
      <c r="K123" s="100" t="e">
        <f>DATE(YEAR(J123),MONTH(J123)+VLOOKUP($F123,'Membership Level'!$A$3:$B$10,2,FALSE),DAY(J123))</f>
        <v>#N/A</v>
      </c>
      <c r="L123" s="79">
        <v>3</v>
      </c>
      <c r="M123" s="79"/>
      <c r="N123" s="101" t="e">
        <f t="shared" si="2"/>
        <v>#N/A</v>
      </c>
      <c r="O123" s="79" t="e">
        <f t="shared" ca="1" si="3"/>
        <v>#N/A</v>
      </c>
      <c r="P123" s="101" t="e">
        <f>H123/G123*VLOOKUP(F123,'Membership Level'!$A$3:$C$10,3,FALSE)+J123</f>
        <v>#DIV/0!</v>
      </c>
    </row>
    <row r="124" spans="1:16" x14ac:dyDescent="0.35">
      <c r="A124" s="7"/>
      <c r="B124" s="7"/>
      <c r="C124" s="7"/>
      <c r="D124" s="7"/>
      <c r="E124" s="80"/>
      <c r="F124" s="7"/>
      <c r="G124" s="75"/>
      <c r="H124" s="75"/>
      <c r="I124" s="75"/>
      <c r="J124" s="9"/>
      <c r="K124" s="9" t="e">
        <f>DATE(YEAR(J124),MONTH(J124)+VLOOKUP($F124,'Membership Level'!$A$3:$B$10,2,FALSE),DAY(J124))</f>
        <v>#N/A</v>
      </c>
      <c r="L124" s="7">
        <v>3</v>
      </c>
      <c r="M124" s="7"/>
      <c r="N124" s="193" t="e">
        <f t="shared" si="2"/>
        <v>#N/A</v>
      </c>
      <c r="O124" s="7" t="e">
        <f t="shared" ca="1" si="3"/>
        <v>#N/A</v>
      </c>
      <c r="P124" s="193" t="e">
        <f>H124/G124*VLOOKUP(F124,'Membership Level'!$A$3:$C$10,3,FALSE)+J124</f>
        <v>#DIV/0!</v>
      </c>
    </row>
    <row r="125" spans="1:16" x14ac:dyDescent="0.35">
      <c r="A125" s="7"/>
      <c r="B125" s="7"/>
      <c r="C125" s="80"/>
      <c r="D125" s="7"/>
      <c r="E125" s="80"/>
      <c r="F125" s="7"/>
      <c r="G125" s="75"/>
      <c r="H125" s="75"/>
      <c r="I125" s="75"/>
      <c r="J125" s="9"/>
      <c r="K125" s="9" t="e">
        <f>DATE(YEAR(J125),MONTH(J125)+VLOOKUP($F125,'Membership Level'!$A$3:$B$10,2,FALSE),DAY(J125))</f>
        <v>#N/A</v>
      </c>
      <c r="L125" s="7">
        <v>3</v>
      </c>
      <c r="M125" s="7"/>
      <c r="N125" s="9" t="e">
        <f t="shared" si="2"/>
        <v>#N/A</v>
      </c>
      <c r="O125" s="7" t="e">
        <f t="shared" ca="1" si="3"/>
        <v>#N/A</v>
      </c>
      <c r="P125" s="9" t="e">
        <f>H125/G125*VLOOKUP(F125,'Membership Level'!$A$3:$C$10,3,FALSE)+J125</f>
        <v>#DIV/0!</v>
      </c>
    </row>
    <row r="126" spans="1:16" x14ac:dyDescent="0.35">
      <c r="A126" s="7"/>
      <c r="B126" s="7"/>
      <c r="C126" s="7"/>
      <c r="D126" s="7"/>
      <c r="E126" s="80"/>
      <c r="F126" s="7"/>
      <c r="G126" s="75"/>
      <c r="H126" s="75"/>
      <c r="I126" s="75"/>
      <c r="J126" s="9"/>
      <c r="K126" s="9" t="e">
        <f>DATE(YEAR(J126),MONTH(J126)+VLOOKUP($F126,'Membership Level'!$A$3:$B$10,2,FALSE),DAY(J126))</f>
        <v>#N/A</v>
      </c>
      <c r="L126" s="7">
        <v>3</v>
      </c>
      <c r="M126" s="7"/>
      <c r="N126" s="193" t="e">
        <f t="shared" si="2"/>
        <v>#N/A</v>
      </c>
      <c r="O126" s="7" t="e">
        <f t="shared" ca="1" si="3"/>
        <v>#N/A</v>
      </c>
      <c r="P126" s="193" t="e">
        <f>H126/G126*VLOOKUP(F126,'Membership Level'!$A$3:$C$10,3,FALSE)+J126</f>
        <v>#DIV/0!</v>
      </c>
    </row>
    <row r="127" spans="1:16" s="10" customFormat="1" x14ac:dyDescent="0.35">
      <c r="A127" s="79"/>
      <c r="B127" s="79"/>
      <c r="C127" s="79"/>
      <c r="D127" s="7"/>
      <c r="E127" s="97"/>
      <c r="F127" s="79"/>
      <c r="G127" s="98"/>
      <c r="H127" s="98"/>
      <c r="I127" s="98"/>
      <c r="J127" s="100"/>
      <c r="K127" s="100" t="e">
        <f>DATE(YEAR(J127),MONTH(J127)+VLOOKUP($F127,'Membership Level'!$A$3:$B$10,2,FALSE),DAY(J127))</f>
        <v>#N/A</v>
      </c>
      <c r="L127" s="79">
        <v>3</v>
      </c>
      <c r="M127" s="79"/>
      <c r="N127" s="101" t="e">
        <f t="shared" si="2"/>
        <v>#N/A</v>
      </c>
      <c r="O127" s="79" t="e">
        <f t="shared" ca="1" si="3"/>
        <v>#N/A</v>
      </c>
      <c r="P127" s="101" t="e">
        <f>H127/G127*VLOOKUP(F127,'Membership Level'!$A$3:$C$10,3,FALSE)+J127</f>
        <v>#DIV/0!</v>
      </c>
    </row>
    <row r="128" spans="1:16" x14ac:dyDescent="0.35">
      <c r="A128" s="7"/>
      <c r="B128" s="7"/>
      <c r="C128" s="7"/>
      <c r="D128" s="7"/>
      <c r="E128" s="7"/>
      <c r="F128" s="7"/>
      <c r="G128" s="75"/>
      <c r="H128" s="75"/>
      <c r="I128" s="75"/>
      <c r="J128" s="7"/>
      <c r="K128" s="9" t="e">
        <f>DATE(YEAR(J128),MONTH(J128)+VLOOKUP($F128,'Membership Level'!$A$3:$B$10,2,FALSE),DAY(J128))</f>
        <v>#N/A</v>
      </c>
      <c r="L128" s="7">
        <v>3</v>
      </c>
      <c r="M128" s="7"/>
      <c r="N128" s="193" t="e">
        <f t="shared" si="2"/>
        <v>#N/A</v>
      </c>
      <c r="O128" s="7" t="e">
        <f t="shared" ca="1" si="3"/>
        <v>#N/A</v>
      </c>
      <c r="P128" s="193" t="e">
        <f>H128/G128*VLOOKUP(F128,'Membership Level'!$A$3:$C$10,3,FALSE)+J128</f>
        <v>#DIV/0!</v>
      </c>
    </row>
    <row r="129" spans="1:16" x14ac:dyDescent="0.35">
      <c r="A129" s="7"/>
      <c r="B129" s="7"/>
      <c r="C129" s="7"/>
      <c r="D129" s="7"/>
      <c r="E129" s="80"/>
      <c r="F129" s="7"/>
      <c r="G129" s="75"/>
      <c r="H129" s="75"/>
      <c r="I129" s="75"/>
      <c r="J129" s="9"/>
      <c r="K129" s="9" t="e">
        <f>DATE(YEAR(J129),MONTH(J129)+VLOOKUP($F129,'Membership Level'!$A$3:$B$10,2,FALSE),DAY(J129))</f>
        <v>#N/A</v>
      </c>
      <c r="L129" s="7">
        <v>3</v>
      </c>
      <c r="M129" s="7"/>
      <c r="N129" s="193" t="e">
        <f t="shared" si="2"/>
        <v>#N/A</v>
      </c>
      <c r="O129" s="7" t="e">
        <f t="shared" ca="1" si="3"/>
        <v>#N/A</v>
      </c>
      <c r="P129" s="193" t="e">
        <f>H129/G129*VLOOKUP(F129,'Membership Level'!$A$3:$C$10,3,FALSE)+J129</f>
        <v>#DIV/0!</v>
      </c>
    </row>
    <row r="130" spans="1:16" x14ac:dyDescent="0.35">
      <c r="A130" s="7"/>
      <c r="B130" s="7"/>
      <c r="C130" s="7"/>
      <c r="D130" s="7"/>
      <c r="E130" s="80"/>
      <c r="F130" s="7"/>
      <c r="G130" s="75"/>
      <c r="H130" s="75"/>
      <c r="I130" s="75"/>
      <c r="J130" s="9"/>
      <c r="K130" s="9" t="e">
        <f>DATE(YEAR(J130),MONTH(J130)+VLOOKUP($F130,'Membership Level'!$A$3:$B$10,2,FALSE),DAY(J130))</f>
        <v>#N/A</v>
      </c>
      <c r="L130" s="7">
        <v>3</v>
      </c>
      <c r="M130" s="7"/>
      <c r="N130" s="193" t="e">
        <f t="shared" si="2"/>
        <v>#N/A</v>
      </c>
      <c r="O130" s="7" t="e">
        <f t="shared" ca="1" si="3"/>
        <v>#N/A</v>
      </c>
      <c r="P130" s="193" t="e">
        <f>H130/G130*VLOOKUP(F130,'Membership Level'!$A$3:$C$10,3,FALSE)+J130</f>
        <v>#DIV/0!</v>
      </c>
    </row>
    <row r="131" spans="1:16" x14ac:dyDescent="0.35">
      <c r="A131" s="7"/>
      <c r="B131" s="7"/>
      <c r="C131" s="7"/>
      <c r="D131" s="7"/>
      <c r="E131" s="7"/>
      <c r="F131" s="7"/>
      <c r="G131" s="75"/>
      <c r="H131" s="75"/>
      <c r="I131" s="75"/>
      <c r="J131" s="9"/>
      <c r="K131" s="9" t="e">
        <f>DATE(YEAR(J131),MONTH(J131)+VLOOKUP($F131,'Membership Level'!$A$3:$B$10,2,FALSE),DAY(J131))</f>
        <v>#N/A</v>
      </c>
      <c r="L131" s="7">
        <v>3</v>
      </c>
      <c r="M131" s="7"/>
      <c r="N131" s="193" t="e">
        <f t="shared" si="2"/>
        <v>#N/A</v>
      </c>
      <c r="O131" s="7" t="e">
        <f t="shared" ca="1" si="3"/>
        <v>#N/A</v>
      </c>
      <c r="P131" s="193" t="e">
        <f>H131/G131*VLOOKUP(F131,'Membership Level'!$A$3:$C$10,3,FALSE)+J131</f>
        <v>#DIV/0!</v>
      </c>
    </row>
    <row r="132" spans="1:16" x14ac:dyDescent="0.35">
      <c r="A132" s="7"/>
      <c r="B132" s="7"/>
      <c r="C132" s="7"/>
      <c r="D132" s="7"/>
      <c r="E132" s="80"/>
      <c r="F132" s="7"/>
      <c r="G132" s="75"/>
      <c r="H132" s="75"/>
      <c r="I132" s="75"/>
      <c r="J132" s="9"/>
      <c r="K132" s="9" t="e">
        <f>DATE(YEAR(J132),MONTH(J132)+VLOOKUP($F132,'Membership Level'!$A$3:$B$10,2,FALSE),DAY(J132))</f>
        <v>#N/A</v>
      </c>
      <c r="L132" s="7">
        <v>3</v>
      </c>
      <c r="M132" s="7"/>
      <c r="N132" s="193" t="e">
        <f t="shared" si="2"/>
        <v>#N/A</v>
      </c>
      <c r="O132" s="7" t="e">
        <f t="shared" ca="1" si="3"/>
        <v>#N/A</v>
      </c>
      <c r="P132" s="193" t="e">
        <f>H132/G132*VLOOKUP(F132,'Membership Level'!$A$3:$C$10,3,FALSE)+J132</f>
        <v>#DIV/0!</v>
      </c>
    </row>
    <row r="133" spans="1:16" s="10" customFormat="1" x14ac:dyDescent="0.35">
      <c r="A133" s="79"/>
      <c r="B133" s="79"/>
      <c r="C133" s="79"/>
      <c r="D133" s="7"/>
      <c r="E133" s="97"/>
      <c r="F133" s="79"/>
      <c r="G133" s="98"/>
      <c r="H133" s="98"/>
      <c r="I133" s="98"/>
      <c r="J133" s="100"/>
      <c r="K133" s="100" t="e">
        <f>DATE(YEAR(J133),MONTH(J133)+VLOOKUP($F133,'Membership Level'!$A$3:$B$10,2,FALSE),DAY(J133))</f>
        <v>#N/A</v>
      </c>
      <c r="L133" s="79">
        <v>3</v>
      </c>
      <c r="M133" s="79"/>
      <c r="N133" s="101" t="e">
        <f t="shared" si="2"/>
        <v>#N/A</v>
      </c>
      <c r="O133" s="79" t="e">
        <f t="shared" ca="1" si="3"/>
        <v>#N/A</v>
      </c>
      <c r="P133" s="101" t="e">
        <f>H133/G133*VLOOKUP(F133,'Membership Level'!$A$3:$C$10,3,FALSE)+J133</f>
        <v>#DIV/0!</v>
      </c>
    </row>
    <row r="134" spans="1:16" x14ac:dyDescent="0.35">
      <c r="A134" s="7"/>
      <c r="B134" s="7"/>
      <c r="C134" s="7"/>
      <c r="D134" s="7"/>
      <c r="E134" s="80"/>
      <c r="F134" s="7"/>
      <c r="G134" s="75"/>
      <c r="H134" s="75"/>
      <c r="I134" s="75"/>
      <c r="J134" s="9"/>
      <c r="K134" s="9" t="e">
        <f>DATE(YEAR(J134),MONTH(J134)+VLOOKUP($F134,'Membership Level'!$A$3:$B$10,2,FALSE),DAY(J134))</f>
        <v>#N/A</v>
      </c>
      <c r="L134" s="7">
        <v>3</v>
      </c>
      <c r="M134" s="7"/>
      <c r="N134" s="193" t="e">
        <f t="shared" si="2"/>
        <v>#N/A</v>
      </c>
      <c r="O134" s="7" t="e">
        <f t="shared" ca="1" si="3"/>
        <v>#N/A</v>
      </c>
      <c r="P134" s="193" t="e">
        <f>H134/G134*VLOOKUP(F134,'Membership Level'!$A$3:$C$10,3,FALSE)+J134</f>
        <v>#DIV/0!</v>
      </c>
    </row>
    <row r="135" spans="1:16" x14ac:dyDescent="0.35">
      <c r="A135" s="7"/>
      <c r="B135" s="7"/>
      <c r="C135" s="7"/>
      <c r="D135" s="7"/>
      <c r="E135" s="80"/>
      <c r="F135" s="7"/>
      <c r="G135" s="75"/>
      <c r="H135" s="75"/>
      <c r="I135" s="75"/>
      <c r="J135" s="9"/>
      <c r="K135" s="9" t="e">
        <f>DATE(YEAR(J135),MONTH(J135)+VLOOKUP($F135,'Membership Level'!$A$3:$B$10,2,FALSE),DAY(J135))</f>
        <v>#N/A</v>
      </c>
      <c r="L135" s="7">
        <v>3</v>
      </c>
      <c r="M135" s="7"/>
      <c r="N135" s="193" t="e">
        <f t="shared" si="2"/>
        <v>#N/A</v>
      </c>
      <c r="O135" s="7" t="e">
        <f t="shared" ca="1" si="3"/>
        <v>#N/A</v>
      </c>
      <c r="P135" s="193" t="e">
        <f>H135/G135*VLOOKUP(F135,'Membership Level'!$A$3:$C$10,3,FALSE)+J135</f>
        <v>#DIV/0!</v>
      </c>
    </row>
    <row r="136" spans="1:16" x14ac:dyDescent="0.35">
      <c r="A136" s="7"/>
      <c r="B136" s="7"/>
      <c r="C136" s="7"/>
      <c r="D136" s="7"/>
      <c r="E136" s="80"/>
      <c r="F136" s="7"/>
      <c r="G136" s="75"/>
      <c r="H136" s="75"/>
      <c r="I136" s="75"/>
      <c r="J136" s="9"/>
      <c r="K136" s="9" t="e">
        <f>DATE(YEAR(J136),MONTH(J136)+VLOOKUP($F136,'Membership Level'!$A$3:$B$10,2,FALSE),DAY(J136))</f>
        <v>#N/A</v>
      </c>
      <c r="L136" s="7">
        <v>3</v>
      </c>
      <c r="M136" s="7"/>
      <c r="N136" s="193" t="e">
        <f t="shared" si="2"/>
        <v>#N/A</v>
      </c>
      <c r="O136" s="7" t="e">
        <f t="shared" ca="1" si="3"/>
        <v>#N/A</v>
      </c>
      <c r="P136" s="193" t="e">
        <f>H136/G136*VLOOKUP(F136,'Membership Level'!$A$3:$C$10,3,FALSE)+J136</f>
        <v>#DIV/0!</v>
      </c>
    </row>
    <row r="137" spans="1:16" x14ac:dyDescent="0.35">
      <c r="A137" s="7"/>
      <c r="B137" s="7"/>
      <c r="C137" s="7"/>
      <c r="D137" s="7"/>
      <c r="E137" s="80"/>
      <c r="F137" s="7"/>
      <c r="G137" s="75"/>
      <c r="H137" s="75"/>
      <c r="I137" s="75"/>
      <c r="J137" s="9"/>
      <c r="K137" s="9" t="e">
        <f>DATE(YEAR(J137),MONTH(J137)+VLOOKUP($F137,'Membership Level'!$A$3:$B$10,2,FALSE),DAY(J137))</f>
        <v>#N/A</v>
      </c>
      <c r="L137" s="7">
        <v>3</v>
      </c>
      <c r="M137" s="7"/>
      <c r="N137" s="193" t="e">
        <f t="shared" si="2"/>
        <v>#N/A</v>
      </c>
      <c r="O137" s="7" t="e">
        <f t="shared" ca="1" si="3"/>
        <v>#N/A</v>
      </c>
      <c r="P137" s="193" t="e">
        <f>H137/G137*VLOOKUP(F137,'Membership Level'!$A$3:$C$10,3,FALSE)+J137</f>
        <v>#DIV/0!</v>
      </c>
    </row>
    <row r="138" spans="1:16" s="90" customFormat="1" x14ac:dyDescent="0.35">
      <c r="A138" s="86"/>
      <c r="B138" s="86"/>
      <c r="C138" s="86"/>
      <c r="D138" s="7"/>
      <c r="E138" s="86"/>
      <c r="F138" s="86"/>
      <c r="G138" s="87"/>
      <c r="H138" s="87"/>
      <c r="I138" s="87"/>
      <c r="J138" s="89"/>
      <c r="K138" s="89" t="e">
        <f>DATE(YEAR(J138),MONTH(J138)+VLOOKUP($F138,'Membership Level'!$A$3:$B$10,2,FALSE),DAY(J138))</f>
        <v>#N/A</v>
      </c>
      <c r="L138" s="86">
        <v>3</v>
      </c>
      <c r="M138" s="86"/>
      <c r="N138" s="213" t="e">
        <f t="shared" ref="N138:N201" si="4">IF($K138&lt;&gt;0,DATE(YEAR($K138),MONTH($K138)-$M138,DAY($K138)-$L138),"")</f>
        <v>#N/A</v>
      </c>
      <c r="O138" s="86" t="e">
        <f t="shared" ref="O138:O192" ca="1" si="5">IF(DAYS360(NOW(), $K138) &gt;= 0, DAYS360(NOW(), $K138), "")</f>
        <v>#N/A</v>
      </c>
      <c r="P138" s="213" t="e">
        <f>H138/G138*VLOOKUP(F138,'Membership Level'!$A$3:$C$10,3,FALSE)+J138</f>
        <v>#DIV/0!</v>
      </c>
    </row>
    <row r="139" spans="1:16" x14ac:dyDescent="0.35">
      <c r="A139" s="7"/>
      <c r="B139" s="7"/>
      <c r="C139" s="7"/>
      <c r="D139" s="7"/>
      <c r="E139" s="94"/>
      <c r="F139" s="7"/>
      <c r="G139" s="75"/>
      <c r="H139" s="75"/>
      <c r="I139" s="75"/>
      <c r="J139" s="9"/>
      <c r="K139" s="9" t="e">
        <f>DATE(YEAR(J139),MONTH(J139)+VLOOKUP($F139,'Membership Level'!$A$3:$B$10,2,FALSE),DAY(J139))</f>
        <v>#N/A</v>
      </c>
      <c r="L139" s="7">
        <v>3</v>
      </c>
      <c r="M139" s="7"/>
      <c r="N139" s="193" t="e">
        <f t="shared" si="4"/>
        <v>#N/A</v>
      </c>
      <c r="O139" s="7" t="e">
        <f t="shared" ca="1" si="5"/>
        <v>#N/A</v>
      </c>
      <c r="P139" s="193" t="e">
        <f>H139/G139*VLOOKUP(F139,'Membership Level'!$A$3:$C$10,3,FALSE)+J139</f>
        <v>#DIV/0!</v>
      </c>
    </row>
    <row r="140" spans="1:16" s="10" customFormat="1" x14ac:dyDescent="0.35">
      <c r="A140" s="79"/>
      <c r="B140" s="79"/>
      <c r="C140" s="79"/>
      <c r="D140" s="7"/>
      <c r="E140" s="97"/>
      <c r="F140" s="79"/>
      <c r="G140" s="98"/>
      <c r="H140" s="98"/>
      <c r="I140" s="98"/>
      <c r="J140" s="100"/>
      <c r="K140" s="100" t="e">
        <f>DATE(YEAR(J140),MONTH(J140)+VLOOKUP($F140,'Membership Level'!$A$3:$B$10,2,FALSE),DAY(J140))</f>
        <v>#N/A</v>
      </c>
      <c r="L140" s="79">
        <v>3</v>
      </c>
      <c r="M140" s="79"/>
      <c r="N140" s="101" t="e">
        <f t="shared" si="4"/>
        <v>#N/A</v>
      </c>
      <c r="O140" s="79" t="e">
        <f t="shared" ca="1" si="5"/>
        <v>#N/A</v>
      </c>
      <c r="P140" s="101" t="e">
        <f>H140/G140*VLOOKUP(F140,'Membership Level'!$A$3:$C$10,3,FALSE)+J140</f>
        <v>#DIV/0!</v>
      </c>
    </row>
    <row r="141" spans="1:16" x14ac:dyDescent="0.35">
      <c r="A141" s="7"/>
      <c r="B141" s="7"/>
      <c r="C141" s="7"/>
      <c r="D141" s="7"/>
      <c r="E141" s="80"/>
      <c r="F141" s="7"/>
      <c r="G141" s="75"/>
      <c r="H141" s="75"/>
      <c r="I141" s="75"/>
      <c r="J141" s="9"/>
      <c r="K141" s="9" t="e">
        <f>DATE(YEAR(J141),MONTH(J141)+VLOOKUP($F141,'Membership Level'!$A$3:$B$10,2,FALSE),DAY(J141))</f>
        <v>#N/A</v>
      </c>
      <c r="L141" s="7">
        <v>3</v>
      </c>
      <c r="M141" s="7"/>
      <c r="N141" s="193" t="e">
        <f t="shared" si="4"/>
        <v>#N/A</v>
      </c>
      <c r="O141" s="7" t="e">
        <f t="shared" ca="1" si="5"/>
        <v>#N/A</v>
      </c>
      <c r="P141" s="193" t="e">
        <f>H141/G141*VLOOKUP(F141,'Membership Level'!$A$3:$C$10,3,FALSE)+J141</f>
        <v>#DIV/0!</v>
      </c>
    </row>
    <row r="142" spans="1:16" x14ac:dyDescent="0.35">
      <c r="A142" s="7"/>
      <c r="B142" s="7"/>
      <c r="C142" s="7"/>
      <c r="D142" s="7"/>
      <c r="E142" s="80"/>
      <c r="F142" s="7"/>
      <c r="G142" s="75"/>
      <c r="H142" s="75"/>
      <c r="I142" s="75"/>
      <c r="J142" s="9"/>
      <c r="K142" s="9" t="e">
        <f>DATE(YEAR(J142),MONTH(J142)+VLOOKUP($F142,'Membership Level'!$A$3:$B$10,2,FALSE),DAY(J142))</f>
        <v>#N/A</v>
      </c>
      <c r="L142" s="7">
        <v>3</v>
      </c>
      <c r="M142" s="7"/>
      <c r="N142" s="193" t="e">
        <f t="shared" si="4"/>
        <v>#N/A</v>
      </c>
      <c r="O142" s="7" t="e">
        <f t="shared" ca="1" si="5"/>
        <v>#N/A</v>
      </c>
      <c r="P142" s="193" t="e">
        <f>H142/G142*VLOOKUP(F142,'Membership Level'!$A$3:$C$10,3,FALSE)+J142</f>
        <v>#DIV/0!</v>
      </c>
    </row>
    <row r="143" spans="1:16" s="11" customFormat="1" x14ac:dyDescent="0.35">
      <c r="A143" s="58"/>
      <c r="B143" s="58"/>
      <c r="C143" s="58"/>
      <c r="D143" s="58"/>
      <c r="E143" s="81"/>
      <c r="F143" s="58"/>
      <c r="G143" s="78"/>
      <c r="H143" s="78"/>
      <c r="I143" s="78"/>
      <c r="J143" s="59"/>
      <c r="K143" s="59" t="e">
        <f>DATE(YEAR(J143),MONTH(J143)+VLOOKUP($F143,'Membership Level'!$A$3:$B$10,2,FALSE),DAY(J143))</f>
        <v>#N/A</v>
      </c>
      <c r="L143" s="58">
        <v>3</v>
      </c>
      <c r="M143" s="58"/>
      <c r="N143" s="60" t="e">
        <f t="shared" si="4"/>
        <v>#N/A</v>
      </c>
      <c r="O143" s="58" t="e">
        <f t="shared" ca="1" si="5"/>
        <v>#N/A</v>
      </c>
      <c r="P143" s="60" t="e">
        <f>H143/G143*VLOOKUP(F143,'Membership Level'!$A$3:$C$10,3,FALSE)+J143</f>
        <v>#DIV/0!</v>
      </c>
    </row>
    <row r="144" spans="1:16" x14ac:dyDescent="0.35">
      <c r="A144" s="7"/>
      <c r="B144" s="7"/>
      <c r="C144" s="7"/>
      <c r="D144" s="7"/>
      <c r="E144" s="80"/>
      <c r="F144" s="7"/>
      <c r="G144" s="75"/>
      <c r="H144" s="75"/>
      <c r="I144" s="75"/>
      <c r="J144" s="9"/>
      <c r="K144" s="9" t="e">
        <f>DATE(YEAR(J144),MONTH(J144)+VLOOKUP($F144,'Membership Level'!$A$3:$B$10,2,FALSE),DAY(J144))</f>
        <v>#N/A</v>
      </c>
      <c r="L144" s="7">
        <v>3</v>
      </c>
      <c r="M144" s="7"/>
      <c r="N144" s="193" t="e">
        <f t="shared" si="4"/>
        <v>#N/A</v>
      </c>
      <c r="O144" s="7" t="e">
        <f t="shared" ca="1" si="5"/>
        <v>#N/A</v>
      </c>
      <c r="P144" s="193" t="e">
        <f>H144/G144*VLOOKUP(F144,'Membership Level'!$A$3:$C$10,3,FALSE)+J144</f>
        <v>#DIV/0!</v>
      </c>
    </row>
    <row r="145" spans="1:17" s="10" customFormat="1" x14ac:dyDescent="0.35">
      <c r="A145" s="79"/>
      <c r="B145" s="79"/>
      <c r="C145" s="79"/>
      <c r="D145" s="7"/>
      <c r="E145" s="100"/>
      <c r="F145" s="79"/>
      <c r="G145" s="98"/>
      <c r="H145" s="98"/>
      <c r="I145" s="98"/>
      <c r="J145" s="100"/>
      <c r="K145" s="100" t="e">
        <f>DATE(YEAR(J145),MONTH(J145)+VLOOKUP($F145,'Membership Level'!$A$3:$B$10,2,FALSE),DAY(J145))</f>
        <v>#N/A</v>
      </c>
      <c r="L145" s="79">
        <v>3</v>
      </c>
      <c r="M145" s="79"/>
      <c r="N145" s="101" t="e">
        <f t="shared" si="4"/>
        <v>#N/A</v>
      </c>
      <c r="O145" s="79" t="e">
        <f t="shared" ca="1" si="5"/>
        <v>#N/A</v>
      </c>
      <c r="P145" s="101" t="e">
        <f>H145/G145*VLOOKUP(F145,'Membership Level'!$A$3:$C$10,3,FALSE)+J145</f>
        <v>#DIV/0!</v>
      </c>
    </row>
    <row r="146" spans="1:17" s="10" customFormat="1" x14ac:dyDescent="0.35">
      <c r="A146" s="79"/>
      <c r="B146" s="79"/>
      <c r="C146" s="79"/>
      <c r="D146" s="7"/>
      <c r="E146" s="97"/>
      <c r="F146" s="79"/>
      <c r="G146" s="98"/>
      <c r="H146" s="98"/>
      <c r="I146" s="98"/>
      <c r="J146" s="100"/>
      <c r="K146" s="100" t="e">
        <f>DATE(YEAR(J146),MONTH(J146)+VLOOKUP($F146,'Membership Level'!$A$3:$B$10,2,FALSE),DAY(J146))</f>
        <v>#N/A</v>
      </c>
      <c r="L146" s="79">
        <v>3</v>
      </c>
      <c r="M146" s="79"/>
      <c r="N146" s="101" t="e">
        <f t="shared" si="4"/>
        <v>#N/A</v>
      </c>
      <c r="O146" s="79" t="e">
        <f t="shared" ca="1" si="5"/>
        <v>#N/A</v>
      </c>
      <c r="P146" s="101" t="e">
        <f>H146/G146*VLOOKUP(F146,'Membership Level'!$A$3:$C$10,3,FALSE)+J146</f>
        <v>#DIV/0!</v>
      </c>
    </row>
    <row r="147" spans="1:17" x14ac:dyDescent="0.35">
      <c r="A147" s="7"/>
      <c r="B147" s="7"/>
      <c r="C147" s="7"/>
      <c r="D147" s="7"/>
      <c r="E147" s="80"/>
      <c r="F147" s="7"/>
      <c r="G147" s="75"/>
      <c r="H147" s="75"/>
      <c r="I147" s="75"/>
      <c r="J147" s="9"/>
      <c r="K147" s="9" t="e">
        <f>DATE(YEAR(J147),MONTH(J147)+VLOOKUP($F147,'Membership Level'!$A$3:$B$10,2,FALSE),DAY(J147))</f>
        <v>#N/A</v>
      </c>
      <c r="L147" s="7">
        <v>3</v>
      </c>
      <c r="M147" s="7"/>
      <c r="N147" s="193" t="e">
        <f t="shared" si="4"/>
        <v>#N/A</v>
      </c>
      <c r="O147" s="7" t="e">
        <f t="shared" ca="1" si="5"/>
        <v>#N/A</v>
      </c>
      <c r="P147" s="7"/>
    </row>
    <row r="148" spans="1:17" x14ac:dyDescent="0.35">
      <c r="A148" s="137"/>
      <c r="B148" s="137"/>
      <c r="C148" s="137"/>
      <c r="D148" s="137"/>
      <c r="E148" s="148"/>
      <c r="F148" s="137"/>
      <c r="G148" s="75"/>
      <c r="H148" s="75"/>
      <c r="I148" s="75"/>
      <c r="J148" s="9"/>
      <c r="K148" s="9" t="e">
        <f>DATE(YEAR(J148),MONTH(J148)+VLOOKUP($F148,'Membership Level'!$A$3:$B$10,2,FALSE),DAY(J148))</f>
        <v>#N/A</v>
      </c>
      <c r="L148" s="7">
        <v>3</v>
      </c>
      <c r="M148" s="7"/>
      <c r="N148" s="193" t="e">
        <f t="shared" si="4"/>
        <v>#N/A</v>
      </c>
      <c r="O148" s="7" t="e">
        <f t="shared" ca="1" si="5"/>
        <v>#N/A</v>
      </c>
      <c r="P148" s="7"/>
    </row>
    <row r="149" spans="1:17" s="11" customFormat="1" x14ac:dyDescent="0.35">
      <c r="A149" s="163"/>
      <c r="B149" s="163"/>
      <c r="C149" s="163"/>
      <c r="D149" s="163"/>
      <c r="E149" s="178"/>
      <c r="F149" s="163"/>
      <c r="G149" s="171"/>
      <c r="H149" s="171"/>
      <c r="I149" s="171"/>
      <c r="J149" s="156"/>
      <c r="K149" s="156" t="e">
        <f>DATE(YEAR(J149),MONTH(J149)+VLOOKUP($F149,'Membership Level'!$A$3:$B$10,2,FALSE),DAY(J149))</f>
        <v>#N/A</v>
      </c>
      <c r="L149" s="214">
        <v>3</v>
      </c>
      <c r="M149" s="214"/>
      <c r="N149" s="215" t="e">
        <f t="shared" si="4"/>
        <v>#N/A</v>
      </c>
      <c r="O149" s="214" t="e">
        <f t="shared" ca="1" si="5"/>
        <v>#N/A</v>
      </c>
      <c r="P149" s="214"/>
    </row>
    <row r="150" spans="1:17" s="11" customFormat="1" x14ac:dyDescent="0.35">
      <c r="A150" s="164"/>
      <c r="B150" s="164"/>
      <c r="C150" s="164"/>
      <c r="D150" s="164"/>
      <c r="E150" s="180"/>
      <c r="F150" s="164"/>
      <c r="G150" s="78"/>
      <c r="H150" s="78"/>
      <c r="I150" s="78"/>
      <c r="J150" s="59"/>
      <c r="K150" s="59" t="e">
        <f>DATE(YEAR(J150),MONTH(J150)+VLOOKUP($F150,'Membership Level'!$A$3:$B$10,2,FALSE),DAY(J150))</f>
        <v>#N/A</v>
      </c>
      <c r="L150" s="58">
        <v>3</v>
      </c>
      <c r="M150" s="58"/>
      <c r="N150" s="60" t="e">
        <f t="shared" si="4"/>
        <v>#N/A</v>
      </c>
      <c r="O150" s="58" t="e">
        <f t="shared" ca="1" si="5"/>
        <v>#N/A</v>
      </c>
      <c r="P150" s="58"/>
      <c r="Q150" s="58"/>
    </row>
    <row r="151" spans="1:17" x14ac:dyDescent="0.35">
      <c r="A151" s="137"/>
      <c r="B151" s="137"/>
      <c r="C151" s="137"/>
      <c r="D151" s="137"/>
      <c r="E151" s="137"/>
      <c r="F151" s="137"/>
      <c r="G151" s="75"/>
      <c r="H151" s="75"/>
      <c r="I151" s="75"/>
      <c r="J151" s="9"/>
      <c r="K151" s="9" t="e">
        <f>DATE(YEAR(J151),MONTH(J151)+VLOOKUP($F151,'Membership Level'!$A$3:$B$10,2,FALSE),DAY(J151))</f>
        <v>#N/A</v>
      </c>
      <c r="L151" s="7">
        <v>3</v>
      </c>
      <c r="M151" s="7"/>
      <c r="N151" s="193" t="e">
        <f t="shared" si="4"/>
        <v>#N/A</v>
      </c>
      <c r="O151" s="7" t="e">
        <f t="shared" ca="1" si="5"/>
        <v>#N/A</v>
      </c>
      <c r="P151" s="7"/>
      <c r="Q151" s="7"/>
    </row>
    <row r="152" spans="1:17" s="11" customFormat="1" x14ac:dyDescent="0.35">
      <c r="A152" s="164"/>
      <c r="B152" s="164"/>
      <c r="C152" s="164"/>
      <c r="D152" s="164"/>
      <c r="E152" s="164"/>
      <c r="F152" s="164"/>
      <c r="G152" s="78"/>
      <c r="H152" s="78"/>
      <c r="I152" s="78"/>
      <c r="J152" s="59"/>
      <c r="K152" s="59" t="e">
        <f>DATE(YEAR(J152),MONTH(J152)+VLOOKUP($F152,'Membership Level'!$A$3:$B$10,2,FALSE),DAY(J152))</f>
        <v>#N/A</v>
      </c>
      <c r="L152" s="58">
        <v>3</v>
      </c>
      <c r="M152" s="58"/>
      <c r="N152" s="60" t="e">
        <f t="shared" si="4"/>
        <v>#N/A</v>
      </c>
      <c r="O152" s="58" t="e">
        <f t="shared" ca="1" si="5"/>
        <v>#N/A</v>
      </c>
      <c r="P152" s="58"/>
      <c r="Q152" s="58"/>
    </row>
    <row r="153" spans="1:17" s="10" customFormat="1" x14ac:dyDescent="0.35">
      <c r="A153" s="152"/>
      <c r="B153" s="152"/>
      <c r="C153" s="152"/>
      <c r="D153" s="137"/>
      <c r="E153" s="179"/>
      <c r="F153" s="152"/>
      <c r="G153" s="98"/>
      <c r="H153" s="98"/>
      <c r="I153" s="98"/>
      <c r="J153" s="100"/>
      <c r="K153" s="100" t="e">
        <f>DATE(YEAR(J153),MONTH(J153)+VLOOKUP($F153,'Membership Level'!$A$3:$B$10,2,FALSE),DAY(J153))</f>
        <v>#N/A</v>
      </c>
      <c r="L153" s="79">
        <v>3</v>
      </c>
      <c r="M153" s="79"/>
      <c r="N153" s="101" t="e">
        <f t="shared" si="4"/>
        <v>#N/A</v>
      </c>
      <c r="O153" s="79" t="e">
        <f t="shared" ca="1" si="5"/>
        <v>#N/A</v>
      </c>
      <c r="P153" s="79"/>
      <c r="Q153" s="79"/>
    </row>
    <row r="154" spans="1:17" x14ac:dyDescent="0.35">
      <c r="A154" s="137"/>
      <c r="B154" s="137"/>
      <c r="C154" s="137"/>
      <c r="D154" s="137"/>
      <c r="E154" s="148"/>
      <c r="F154" s="137"/>
      <c r="G154" s="75"/>
      <c r="H154" s="75"/>
      <c r="I154" s="75"/>
      <c r="J154" s="9"/>
      <c r="K154" s="9" t="e">
        <f>DATE(YEAR(J154),MONTH(J154)+VLOOKUP($F154,'Membership Level'!$A$3:$B$10,2,FALSE),DAY(J154))</f>
        <v>#N/A</v>
      </c>
      <c r="L154" s="7">
        <v>3</v>
      </c>
      <c r="M154" s="7"/>
      <c r="N154" s="193" t="e">
        <f t="shared" si="4"/>
        <v>#N/A</v>
      </c>
      <c r="O154" s="7" t="e">
        <f t="shared" ca="1" si="5"/>
        <v>#N/A</v>
      </c>
      <c r="P154" s="7"/>
      <c r="Q154" s="7"/>
    </row>
    <row r="155" spans="1:17" s="10" customFormat="1" x14ac:dyDescent="0.35">
      <c r="A155" s="79"/>
      <c r="B155" s="79"/>
      <c r="C155" s="79"/>
      <c r="D155" s="7"/>
      <c r="E155" s="79"/>
      <c r="F155" s="79"/>
      <c r="G155" s="98"/>
      <c r="H155" s="98"/>
      <c r="I155" s="98"/>
      <c r="J155" s="100"/>
      <c r="K155" s="100" t="e">
        <f>DATE(YEAR(J155),MONTH(J155)+VLOOKUP($F155,'Membership Level'!$A$3:$B$10,2,FALSE),DAY(J155))</f>
        <v>#N/A</v>
      </c>
      <c r="L155" s="79">
        <v>3</v>
      </c>
      <c r="M155" s="79"/>
      <c r="N155" s="101" t="e">
        <f t="shared" si="4"/>
        <v>#N/A</v>
      </c>
      <c r="O155" s="79" t="e">
        <f t="shared" ca="1" si="5"/>
        <v>#N/A</v>
      </c>
      <c r="P155" s="79"/>
      <c r="Q155" s="79"/>
    </row>
    <row r="156" spans="1:17" x14ac:dyDescent="0.35">
      <c r="A156" s="7"/>
      <c r="B156" s="7"/>
      <c r="C156" s="7"/>
      <c r="D156" s="7"/>
      <c r="E156" s="80"/>
      <c r="F156" s="7"/>
      <c r="G156" s="75"/>
      <c r="H156" s="75"/>
      <c r="I156" s="98"/>
      <c r="J156" s="9"/>
      <c r="K156" s="9" t="e">
        <f>DATE(YEAR(J156),MONTH(J156)+VLOOKUP($F156,'Membership Level'!$A$3:$B$10,2,FALSE),DAY(J156))</f>
        <v>#N/A</v>
      </c>
      <c r="L156" s="7">
        <v>3</v>
      </c>
      <c r="M156" s="7"/>
      <c r="N156" s="193" t="e">
        <f t="shared" si="4"/>
        <v>#N/A</v>
      </c>
      <c r="O156" s="7" t="e">
        <f t="shared" ca="1" si="5"/>
        <v>#N/A</v>
      </c>
      <c r="P156" s="7"/>
      <c r="Q156" s="7"/>
    </row>
    <row r="157" spans="1:17" s="10" customFormat="1" x14ac:dyDescent="0.35">
      <c r="A157" s="79"/>
      <c r="B157" s="79"/>
      <c r="C157" s="79"/>
      <c r="D157" s="7"/>
      <c r="E157" s="97"/>
      <c r="F157" s="79"/>
      <c r="G157" s="98"/>
      <c r="H157" s="98"/>
      <c r="I157" s="98"/>
      <c r="J157" s="100"/>
      <c r="K157" s="100" t="e">
        <f>DATE(YEAR(J157),MONTH(J157)+VLOOKUP($F157,'Membership Level'!$A$3:$B$10,2,FALSE),DAY(J157))</f>
        <v>#N/A</v>
      </c>
      <c r="L157" s="79">
        <v>3</v>
      </c>
      <c r="M157" s="79"/>
      <c r="N157" s="101" t="e">
        <f t="shared" si="4"/>
        <v>#N/A</v>
      </c>
      <c r="O157" s="79" t="e">
        <f t="shared" ca="1" si="5"/>
        <v>#N/A</v>
      </c>
      <c r="P157" s="79"/>
      <c r="Q157" s="79"/>
    </row>
    <row r="158" spans="1:17" s="10" customFormat="1" x14ac:dyDescent="0.35">
      <c r="A158" s="79"/>
      <c r="B158" s="79"/>
      <c r="C158" s="79"/>
      <c r="D158" s="7"/>
      <c r="E158" s="97"/>
      <c r="F158" s="79"/>
      <c r="G158" s="98"/>
      <c r="H158" s="98"/>
      <c r="I158" s="98"/>
      <c r="J158" s="100"/>
      <c r="K158" s="100" t="e">
        <f>DATE(YEAR(J158),MONTH(J158)+VLOOKUP($F158,'Membership Level'!$A$3:$B$10,2,FALSE),DAY(J158))</f>
        <v>#N/A</v>
      </c>
      <c r="L158" s="79">
        <v>3</v>
      </c>
      <c r="M158" s="79"/>
      <c r="N158" s="101" t="e">
        <f t="shared" si="4"/>
        <v>#N/A</v>
      </c>
      <c r="O158" s="79" t="e">
        <f t="shared" ca="1" si="5"/>
        <v>#N/A</v>
      </c>
      <c r="P158" s="79"/>
      <c r="Q158" s="79"/>
    </row>
    <row r="159" spans="1:17" s="106" customFormat="1" x14ac:dyDescent="0.35">
      <c r="A159" s="216"/>
      <c r="B159" s="216"/>
      <c r="C159" s="216"/>
      <c r="D159" s="216"/>
      <c r="E159" s="217"/>
      <c r="F159" s="216"/>
      <c r="G159" s="218"/>
      <c r="H159" s="218"/>
      <c r="I159" s="218"/>
      <c r="J159" s="219"/>
      <c r="K159" s="219" t="e">
        <f>DATE(YEAR(J159),MONTH(J159)+VLOOKUP($F159,'Membership Level'!$A$3:$B$10,2,FALSE),DAY(J159))</f>
        <v>#N/A</v>
      </c>
      <c r="L159" s="216">
        <v>3</v>
      </c>
      <c r="M159" s="216"/>
      <c r="N159" s="220" t="e">
        <f t="shared" si="4"/>
        <v>#N/A</v>
      </c>
      <c r="O159" s="216" t="e">
        <f t="shared" ca="1" si="5"/>
        <v>#N/A</v>
      </c>
      <c r="P159" s="216"/>
      <c r="Q159" s="216"/>
    </row>
    <row r="160" spans="1:17" x14ac:dyDescent="0.35">
      <c r="A160" s="7"/>
      <c r="B160" s="7"/>
      <c r="C160" s="7"/>
      <c r="D160" s="7"/>
      <c r="E160" s="7"/>
      <c r="F160" s="7"/>
      <c r="G160" s="75"/>
      <c r="H160" s="75"/>
      <c r="I160" s="75"/>
      <c r="J160" s="9"/>
      <c r="K160" s="9" t="e">
        <f>DATE(YEAR(J160),MONTH(J160)+VLOOKUP($F160,'Membership Level'!$A$3:$B$10,2,FALSE),DAY(J160))</f>
        <v>#N/A</v>
      </c>
      <c r="L160" s="7">
        <v>3</v>
      </c>
      <c r="M160" s="7"/>
      <c r="N160" s="193" t="e">
        <f t="shared" si="4"/>
        <v>#N/A</v>
      </c>
      <c r="O160" s="7" t="e">
        <f t="shared" ca="1" si="5"/>
        <v>#N/A</v>
      </c>
      <c r="P160" s="7"/>
      <c r="Q160" s="7"/>
    </row>
    <row r="161" spans="1:17" s="11" customFormat="1" x14ac:dyDescent="0.35">
      <c r="A161" s="58"/>
      <c r="B161" s="58"/>
      <c r="C161" s="58"/>
      <c r="D161" s="58"/>
      <c r="E161" s="58"/>
      <c r="F161" s="58"/>
      <c r="G161" s="78"/>
      <c r="H161" s="78"/>
      <c r="I161" s="78"/>
      <c r="J161" s="59"/>
      <c r="K161" s="59" t="e">
        <f>DATE(YEAR(J161),MONTH(J161)+VLOOKUP($F161,'Membership Level'!$A$3:$B$10,2,FALSE),DAY(J161))</f>
        <v>#N/A</v>
      </c>
      <c r="L161" s="58">
        <v>3</v>
      </c>
      <c r="M161" s="58"/>
      <c r="N161" s="60" t="e">
        <f t="shared" si="4"/>
        <v>#N/A</v>
      </c>
      <c r="O161" s="58" t="e">
        <f t="shared" ca="1" si="5"/>
        <v>#N/A</v>
      </c>
      <c r="P161" s="58"/>
      <c r="Q161" s="58"/>
    </row>
    <row r="162" spans="1:17" s="10" customFormat="1" x14ac:dyDescent="0.35">
      <c r="A162" s="79"/>
      <c r="B162" s="79"/>
      <c r="C162" s="79"/>
      <c r="D162" s="7"/>
      <c r="E162" s="97"/>
      <c r="F162" s="79"/>
      <c r="G162" s="98"/>
      <c r="H162" s="98"/>
      <c r="I162" s="98"/>
      <c r="J162" s="100"/>
      <c r="K162" s="100" t="e">
        <f>DATE(YEAR(J162),MONTH(J162)+VLOOKUP($F162,'Membership Level'!$A$3:$B$10,2,FALSE),DAY(J162))</f>
        <v>#N/A</v>
      </c>
      <c r="L162" s="79">
        <v>3</v>
      </c>
      <c r="M162" s="79"/>
      <c r="N162" s="101" t="e">
        <f t="shared" si="4"/>
        <v>#N/A</v>
      </c>
      <c r="O162" s="79" t="e">
        <f t="shared" ca="1" si="5"/>
        <v>#N/A</v>
      </c>
      <c r="P162" s="79"/>
      <c r="Q162" s="79"/>
    </row>
    <row r="163" spans="1:17" s="10" customFormat="1" x14ac:dyDescent="0.35">
      <c r="A163" s="79"/>
      <c r="B163" s="79"/>
      <c r="C163" s="79"/>
      <c r="D163" s="7"/>
      <c r="E163" s="97"/>
      <c r="F163" s="79"/>
      <c r="G163" s="98"/>
      <c r="H163" s="98"/>
      <c r="I163" s="98"/>
      <c r="J163" s="100"/>
      <c r="K163" s="100" t="e">
        <f>DATE(YEAR(J163),MONTH(J163)+VLOOKUP($F163,'Membership Level'!$A$3:$B$10,2,FALSE),DAY(J163))</f>
        <v>#N/A</v>
      </c>
      <c r="L163" s="79">
        <v>3</v>
      </c>
      <c r="M163" s="79"/>
      <c r="N163" s="101" t="e">
        <f t="shared" si="4"/>
        <v>#N/A</v>
      </c>
      <c r="O163" s="79" t="e">
        <f t="shared" ca="1" si="5"/>
        <v>#N/A</v>
      </c>
      <c r="P163" s="79"/>
      <c r="Q163" s="79"/>
    </row>
    <row r="164" spans="1:17" s="10" customFormat="1" x14ac:dyDescent="0.35">
      <c r="A164" s="79"/>
      <c r="B164" s="79"/>
      <c r="C164" s="79"/>
      <c r="D164" s="7"/>
      <c r="E164" s="97"/>
      <c r="F164" s="79"/>
      <c r="G164" s="98"/>
      <c r="H164" s="98"/>
      <c r="I164" s="98"/>
      <c r="J164" s="100"/>
      <c r="K164" s="100" t="e">
        <f>DATE(YEAR(J164),MONTH(J164)+VLOOKUP($F164,'Membership Level'!$A$3:$B$10,2,FALSE),DAY(J164))</f>
        <v>#N/A</v>
      </c>
      <c r="L164" s="79">
        <v>3</v>
      </c>
      <c r="M164" s="79"/>
      <c r="N164" s="101" t="e">
        <f t="shared" si="4"/>
        <v>#N/A</v>
      </c>
      <c r="O164" s="79" t="e">
        <f t="shared" ca="1" si="5"/>
        <v>#N/A</v>
      </c>
      <c r="P164" s="79"/>
      <c r="Q164" s="79"/>
    </row>
    <row r="165" spans="1:17" x14ac:dyDescent="0.35">
      <c r="A165" s="7"/>
      <c r="B165" s="7"/>
      <c r="C165" s="7"/>
      <c r="D165" s="7"/>
      <c r="E165" s="80"/>
      <c r="F165" s="7"/>
      <c r="G165" s="75"/>
      <c r="H165" s="75"/>
      <c r="I165" s="75"/>
      <c r="J165" s="9"/>
      <c r="K165" s="9" t="e">
        <f>DATE(YEAR(J165),MONTH(J165)+VLOOKUP($F165,'Membership Level'!$A$3:$B$10,2,FALSE),DAY(J165))</f>
        <v>#N/A</v>
      </c>
      <c r="L165" s="7">
        <v>3</v>
      </c>
      <c r="M165" s="7"/>
      <c r="N165" s="193" t="e">
        <f t="shared" si="4"/>
        <v>#N/A</v>
      </c>
      <c r="O165" s="7" t="e">
        <f t="shared" ca="1" si="5"/>
        <v>#N/A</v>
      </c>
      <c r="P165" s="7"/>
      <c r="Q165" s="7"/>
    </row>
    <row r="166" spans="1:17" x14ac:dyDescent="0.35">
      <c r="A166" s="7"/>
      <c r="B166" s="7"/>
      <c r="C166" s="7"/>
      <c r="D166" s="7"/>
      <c r="E166" s="80"/>
      <c r="F166" s="7"/>
      <c r="G166" s="75"/>
      <c r="H166" s="75"/>
      <c r="I166" s="75"/>
      <c r="J166" s="9"/>
      <c r="K166" s="9" t="e">
        <f>DATE(YEAR(J166),MONTH(J166)+VLOOKUP($F166,'Membership Level'!$A$3:$B$10,2,FALSE),DAY(J166))</f>
        <v>#N/A</v>
      </c>
      <c r="L166" s="7">
        <v>3</v>
      </c>
      <c r="M166" s="7"/>
      <c r="N166" s="193" t="e">
        <f t="shared" si="4"/>
        <v>#N/A</v>
      </c>
      <c r="O166" s="7" t="e">
        <f t="shared" ca="1" si="5"/>
        <v>#N/A</v>
      </c>
      <c r="P166" s="7"/>
      <c r="Q166" s="7"/>
    </row>
    <row r="167" spans="1:17" s="11" customFormat="1" x14ac:dyDescent="0.35">
      <c r="A167" s="58"/>
      <c r="B167" s="58"/>
      <c r="C167" s="58"/>
      <c r="D167" s="58"/>
      <c r="E167" s="81"/>
      <c r="F167" s="58"/>
      <c r="G167" s="78"/>
      <c r="H167" s="78"/>
      <c r="I167" s="78"/>
      <c r="J167" s="59"/>
      <c r="K167" s="59" t="e">
        <f>DATE(YEAR(J167),MONTH(J167)+VLOOKUP($F167,'Membership Level'!$A$3:$B$10,2,FALSE),DAY(J167))</f>
        <v>#N/A</v>
      </c>
      <c r="L167" s="58">
        <v>3</v>
      </c>
      <c r="M167" s="58"/>
      <c r="N167" s="60" t="e">
        <f t="shared" si="4"/>
        <v>#N/A</v>
      </c>
      <c r="O167" s="58" t="e">
        <f t="shared" ca="1" si="5"/>
        <v>#N/A</v>
      </c>
      <c r="P167" s="58"/>
      <c r="Q167" s="58"/>
    </row>
    <row r="168" spans="1:17" s="10" customFormat="1" x14ac:dyDescent="0.35">
      <c r="A168" s="79"/>
      <c r="B168" s="79"/>
      <c r="C168" s="79"/>
      <c r="D168" s="7"/>
      <c r="E168" s="97"/>
      <c r="F168" s="79"/>
      <c r="G168" s="98"/>
      <c r="H168" s="98"/>
      <c r="I168" s="98"/>
      <c r="J168" s="100"/>
      <c r="K168" s="100" t="e">
        <f>DATE(YEAR(J168),MONTH(J168)+VLOOKUP($F168,'Membership Level'!$A$3:$B$10,2,FALSE),DAY(J168))</f>
        <v>#N/A</v>
      </c>
      <c r="L168" s="79">
        <v>3</v>
      </c>
      <c r="M168" s="79"/>
      <c r="N168" s="101" t="e">
        <f t="shared" si="4"/>
        <v>#N/A</v>
      </c>
      <c r="O168" s="79" t="e">
        <f t="shared" ca="1" si="5"/>
        <v>#N/A</v>
      </c>
      <c r="P168" s="79"/>
      <c r="Q168" s="79"/>
    </row>
    <row r="169" spans="1:17" x14ac:dyDescent="0.35">
      <c r="A169" s="7"/>
      <c r="B169" s="7"/>
      <c r="C169" s="7"/>
      <c r="D169" s="7"/>
      <c r="E169" s="80"/>
      <c r="F169" s="7"/>
      <c r="G169" s="75"/>
      <c r="H169" s="75"/>
      <c r="I169" s="75"/>
      <c r="J169" s="9"/>
      <c r="K169" s="9" t="e">
        <f>DATE(YEAR(J169),MONTH(J169)+VLOOKUP($F169,'Membership Level'!$A$3:$B$10,2,FALSE),DAY(J169))</f>
        <v>#N/A</v>
      </c>
      <c r="L169" s="7">
        <v>3</v>
      </c>
      <c r="M169" s="7"/>
      <c r="N169" s="193" t="e">
        <f t="shared" si="4"/>
        <v>#N/A</v>
      </c>
      <c r="O169" s="7" t="e">
        <f t="shared" ca="1" si="5"/>
        <v>#N/A</v>
      </c>
      <c r="P169" s="7"/>
      <c r="Q169" s="7"/>
    </row>
    <row r="170" spans="1:17" s="173" customFormat="1" x14ac:dyDescent="0.35">
      <c r="A170" s="172"/>
      <c r="B170" s="172"/>
      <c r="C170" s="172"/>
      <c r="D170" s="172"/>
      <c r="E170" s="175"/>
      <c r="F170" s="172"/>
      <c r="G170" s="176"/>
      <c r="H170" s="176"/>
      <c r="I170" s="176"/>
      <c r="J170" s="177"/>
      <c r="K170" s="177" t="e">
        <f>DATE(YEAR(J170),MONTH(J170)+VLOOKUP($F170,'Membership Level'!$A$3:$B$10,2,FALSE),DAY(J170))</f>
        <v>#N/A</v>
      </c>
      <c r="L170" s="172">
        <v>3</v>
      </c>
      <c r="M170" s="172"/>
      <c r="N170" s="174" t="e">
        <f t="shared" si="4"/>
        <v>#N/A</v>
      </c>
      <c r="O170" s="172" t="e">
        <f t="shared" ca="1" si="5"/>
        <v>#N/A</v>
      </c>
      <c r="P170" s="172"/>
      <c r="Q170" s="172"/>
    </row>
    <row r="171" spans="1:17" s="10" customFormat="1" x14ac:dyDescent="0.35">
      <c r="A171" s="79"/>
      <c r="B171" s="79"/>
      <c r="C171" s="79"/>
      <c r="D171" s="7"/>
      <c r="E171" s="97"/>
      <c r="F171" s="79"/>
      <c r="G171" s="98"/>
      <c r="H171" s="98"/>
      <c r="I171" s="98"/>
      <c r="J171" s="100"/>
      <c r="K171" s="100" t="e">
        <f>DATE(YEAR(J171),MONTH(J171)+VLOOKUP($F171,'Membership Level'!$A$3:$B$10,2,FALSE),DAY(J171))</f>
        <v>#N/A</v>
      </c>
      <c r="L171" s="79">
        <v>3</v>
      </c>
      <c r="M171" s="79"/>
      <c r="N171" s="101" t="e">
        <f t="shared" si="4"/>
        <v>#N/A</v>
      </c>
      <c r="O171" s="79" t="e">
        <f t="shared" ca="1" si="5"/>
        <v>#N/A</v>
      </c>
      <c r="P171" s="79"/>
      <c r="Q171" s="79"/>
    </row>
    <row r="172" spans="1:17" x14ac:dyDescent="0.35">
      <c r="A172" s="7"/>
      <c r="B172" s="7"/>
      <c r="C172" s="7"/>
      <c r="D172" s="7"/>
      <c r="E172" s="80"/>
      <c r="F172" s="7"/>
      <c r="G172" s="75"/>
      <c r="H172" s="75"/>
      <c r="I172" s="75"/>
      <c r="J172" s="9"/>
      <c r="K172" s="9" t="e">
        <f>DATE(YEAR(J172),MONTH(J172)+VLOOKUP($F172,'Membership Level'!$A$3:$B$10,2,FALSE),DAY(J172))</f>
        <v>#N/A</v>
      </c>
      <c r="L172" s="7">
        <v>3</v>
      </c>
      <c r="M172" s="7"/>
      <c r="N172" s="193" t="e">
        <f t="shared" si="4"/>
        <v>#N/A</v>
      </c>
      <c r="O172" s="7" t="e">
        <f t="shared" ca="1" si="5"/>
        <v>#N/A</v>
      </c>
      <c r="P172" s="7"/>
      <c r="Q172" s="7"/>
    </row>
    <row r="173" spans="1:17" x14ac:dyDescent="0.35">
      <c r="A173" s="7"/>
      <c r="B173" s="7"/>
      <c r="C173" s="7"/>
      <c r="D173" s="7"/>
      <c r="E173" s="80"/>
      <c r="F173" s="7"/>
      <c r="G173" s="75"/>
      <c r="H173" s="75"/>
      <c r="I173" s="75"/>
      <c r="J173" s="9"/>
      <c r="K173" s="9" t="e">
        <f>DATE(YEAR(J173),MONTH(J173)+VLOOKUP($F173,'Membership Level'!$A$3:$B$10,2,FALSE),DAY(J173))</f>
        <v>#N/A</v>
      </c>
      <c r="L173" s="7">
        <v>3</v>
      </c>
      <c r="M173" s="7"/>
      <c r="N173" s="193" t="e">
        <f t="shared" si="4"/>
        <v>#N/A</v>
      </c>
      <c r="O173" s="7" t="e">
        <f t="shared" ca="1" si="5"/>
        <v>#N/A</v>
      </c>
      <c r="P173" s="7"/>
      <c r="Q173" s="7"/>
    </row>
    <row r="174" spans="1:17" x14ac:dyDescent="0.35">
      <c r="A174" s="7"/>
      <c r="B174" s="7"/>
      <c r="C174" s="7"/>
      <c r="D174" s="7"/>
      <c r="E174" s="80"/>
      <c r="F174" s="7"/>
      <c r="G174" s="75"/>
      <c r="H174" s="75"/>
      <c r="I174" s="75"/>
      <c r="J174" s="9"/>
      <c r="K174" s="9" t="e">
        <f>DATE(YEAR(J174),MONTH(J174)+VLOOKUP($F174,'Membership Level'!$A$3:$B$10,2,FALSE),DAY(J174))</f>
        <v>#N/A</v>
      </c>
      <c r="L174" s="7">
        <v>3</v>
      </c>
      <c r="M174" s="7"/>
      <c r="N174" s="193" t="e">
        <f t="shared" si="4"/>
        <v>#N/A</v>
      </c>
      <c r="O174" s="7" t="e">
        <f t="shared" ca="1" si="5"/>
        <v>#N/A</v>
      </c>
      <c r="P174" s="7"/>
      <c r="Q174" s="7"/>
    </row>
    <row r="175" spans="1:17" x14ac:dyDescent="0.35">
      <c r="A175" s="7"/>
      <c r="B175" s="7"/>
      <c r="C175" s="7"/>
      <c r="D175" s="7"/>
      <c r="E175" s="80"/>
      <c r="F175" s="7"/>
      <c r="G175" s="75"/>
      <c r="H175" s="75"/>
      <c r="I175" s="75"/>
      <c r="J175" s="9"/>
      <c r="K175" s="9" t="e">
        <f>DATE(YEAR(J175),MONTH(J175)+VLOOKUP($F175,'Membership Level'!$A$3:$B$10,2,FALSE),DAY(J175))</f>
        <v>#N/A</v>
      </c>
      <c r="L175" s="7">
        <v>3</v>
      </c>
      <c r="M175" s="7"/>
      <c r="N175" s="193" t="e">
        <f t="shared" si="4"/>
        <v>#N/A</v>
      </c>
      <c r="O175" s="7" t="e">
        <f t="shared" ca="1" si="5"/>
        <v>#N/A</v>
      </c>
      <c r="P175" s="7"/>
      <c r="Q175" s="7"/>
    </row>
    <row r="176" spans="1:17" x14ac:dyDescent="0.35">
      <c r="A176" s="7"/>
      <c r="B176" s="7"/>
      <c r="C176" s="7"/>
      <c r="D176" s="7"/>
      <c r="E176" s="80"/>
      <c r="F176" s="7"/>
      <c r="G176" s="75"/>
      <c r="H176" s="75"/>
      <c r="I176" s="75"/>
      <c r="J176" s="9"/>
      <c r="K176" s="9" t="e">
        <f>DATE(YEAR(J176),MONTH(J176)+VLOOKUP($F176,'Membership Level'!$A$3:$B$10,2,FALSE),DAY(J176))</f>
        <v>#N/A</v>
      </c>
      <c r="L176" s="7">
        <v>3</v>
      </c>
      <c r="M176" s="7"/>
      <c r="N176" s="193" t="e">
        <f t="shared" si="4"/>
        <v>#N/A</v>
      </c>
      <c r="O176" s="7" t="e">
        <f t="shared" ca="1" si="5"/>
        <v>#N/A</v>
      </c>
      <c r="P176" s="7"/>
      <c r="Q176" s="7"/>
    </row>
    <row r="177" spans="1:17" s="6" customFormat="1" x14ac:dyDescent="0.35">
      <c r="A177" s="62"/>
      <c r="B177" s="62"/>
      <c r="C177" s="62"/>
      <c r="D177" s="62"/>
      <c r="E177" s="62"/>
      <c r="F177" s="62"/>
      <c r="G177" s="92"/>
      <c r="H177" s="92"/>
      <c r="I177" s="92"/>
      <c r="J177" s="65"/>
      <c r="K177" s="65" t="e">
        <f>DATE(YEAR(J177),MONTH(J177)+VLOOKUP($F177,'Membership Level'!$A$3:$B$10,2,FALSE),DAY(J177))</f>
        <v>#N/A</v>
      </c>
      <c r="L177" s="62">
        <v>3</v>
      </c>
      <c r="M177" s="62"/>
      <c r="N177" s="66" t="e">
        <f t="shared" si="4"/>
        <v>#N/A</v>
      </c>
      <c r="O177" s="62" t="e">
        <f t="shared" ca="1" si="5"/>
        <v>#N/A</v>
      </c>
      <c r="P177" s="62"/>
      <c r="Q177" s="62"/>
    </row>
    <row r="178" spans="1:17" x14ac:dyDescent="0.35">
      <c r="A178" s="7"/>
      <c r="B178" s="7"/>
      <c r="C178" s="7"/>
      <c r="D178" s="7"/>
      <c r="E178" s="80"/>
      <c r="F178" s="7"/>
      <c r="G178" s="75"/>
      <c r="H178" s="75"/>
      <c r="I178" s="75"/>
      <c r="J178" s="9"/>
      <c r="K178" s="9" t="e">
        <f>DATE(YEAR(J178),MONTH(J178)+VLOOKUP($F178,'Membership Level'!$A$3:$B$10,2,FALSE),DAY(J178))</f>
        <v>#N/A</v>
      </c>
      <c r="L178" s="7">
        <v>3</v>
      </c>
      <c r="M178" s="7"/>
      <c r="N178" s="193" t="e">
        <f t="shared" si="4"/>
        <v>#N/A</v>
      </c>
      <c r="O178" s="7" t="e">
        <f t="shared" ca="1" si="5"/>
        <v>#N/A</v>
      </c>
      <c r="P178" s="7"/>
      <c r="Q178" s="7"/>
    </row>
    <row r="179" spans="1:17" x14ac:dyDescent="0.35">
      <c r="A179" s="7"/>
      <c r="B179" s="7"/>
      <c r="C179" s="7"/>
      <c r="D179" s="7"/>
      <c r="E179" s="80"/>
      <c r="F179" s="7"/>
      <c r="G179" s="75"/>
      <c r="H179" s="75"/>
      <c r="I179" s="75"/>
      <c r="J179" s="9"/>
      <c r="K179" s="9" t="e">
        <f>DATE(YEAR(J179),MONTH(J179)+VLOOKUP($F179,'Membership Level'!$A$3:$B$10,2,FALSE),DAY(J179))</f>
        <v>#N/A</v>
      </c>
      <c r="L179" s="7">
        <v>3</v>
      </c>
      <c r="M179" s="7"/>
      <c r="N179" s="193" t="e">
        <f t="shared" si="4"/>
        <v>#N/A</v>
      </c>
      <c r="O179" s="7" t="e">
        <f t="shared" ca="1" si="5"/>
        <v>#N/A</v>
      </c>
      <c r="P179" s="7"/>
      <c r="Q179" s="7"/>
    </row>
    <row r="180" spans="1:17" x14ac:dyDescent="0.35">
      <c r="A180" s="7"/>
      <c r="B180" s="7"/>
      <c r="C180" s="7"/>
      <c r="D180" s="7"/>
      <c r="E180" s="80"/>
      <c r="F180" s="7"/>
      <c r="G180" s="75"/>
      <c r="H180" s="75"/>
      <c r="I180" s="75"/>
      <c r="J180" s="9"/>
      <c r="K180" s="9" t="e">
        <f>DATE(YEAR(J180),MONTH(J180)+VLOOKUP($F180,'Membership Level'!$A$3:$B$10,2,FALSE),DAY(J180))</f>
        <v>#N/A</v>
      </c>
      <c r="L180" s="7">
        <v>3</v>
      </c>
      <c r="M180" s="7"/>
      <c r="N180" s="193" t="e">
        <f t="shared" si="4"/>
        <v>#N/A</v>
      </c>
      <c r="O180" s="7" t="e">
        <f t="shared" ca="1" si="5"/>
        <v>#N/A</v>
      </c>
      <c r="P180" s="7"/>
      <c r="Q180" s="7"/>
    </row>
    <row r="181" spans="1:17" x14ac:dyDescent="0.35">
      <c r="A181" s="7"/>
      <c r="B181" s="7"/>
      <c r="C181" s="7"/>
      <c r="D181" s="7"/>
      <c r="E181" s="80"/>
      <c r="F181" s="7"/>
      <c r="G181" s="75"/>
      <c r="H181" s="75"/>
      <c r="I181" s="75"/>
      <c r="J181" s="9"/>
      <c r="K181" s="9" t="e">
        <f>DATE(YEAR(J181),MONTH(J181)+VLOOKUP($F181,'Membership Level'!$A$3:$B$10,2,FALSE),DAY(J181))</f>
        <v>#N/A</v>
      </c>
      <c r="L181" s="7">
        <v>3</v>
      </c>
      <c r="M181" s="7"/>
      <c r="N181" s="193" t="e">
        <f t="shared" si="4"/>
        <v>#N/A</v>
      </c>
      <c r="O181" s="7" t="e">
        <f t="shared" ca="1" si="5"/>
        <v>#N/A</v>
      </c>
      <c r="P181" s="7"/>
      <c r="Q181" s="7"/>
    </row>
    <row r="182" spans="1:17" x14ac:dyDescent="0.35">
      <c r="A182" s="7"/>
      <c r="B182" s="7"/>
      <c r="C182" s="7"/>
      <c r="D182" s="7"/>
      <c r="E182" s="80"/>
      <c r="F182" s="7"/>
      <c r="G182" s="75"/>
      <c r="H182" s="75"/>
      <c r="I182" s="75"/>
      <c r="J182" s="9"/>
      <c r="K182" s="9" t="e">
        <f>DATE(YEAR(J182),MONTH(J182)+VLOOKUP($F182,'Membership Level'!$A$3:$B$10,2,FALSE),DAY(J182))</f>
        <v>#N/A</v>
      </c>
      <c r="L182" s="7">
        <v>3</v>
      </c>
      <c r="M182" s="7"/>
      <c r="N182" s="193" t="e">
        <f t="shared" si="4"/>
        <v>#N/A</v>
      </c>
      <c r="O182" s="7" t="e">
        <f t="shared" ca="1" si="5"/>
        <v>#N/A</v>
      </c>
      <c r="P182" s="7"/>
      <c r="Q182" s="7"/>
    </row>
    <row r="183" spans="1:17" s="85" customFormat="1" x14ac:dyDescent="0.35">
      <c r="A183" s="165"/>
      <c r="B183" s="165"/>
      <c r="C183" s="165"/>
      <c r="D183" s="165"/>
      <c r="E183" s="165"/>
      <c r="F183" s="165"/>
      <c r="G183" s="181"/>
      <c r="H183" s="181"/>
      <c r="I183" s="181"/>
      <c r="J183" s="182"/>
      <c r="K183" s="182" t="e">
        <f>DATE(YEAR(J183),MONTH(J183)+VLOOKUP($F183,'Membership Level'!$A$3:$B$10,2,FALSE),DAY(J183))</f>
        <v>#N/A</v>
      </c>
      <c r="L183" s="165">
        <v>3</v>
      </c>
      <c r="M183" s="165"/>
      <c r="N183" s="221" t="e">
        <f t="shared" si="4"/>
        <v>#N/A</v>
      </c>
      <c r="O183" s="165" t="e">
        <f t="shared" ca="1" si="5"/>
        <v>#N/A</v>
      </c>
      <c r="P183" s="165"/>
      <c r="Q183" s="165"/>
    </row>
    <row r="184" spans="1:17" x14ac:dyDescent="0.35">
      <c r="A184" s="7"/>
      <c r="B184" s="7"/>
      <c r="C184" s="7"/>
      <c r="D184" s="7"/>
      <c r="E184" s="80"/>
      <c r="F184" s="7"/>
      <c r="G184" s="75"/>
      <c r="H184" s="75"/>
      <c r="I184" s="75"/>
      <c r="J184" s="9"/>
      <c r="K184" s="9" t="e">
        <f>DATE(YEAR(J184),MONTH(J184)+VLOOKUP($F184,'Membership Level'!$A$3:$B$10,2,FALSE),DAY(J184))</f>
        <v>#N/A</v>
      </c>
      <c r="L184" s="7">
        <v>3</v>
      </c>
      <c r="M184" s="7"/>
      <c r="N184" s="193" t="e">
        <f t="shared" si="4"/>
        <v>#N/A</v>
      </c>
      <c r="O184" s="7" t="e">
        <f t="shared" ca="1" si="5"/>
        <v>#N/A</v>
      </c>
      <c r="P184" s="7"/>
      <c r="Q184" s="7"/>
    </row>
    <row r="185" spans="1:17" x14ac:dyDescent="0.35">
      <c r="A185" s="7"/>
      <c r="B185" s="7"/>
      <c r="C185" s="7"/>
      <c r="D185" s="7"/>
      <c r="E185" s="80"/>
      <c r="F185" s="7"/>
      <c r="G185" s="75"/>
      <c r="H185" s="75"/>
      <c r="I185" s="75"/>
      <c r="J185" s="9"/>
      <c r="K185" s="9" t="e">
        <f>DATE(YEAR(J185),MONTH(J185)+VLOOKUP($F185,'Membership Level'!$A$3:$B$10,2,FALSE),DAY(J185))</f>
        <v>#N/A</v>
      </c>
      <c r="L185" s="7">
        <v>3</v>
      </c>
      <c r="M185" s="7"/>
      <c r="N185" s="193" t="e">
        <f t="shared" si="4"/>
        <v>#N/A</v>
      </c>
      <c r="O185" s="7" t="e">
        <f t="shared" ca="1" si="5"/>
        <v>#N/A</v>
      </c>
      <c r="P185" s="7"/>
      <c r="Q185" s="7"/>
    </row>
    <row r="186" spans="1:17" x14ac:dyDescent="0.35">
      <c r="A186" s="7"/>
      <c r="B186" s="7"/>
      <c r="C186" s="7"/>
      <c r="D186" s="7"/>
      <c r="E186" s="7"/>
      <c r="F186" s="7"/>
      <c r="G186" s="75"/>
      <c r="H186" s="75"/>
      <c r="I186" s="75"/>
      <c r="J186" s="9"/>
      <c r="K186" s="9" t="e">
        <f>DATE(YEAR(J186),MONTH(J186)+VLOOKUP($F186,'Membership Level'!$A$3:$B$10,2,FALSE),DAY(J186))</f>
        <v>#N/A</v>
      </c>
      <c r="L186" s="7">
        <v>3</v>
      </c>
      <c r="M186" s="7"/>
      <c r="N186" s="193" t="e">
        <f t="shared" si="4"/>
        <v>#N/A</v>
      </c>
      <c r="O186" s="7" t="e">
        <f t="shared" ca="1" si="5"/>
        <v>#N/A</v>
      </c>
      <c r="P186" s="7"/>
      <c r="Q186" s="7"/>
    </row>
    <row r="187" spans="1:17" x14ac:dyDescent="0.35">
      <c r="A187" s="7"/>
      <c r="B187" s="7"/>
      <c r="C187" s="7"/>
      <c r="D187" s="7"/>
      <c r="E187" s="80"/>
      <c r="F187" s="7"/>
      <c r="G187" s="75"/>
      <c r="H187" s="75"/>
      <c r="I187" s="75"/>
      <c r="J187" s="9"/>
      <c r="K187" s="9" t="e">
        <f>DATE(YEAR(J187),MONTH(J187)+VLOOKUP($F187,'Membership Level'!$A$3:$B$10,2,FALSE),DAY(J187))</f>
        <v>#N/A</v>
      </c>
      <c r="L187" s="7">
        <v>3</v>
      </c>
      <c r="M187" s="7"/>
      <c r="N187" s="193" t="e">
        <f t="shared" si="4"/>
        <v>#N/A</v>
      </c>
      <c r="O187" s="7" t="e">
        <f t="shared" ca="1" si="5"/>
        <v>#N/A</v>
      </c>
      <c r="P187" s="7"/>
      <c r="Q187" s="7"/>
    </row>
    <row r="188" spans="1:17" x14ac:dyDescent="0.35">
      <c r="A188" s="7"/>
      <c r="B188" s="7"/>
      <c r="C188" s="7"/>
      <c r="D188" s="7"/>
      <c r="E188" s="80"/>
      <c r="F188" s="7"/>
      <c r="G188" s="75"/>
      <c r="H188" s="75"/>
      <c r="I188" s="75"/>
      <c r="J188" s="9"/>
      <c r="K188" s="9" t="e">
        <f>DATE(YEAR(J188),MONTH(J188)+VLOOKUP($F188,'Membership Level'!$A$3:$B$10,2,FALSE),DAY(J188))</f>
        <v>#N/A</v>
      </c>
      <c r="L188" s="7">
        <v>3</v>
      </c>
      <c r="M188" s="7"/>
      <c r="N188" s="193" t="e">
        <f t="shared" si="4"/>
        <v>#N/A</v>
      </c>
      <c r="O188" s="7" t="e">
        <f t="shared" ca="1" si="5"/>
        <v>#N/A</v>
      </c>
      <c r="P188" s="7"/>
      <c r="Q188" s="7"/>
    </row>
    <row r="189" spans="1:17" x14ac:dyDescent="0.35">
      <c r="A189" s="7"/>
      <c r="B189" s="7"/>
      <c r="C189" s="7"/>
      <c r="D189" s="7"/>
      <c r="E189" s="80"/>
      <c r="F189" s="7"/>
      <c r="G189" s="75"/>
      <c r="H189" s="75"/>
      <c r="I189" s="75"/>
      <c r="J189" s="9"/>
      <c r="K189" s="9" t="e">
        <f>DATE(YEAR(J189),MONTH(J189)+VLOOKUP($F189,'Membership Level'!$A$3:$B$10,2,FALSE),DAY(J189))</f>
        <v>#N/A</v>
      </c>
      <c r="L189" s="7">
        <v>3</v>
      </c>
      <c r="M189" s="7"/>
      <c r="N189" s="193" t="e">
        <f t="shared" si="4"/>
        <v>#N/A</v>
      </c>
      <c r="O189" s="7" t="e">
        <f t="shared" ca="1" si="5"/>
        <v>#N/A</v>
      </c>
      <c r="P189" s="7"/>
      <c r="Q189" s="7"/>
    </row>
    <row r="190" spans="1:17" x14ac:dyDescent="0.35">
      <c r="A190" s="7"/>
      <c r="B190" s="7"/>
      <c r="C190" s="7"/>
      <c r="D190" s="7"/>
      <c r="E190" s="80"/>
      <c r="F190" s="7"/>
      <c r="G190" s="75"/>
      <c r="H190" s="75"/>
      <c r="I190" s="75"/>
      <c r="J190" s="9"/>
      <c r="K190" s="9" t="e">
        <f>DATE(YEAR(J190),MONTH(J190)+VLOOKUP($F190,'Membership Level'!$A$3:$B$10,2,FALSE),DAY(J190))</f>
        <v>#N/A</v>
      </c>
      <c r="L190" s="7">
        <v>3</v>
      </c>
      <c r="M190" s="7"/>
      <c r="N190" s="193" t="e">
        <f t="shared" si="4"/>
        <v>#N/A</v>
      </c>
      <c r="O190" s="7" t="e">
        <f t="shared" ca="1" si="5"/>
        <v>#N/A</v>
      </c>
      <c r="P190" s="7"/>
      <c r="Q190" s="7"/>
    </row>
    <row r="191" spans="1:17" x14ac:dyDescent="0.35">
      <c r="A191" s="7"/>
      <c r="B191" s="7"/>
      <c r="C191" s="7"/>
      <c r="D191" s="7"/>
      <c r="E191" s="80"/>
      <c r="F191" s="7"/>
      <c r="G191" s="75"/>
      <c r="H191" s="75"/>
      <c r="I191" s="75"/>
      <c r="J191" s="9"/>
      <c r="K191" s="9" t="e">
        <f>DATE(YEAR(J191),MONTH(J191)+VLOOKUP($F191,'Membership Level'!$A$3:$B$10,2,FALSE),DAY(J191))</f>
        <v>#N/A</v>
      </c>
      <c r="L191" s="7">
        <v>3</v>
      </c>
      <c r="M191" s="7"/>
      <c r="N191" s="193" t="e">
        <f t="shared" si="4"/>
        <v>#N/A</v>
      </c>
      <c r="O191" s="7" t="e">
        <f t="shared" ca="1" si="5"/>
        <v>#N/A</v>
      </c>
      <c r="P191" s="7"/>
      <c r="Q191" s="7"/>
    </row>
    <row r="192" spans="1:17" x14ac:dyDescent="0.35">
      <c r="A192" s="7"/>
      <c r="B192" s="7"/>
      <c r="C192" s="7"/>
      <c r="D192" s="7"/>
      <c r="E192" s="80"/>
      <c r="F192" s="7"/>
      <c r="G192" s="75"/>
      <c r="H192" s="75"/>
      <c r="I192" s="75"/>
      <c r="J192" s="9"/>
      <c r="K192" s="9" t="e">
        <f>DATE(YEAR(J192),MONTH(J192)+VLOOKUP($F192,'Membership Level'!$A$3:$B$10,2,FALSE),DAY(J192))</f>
        <v>#N/A</v>
      </c>
      <c r="L192" s="7">
        <v>3</v>
      </c>
      <c r="M192" s="7"/>
      <c r="N192" s="193" t="e">
        <f t="shared" si="4"/>
        <v>#N/A</v>
      </c>
      <c r="O192" s="7" t="e">
        <f t="shared" ca="1" si="5"/>
        <v>#N/A</v>
      </c>
      <c r="P192" s="7"/>
      <c r="Q192" s="7"/>
    </row>
    <row r="193" spans="1:17" x14ac:dyDescent="0.35">
      <c r="A193" s="7"/>
      <c r="B193" s="7"/>
      <c r="C193" s="7"/>
      <c r="D193" s="7"/>
      <c r="E193" s="80"/>
      <c r="F193" s="7"/>
      <c r="G193" s="75"/>
      <c r="H193" s="75"/>
      <c r="I193" s="75"/>
      <c r="J193" s="9"/>
      <c r="K193" s="9" t="e">
        <f>DATE(YEAR(J193),MONTH(J193)+VLOOKUP($F193,'Membership Level'!$A$3:$B$10,2,FALSE),DAY(J193))</f>
        <v>#N/A</v>
      </c>
      <c r="L193" s="7">
        <v>3</v>
      </c>
      <c r="M193" s="7"/>
      <c r="N193" s="193" t="e">
        <f t="shared" si="4"/>
        <v>#N/A</v>
      </c>
      <c r="O193" s="7"/>
      <c r="P193" s="7"/>
      <c r="Q193" s="7"/>
    </row>
    <row r="194" spans="1:17" x14ac:dyDescent="0.35">
      <c r="A194" s="7"/>
      <c r="B194" s="7"/>
      <c r="C194" s="7"/>
      <c r="D194" s="7"/>
      <c r="E194" s="80"/>
      <c r="F194" s="7"/>
      <c r="G194" s="75"/>
      <c r="H194" s="75"/>
      <c r="I194" s="75"/>
      <c r="J194" s="9"/>
      <c r="K194" s="9" t="e">
        <f>DATE(YEAR(J194),MONTH(J194)+VLOOKUP($F194,'Membership Level'!$A$3:$B$10,2,FALSE),DAY(J194))</f>
        <v>#N/A</v>
      </c>
      <c r="L194" s="7">
        <v>3</v>
      </c>
      <c r="M194" s="7"/>
      <c r="N194" s="193" t="e">
        <f t="shared" si="4"/>
        <v>#N/A</v>
      </c>
      <c r="O194" s="7"/>
      <c r="P194" s="7"/>
      <c r="Q194" s="7"/>
    </row>
    <row r="195" spans="1:17" x14ac:dyDescent="0.35">
      <c r="A195" s="7"/>
      <c r="B195" s="7"/>
      <c r="C195" s="7"/>
      <c r="D195" s="7"/>
      <c r="E195" s="80"/>
      <c r="F195" s="7"/>
      <c r="G195" s="75"/>
      <c r="H195" s="75"/>
      <c r="I195" s="75"/>
      <c r="J195" s="9"/>
      <c r="K195" s="9" t="e">
        <f>DATE(YEAR(J195),MONTH(J195)+VLOOKUP($F195,'Membership Level'!$A$3:$B$10,2,FALSE),DAY(J195))</f>
        <v>#N/A</v>
      </c>
      <c r="L195" s="7">
        <v>3</v>
      </c>
      <c r="M195" s="7"/>
      <c r="N195" s="193" t="e">
        <f t="shared" si="4"/>
        <v>#N/A</v>
      </c>
      <c r="O195" s="7"/>
      <c r="P195" s="7"/>
      <c r="Q195" s="7"/>
    </row>
    <row r="196" spans="1:17" x14ac:dyDescent="0.35">
      <c r="A196" s="7"/>
      <c r="B196" s="7"/>
      <c r="C196" s="7"/>
      <c r="D196" s="7"/>
      <c r="E196" s="80"/>
      <c r="F196" s="7"/>
      <c r="G196" s="75"/>
      <c r="H196" s="75"/>
      <c r="I196" s="75"/>
      <c r="J196" s="9"/>
      <c r="K196" s="9" t="e">
        <f>DATE(YEAR(J196),MONTH(J196)+VLOOKUP($F196,'Membership Level'!$A$3:$B$10,2,FALSE),DAY(J196))</f>
        <v>#N/A</v>
      </c>
      <c r="L196" s="7">
        <v>3</v>
      </c>
      <c r="M196" s="7"/>
      <c r="N196" s="193" t="e">
        <f t="shared" si="4"/>
        <v>#N/A</v>
      </c>
      <c r="O196" s="7"/>
      <c r="P196" s="7"/>
      <c r="Q196" s="7"/>
    </row>
    <row r="197" spans="1:17" x14ac:dyDescent="0.35">
      <c r="A197" s="7"/>
      <c r="B197" s="7"/>
      <c r="C197" s="7"/>
      <c r="D197" s="7"/>
      <c r="E197" s="80"/>
      <c r="F197" s="7"/>
      <c r="G197" s="75"/>
      <c r="H197" s="75"/>
      <c r="I197" s="75"/>
      <c r="J197" s="9"/>
      <c r="K197" s="9" t="e">
        <f>DATE(YEAR(J197),MONTH(J197)+VLOOKUP($F197,'Membership Level'!$A$3:$B$10,2,FALSE),DAY(J197))</f>
        <v>#N/A</v>
      </c>
      <c r="L197" s="7">
        <v>3</v>
      </c>
      <c r="M197" s="7"/>
      <c r="N197" s="193" t="e">
        <f t="shared" si="4"/>
        <v>#N/A</v>
      </c>
      <c r="O197" s="7"/>
      <c r="P197" s="7"/>
      <c r="Q197" s="7"/>
    </row>
    <row r="198" spans="1:17" x14ac:dyDescent="0.35">
      <c r="A198" s="7"/>
      <c r="B198" s="7"/>
      <c r="C198" s="7"/>
      <c r="D198" s="7"/>
      <c r="E198" s="80"/>
      <c r="F198" s="7"/>
      <c r="G198" s="75"/>
      <c r="H198" s="75"/>
      <c r="I198" s="75"/>
      <c r="J198" s="9"/>
      <c r="K198" s="9" t="e">
        <f>DATE(YEAR(J198),MONTH(J198)+VLOOKUP($F198,'Membership Level'!$A$3:$B$10,2,FALSE),DAY(J198))</f>
        <v>#N/A</v>
      </c>
      <c r="L198" s="7">
        <v>3</v>
      </c>
      <c r="M198" s="7"/>
      <c r="N198" s="193" t="e">
        <f t="shared" si="4"/>
        <v>#N/A</v>
      </c>
      <c r="O198" s="7"/>
      <c r="P198" s="7"/>
      <c r="Q198" s="7"/>
    </row>
    <row r="199" spans="1:17" x14ac:dyDescent="0.35">
      <c r="A199" s="7"/>
      <c r="B199" s="7"/>
      <c r="C199" s="7"/>
      <c r="D199" s="7"/>
      <c r="E199" s="7"/>
      <c r="F199" s="7"/>
      <c r="G199" s="75"/>
      <c r="H199" s="75"/>
      <c r="I199" s="75"/>
      <c r="J199" s="9"/>
      <c r="K199" s="9" t="e">
        <f>DATE(YEAR(J199),MONTH(J199)+VLOOKUP($F199,'Membership Level'!$A$3:$B$10,2,FALSE),DAY(J199))</f>
        <v>#N/A</v>
      </c>
      <c r="L199" s="7"/>
      <c r="M199" s="7"/>
      <c r="N199" s="193" t="e">
        <f t="shared" si="4"/>
        <v>#N/A</v>
      </c>
      <c r="O199" s="7"/>
      <c r="P199" s="7"/>
      <c r="Q199" s="7"/>
    </row>
    <row r="200" spans="1:17" x14ac:dyDescent="0.35">
      <c r="A200" s="7"/>
      <c r="B200" s="7"/>
      <c r="C200" s="7"/>
      <c r="D200" s="7"/>
      <c r="E200" s="80"/>
      <c r="F200" s="7"/>
      <c r="G200" s="75"/>
      <c r="H200" s="75"/>
      <c r="I200" s="75"/>
      <c r="J200" s="9"/>
      <c r="K200" s="9" t="e">
        <f>DATE(YEAR(J200),MONTH(J200)+VLOOKUP($F200,'Membership Level'!$A$3:$B$10,2,FALSE),DAY(J200))</f>
        <v>#N/A</v>
      </c>
      <c r="L200" s="7"/>
      <c r="M200" s="7"/>
      <c r="N200" s="193" t="e">
        <f t="shared" si="4"/>
        <v>#N/A</v>
      </c>
      <c r="O200" s="7"/>
      <c r="P200" s="7"/>
      <c r="Q200" s="7"/>
    </row>
    <row r="201" spans="1:17" x14ac:dyDescent="0.35">
      <c r="A201" s="7"/>
      <c r="B201" s="7"/>
      <c r="C201" s="7"/>
      <c r="D201" s="7"/>
      <c r="E201" s="80"/>
      <c r="F201" s="7"/>
      <c r="G201" s="75"/>
      <c r="H201" s="75"/>
      <c r="I201" s="75"/>
      <c r="J201" s="9"/>
      <c r="K201" s="9" t="e">
        <f>DATE(YEAR(J201),MONTH(J201)+VLOOKUP($F201,'Membership Level'!$A$3:$B$10,2,FALSE),DAY(J201))</f>
        <v>#N/A</v>
      </c>
      <c r="L201" s="7"/>
      <c r="M201" s="7"/>
      <c r="N201" s="193" t="e">
        <f t="shared" si="4"/>
        <v>#N/A</v>
      </c>
      <c r="O201" s="7"/>
      <c r="P201" s="7"/>
      <c r="Q201" s="7"/>
    </row>
    <row r="202" spans="1:17" x14ac:dyDescent="0.35">
      <c r="A202" s="7"/>
      <c r="B202" s="7"/>
      <c r="C202" s="7"/>
      <c r="D202" s="7"/>
      <c r="E202" s="80"/>
      <c r="F202" s="7"/>
      <c r="G202" s="75"/>
      <c r="H202" s="75"/>
      <c r="I202" s="75"/>
      <c r="J202" s="9"/>
      <c r="K202" s="9" t="e">
        <f>DATE(YEAR(J202),MONTH(J202)+VLOOKUP($F202,'Membership Level'!$A$3:$B$10,2,FALSE),DAY(J202))</f>
        <v>#N/A</v>
      </c>
      <c r="L202" s="7"/>
      <c r="M202" s="7"/>
      <c r="N202" s="193" t="e">
        <f>IF($K202&lt;&gt;0,DATE(YEAR($K202),MONTH($K202)-$M202,DAY($K202)-$L202),"")</f>
        <v>#N/A</v>
      </c>
      <c r="O202" s="7"/>
      <c r="P202" s="7"/>
      <c r="Q202" s="7"/>
    </row>
    <row r="203" spans="1:17" x14ac:dyDescent="0.35">
      <c r="A203" s="7"/>
      <c r="B203" s="7"/>
      <c r="C203" s="7"/>
      <c r="D203" s="7"/>
      <c r="E203" s="7"/>
      <c r="F203" s="7"/>
      <c r="G203" s="75"/>
      <c r="H203" s="75"/>
      <c r="I203" s="75"/>
      <c r="J203" s="9"/>
      <c r="K203" s="9" t="e">
        <f>DATE(YEAR(J203),MONTH(J203)+VLOOKUP($F203,'Membership Level'!$A$3:$B$10,2,FALSE),DAY(J203))</f>
        <v>#N/A</v>
      </c>
      <c r="L203" s="7"/>
      <c r="M203" s="7"/>
      <c r="N203" s="7"/>
      <c r="O203" s="7"/>
      <c r="P203" s="7"/>
      <c r="Q203" s="7"/>
    </row>
    <row r="204" spans="1:17" x14ac:dyDescent="0.35">
      <c r="A204" s="7"/>
      <c r="B204" s="7"/>
      <c r="C204" s="7"/>
      <c r="D204" s="7"/>
      <c r="E204" s="7"/>
      <c r="F204" s="7"/>
      <c r="G204" s="75"/>
      <c r="H204" s="75"/>
      <c r="I204" s="75"/>
      <c r="J204" s="9"/>
      <c r="K204" s="9" t="e">
        <f>DATE(YEAR(J204),MONTH(J204)+VLOOKUP($F204,'Membership Level'!$A$3:$B$10,2,FALSE),DAY(J204))</f>
        <v>#N/A</v>
      </c>
      <c r="L204" s="7"/>
      <c r="M204" s="7"/>
      <c r="N204" s="7"/>
      <c r="O204" s="7"/>
      <c r="P204" s="7"/>
      <c r="Q204" s="7"/>
    </row>
    <row r="205" spans="1:17" x14ac:dyDescent="0.35">
      <c r="A205" s="7"/>
      <c r="B205" s="7"/>
      <c r="C205" s="7"/>
      <c r="D205" s="7"/>
      <c r="E205" s="80"/>
      <c r="F205" s="7"/>
      <c r="G205" s="75"/>
      <c r="H205" s="75"/>
      <c r="I205" s="75"/>
      <c r="J205" s="9"/>
      <c r="K205" s="9" t="e">
        <f>DATE(YEAR(J205),MONTH(J205)+VLOOKUP($F205,'Membership Level'!$A$3:$B$10,2,FALSE),DAY(J205))</f>
        <v>#N/A</v>
      </c>
      <c r="L205" s="7"/>
      <c r="M205" s="7"/>
      <c r="N205" s="7"/>
      <c r="O205" s="7"/>
      <c r="P205" s="7"/>
      <c r="Q205" s="7"/>
    </row>
    <row r="206" spans="1:17" x14ac:dyDescent="0.35">
      <c r="A206" s="7"/>
      <c r="B206" s="7"/>
      <c r="C206" s="7"/>
      <c r="D206" s="7"/>
      <c r="E206" s="80"/>
      <c r="F206" s="7"/>
      <c r="G206" s="75"/>
      <c r="H206" s="75"/>
      <c r="I206" s="75"/>
      <c r="J206" s="9"/>
      <c r="K206" s="9" t="e">
        <f>DATE(YEAR(J206),MONTH(J206)+VLOOKUP($F206,'Membership Level'!$A$3:$B$10,2,FALSE),DAY(J206))</f>
        <v>#N/A</v>
      </c>
      <c r="L206" s="7"/>
      <c r="M206" s="7"/>
      <c r="N206" s="7"/>
      <c r="O206" s="7"/>
      <c r="P206" s="7"/>
      <c r="Q206" s="7"/>
    </row>
    <row r="207" spans="1:17" x14ac:dyDescent="0.35">
      <c r="A207" s="7"/>
      <c r="B207" s="7"/>
      <c r="C207" s="7"/>
      <c r="D207" s="7"/>
      <c r="E207" s="80"/>
      <c r="F207" s="7"/>
      <c r="G207" s="75"/>
      <c r="H207" s="75"/>
      <c r="I207" s="75"/>
      <c r="J207" s="9"/>
      <c r="K207" s="9" t="e">
        <f>DATE(YEAR(J207),MONTH(J207)+VLOOKUP($F207,'Membership Level'!$A$3:$B$10,2,FALSE),DAY(J207))</f>
        <v>#N/A</v>
      </c>
      <c r="L207" s="7"/>
      <c r="M207" s="7"/>
      <c r="N207" s="7"/>
      <c r="O207" s="7"/>
      <c r="P207" s="7"/>
      <c r="Q207" s="7"/>
    </row>
    <row r="208" spans="1:17" x14ac:dyDescent="0.35">
      <c r="A208" s="7"/>
      <c r="B208" s="7"/>
      <c r="C208" s="7"/>
      <c r="D208" s="7"/>
      <c r="E208" s="80"/>
      <c r="F208" s="7"/>
      <c r="G208" s="75"/>
      <c r="H208" s="75"/>
      <c r="I208" s="75"/>
      <c r="J208" s="9"/>
      <c r="K208" s="9" t="e">
        <f>DATE(YEAR(J208),MONTH(J208)+VLOOKUP($F208,'Membership Level'!$A$3:$B$10,2,FALSE),DAY(J208))</f>
        <v>#N/A</v>
      </c>
      <c r="L208" s="7"/>
      <c r="M208" s="7"/>
      <c r="N208" s="7"/>
      <c r="O208" s="7"/>
      <c r="P208" s="7"/>
      <c r="Q208" s="7"/>
    </row>
    <row r="209" spans="1:17" x14ac:dyDescent="0.35">
      <c r="A209" s="7"/>
      <c r="B209" s="7"/>
      <c r="C209" s="7"/>
      <c r="D209" s="7"/>
      <c r="E209" s="80"/>
      <c r="F209" s="7"/>
      <c r="G209" s="75"/>
      <c r="H209" s="75"/>
      <c r="I209" s="75"/>
      <c r="J209" s="9"/>
      <c r="K209" s="9" t="e">
        <f>DATE(YEAR(J209),MONTH(J209)+VLOOKUP($F209,'Membership Level'!$A$3:$B$10,2,FALSE),DAY(J209))</f>
        <v>#N/A</v>
      </c>
      <c r="L209" s="7"/>
      <c r="M209" s="7"/>
      <c r="N209" s="7"/>
      <c r="O209" s="7"/>
      <c r="P209" s="7"/>
      <c r="Q209" s="7"/>
    </row>
    <row r="210" spans="1:17" x14ac:dyDescent="0.35">
      <c r="A210" s="7"/>
      <c r="B210" s="7"/>
      <c r="C210" s="7"/>
      <c r="D210" s="7"/>
      <c r="E210" s="80"/>
      <c r="F210" s="7"/>
      <c r="G210" s="75"/>
      <c r="H210" s="75"/>
      <c r="I210" s="75"/>
      <c r="J210" s="9"/>
      <c r="K210" s="9" t="e">
        <f>DATE(YEAR(J210),MONTH(J210)+VLOOKUP($F210,'Membership Level'!$A$3:$B$10,2,FALSE),DAY(J210))</f>
        <v>#N/A</v>
      </c>
      <c r="L210" s="7"/>
      <c r="M210" s="7"/>
      <c r="N210" s="7"/>
      <c r="O210" s="7"/>
      <c r="P210" s="7"/>
      <c r="Q210" s="7"/>
    </row>
    <row r="211" spans="1:17" x14ac:dyDescent="0.35">
      <c r="A211" s="7"/>
      <c r="B211" s="7"/>
      <c r="C211" s="7"/>
      <c r="D211" s="7"/>
      <c r="E211" s="80"/>
      <c r="F211" s="7"/>
      <c r="G211" s="75"/>
      <c r="H211" s="75"/>
      <c r="I211" s="75"/>
      <c r="J211" s="9"/>
      <c r="K211" s="9" t="e">
        <f>DATE(YEAR(J211),MONTH(J211)+VLOOKUP($F211,'Membership Level'!$A$3:$B$10,2,FALSE),DAY(J211))</f>
        <v>#N/A</v>
      </c>
      <c r="L211" s="7"/>
      <c r="M211" s="7"/>
      <c r="N211" s="7"/>
      <c r="O211" s="7"/>
      <c r="P211" s="7"/>
      <c r="Q211" s="7"/>
    </row>
    <row r="212" spans="1:17" x14ac:dyDescent="0.35">
      <c r="A212" s="7"/>
      <c r="B212" s="7"/>
      <c r="C212" s="7"/>
      <c r="D212" s="7"/>
      <c r="E212" s="80"/>
      <c r="F212" s="7"/>
      <c r="G212" s="75"/>
      <c r="H212" s="75"/>
      <c r="I212" s="75"/>
      <c r="J212" s="9"/>
      <c r="K212" s="9" t="e">
        <f>DATE(YEAR(J212),MONTH(J212)+VLOOKUP($F212,'Membership Level'!$A$3:$B$10,2,FALSE),DAY(J212))</f>
        <v>#N/A</v>
      </c>
      <c r="L212" s="7"/>
      <c r="M212" s="7"/>
      <c r="N212" s="7"/>
      <c r="O212" s="7"/>
      <c r="P212" s="7"/>
      <c r="Q212" s="7"/>
    </row>
    <row r="213" spans="1:17" x14ac:dyDescent="0.35">
      <c r="A213" s="7"/>
      <c r="B213" s="7"/>
      <c r="C213" s="7"/>
      <c r="D213" s="7"/>
      <c r="E213" s="80"/>
      <c r="F213" s="7"/>
      <c r="G213" s="75"/>
      <c r="H213" s="75"/>
      <c r="I213" s="75"/>
      <c r="J213" s="9"/>
      <c r="K213" s="9" t="e">
        <f>DATE(YEAR(J213),MONTH(J213)+VLOOKUP($F213,'Membership Level'!$A$3:$B$10,2,FALSE),DAY(J213))</f>
        <v>#N/A</v>
      </c>
      <c r="L213" s="7"/>
      <c r="M213" s="7"/>
      <c r="N213" s="7"/>
      <c r="O213" s="7"/>
      <c r="P213" s="7"/>
      <c r="Q213" s="7"/>
    </row>
    <row r="214" spans="1:17" x14ac:dyDescent="0.35">
      <c r="A214" s="7"/>
      <c r="B214" s="7"/>
      <c r="C214" s="7"/>
      <c r="D214" s="7"/>
      <c r="E214" s="80"/>
      <c r="F214" s="7"/>
      <c r="G214" s="75"/>
      <c r="H214" s="75"/>
      <c r="I214" s="75"/>
      <c r="J214" s="9"/>
      <c r="K214" s="9" t="e">
        <f>DATE(YEAR(J214),MONTH(J214)+VLOOKUP($F214,'Membership Level'!$A$3:$B$10,2,FALSE),DAY(J214))</f>
        <v>#N/A</v>
      </c>
      <c r="L214" s="7"/>
      <c r="M214" s="7"/>
      <c r="N214" s="7"/>
      <c r="O214" s="7"/>
      <c r="P214" s="7"/>
      <c r="Q214" s="7"/>
    </row>
    <row r="215" spans="1:17" x14ac:dyDescent="0.35">
      <c r="A215" s="7"/>
      <c r="B215" s="7"/>
      <c r="C215" s="7"/>
      <c r="D215" s="7"/>
      <c r="E215" s="80"/>
      <c r="F215" s="7"/>
      <c r="G215" s="75"/>
      <c r="H215" s="75"/>
      <c r="I215" s="75"/>
      <c r="J215" s="210"/>
      <c r="K215" s="9" t="e">
        <f>DATE(YEAR(J215),MONTH(J215)+VLOOKUP($F215,'Membership Level'!$A$3:$B$10,2,FALSE),DAY(J215))</f>
        <v>#N/A</v>
      </c>
      <c r="L215" s="7"/>
      <c r="M215" s="7"/>
      <c r="N215" s="7"/>
      <c r="O215" s="7"/>
      <c r="P215" s="7"/>
      <c r="Q215" s="7"/>
    </row>
    <row r="216" spans="1:17" x14ac:dyDescent="0.35">
      <c r="A216" s="7"/>
      <c r="B216" s="7"/>
      <c r="C216" s="7"/>
      <c r="D216" s="7"/>
      <c r="E216" s="80"/>
      <c r="F216" s="7"/>
      <c r="G216" s="75"/>
      <c r="H216" s="75"/>
      <c r="I216" s="75"/>
      <c r="J216" s="210"/>
      <c r="K216" s="9" t="e">
        <f>DATE(YEAR(J216),MONTH(J216)+VLOOKUP($F216,'Membership Level'!$A$3:$B$10,2,FALSE),DAY(J216))</f>
        <v>#N/A</v>
      </c>
      <c r="L216" s="7"/>
      <c r="M216" s="7"/>
      <c r="N216" s="7"/>
      <c r="O216" s="7"/>
      <c r="P216" s="7"/>
      <c r="Q216" s="7"/>
    </row>
    <row r="217" spans="1:17" x14ac:dyDescent="0.35">
      <c r="A217" s="7"/>
      <c r="B217" s="7"/>
      <c r="C217" s="7"/>
      <c r="D217" s="7"/>
      <c r="E217" s="80"/>
      <c r="F217" s="7"/>
      <c r="G217" s="75"/>
      <c r="H217" s="75"/>
      <c r="I217" s="75"/>
      <c r="J217" s="210"/>
      <c r="K217" s="9" t="e">
        <f>DATE(YEAR(J217),MONTH(J217)+VLOOKUP($F217,'Membership Level'!$A$3:$B$10,2,FALSE),DAY(J217))</f>
        <v>#N/A</v>
      </c>
      <c r="L217" s="7"/>
      <c r="M217" s="7"/>
      <c r="N217" s="7"/>
      <c r="O217" s="7"/>
      <c r="P217" s="7"/>
      <c r="Q217" s="7"/>
    </row>
    <row r="218" spans="1:17" x14ac:dyDescent="0.35">
      <c r="A218" s="7"/>
      <c r="B218" s="7"/>
      <c r="C218" s="7"/>
      <c r="D218" s="7"/>
      <c r="E218" s="80"/>
      <c r="F218" s="7"/>
      <c r="G218" s="75"/>
      <c r="H218" s="75"/>
      <c r="I218" s="75"/>
      <c r="J218" s="210"/>
      <c r="K218" s="9" t="e">
        <f>DATE(YEAR(J218),MONTH(J218)+VLOOKUP($F218,'Membership Level'!$A$3:$B$10,2,FALSE),DAY(J218))</f>
        <v>#N/A</v>
      </c>
      <c r="L218" s="7"/>
      <c r="M218" s="7"/>
      <c r="N218" s="7"/>
      <c r="O218" s="7"/>
      <c r="P218" s="7"/>
      <c r="Q218" s="7"/>
    </row>
    <row r="219" spans="1:17" x14ac:dyDescent="0.35">
      <c r="A219" s="7"/>
      <c r="B219" s="7"/>
      <c r="C219" s="7"/>
      <c r="D219" s="7"/>
      <c r="E219" s="80"/>
      <c r="F219" s="7"/>
      <c r="G219" s="75"/>
      <c r="H219" s="75"/>
      <c r="I219" s="75"/>
      <c r="J219" s="210"/>
      <c r="K219" s="9" t="e">
        <f>DATE(YEAR(J219),MONTH(J219)+VLOOKUP($F219,'Membership Level'!$A$3:$B$10,2,FALSE),DAY(J219))</f>
        <v>#N/A</v>
      </c>
      <c r="L219" s="7"/>
      <c r="M219" s="7"/>
      <c r="N219" s="7"/>
      <c r="O219" s="7"/>
      <c r="P219" s="7"/>
      <c r="Q219" s="7"/>
    </row>
    <row r="220" spans="1:17" x14ac:dyDescent="0.35">
      <c r="A220" s="7"/>
      <c r="B220" s="7"/>
      <c r="C220" s="7"/>
      <c r="D220" s="7"/>
      <c r="E220" s="80"/>
      <c r="F220" s="7"/>
      <c r="G220" s="75"/>
      <c r="H220" s="75"/>
      <c r="I220" s="75"/>
      <c r="J220" s="210"/>
      <c r="K220" s="9" t="e">
        <f>DATE(YEAR(J220),MONTH(J220)+VLOOKUP($F220,'Membership Level'!$A$3:$B$10,2,FALSE),DAY(J220))</f>
        <v>#N/A</v>
      </c>
      <c r="L220" s="7"/>
      <c r="M220" s="7"/>
      <c r="N220" s="7"/>
      <c r="O220" s="7"/>
      <c r="P220" s="7"/>
      <c r="Q220" s="7"/>
    </row>
    <row r="221" spans="1:17" x14ac:dyDescent="0.35">
      <c r="A221" s="7"/>
      <c r="B221" s="7"/>
      <c r="C221" s="7"/>
      <c r="D221" s="7"/>
      <c r="E221" s="80"/>
      <c r="F221" s="7"/>
      <c r="G221" s="75"/>
      <c r="H221" s="75"/>
      <c r="I221" s="75"/>
      <c r="J221" s="210"/>
      <c r="K221" s="9" t="e">
        <f>DATE(YEAR(J221),MONTH(J221)+VLOOKUP($F221,'Membership Level'!$A$3:$B$10,2,FALSE),DAY(J221))</f>
        <v>#N/A</v>
      </c>
      <c r="L221" s="7"/>
      <c r="M221" s="7"/>
      <c r="N221" s="7"/>
      <c r="O221" s="7"/>
      <c r="P221" s="7"/>
      <c r="Q221" s="7"/>
    </row>
    <row r="222" spans="1:17" x14ac:dyDescent="0.35">
      <c r="A222" s="7"/>
      <c r="B222" s="7"/>
      <c r="C222" s="7"/>
      <c r="D222" s="7"/>
      <c r="E222" s="80"/>
      <c r="F222" s="7"/>
      <c r="G222" s="75"/>
      <c r="H222" s="75"/>
      <c r="I222" s="75"/>
      <c r="J222" s="210"/>
      <c r="K222" s="9" t="e">
        <f>DATE(YEAR(J222),MONTH(J222)+VLOOKUP($F222,'Membership Level'!$A$3:$B$10,2,FALSE),DAY(J222))</f>
        <v>#N/A</v>
      </c>
      <c r="L222" s="7"/>
      <c r="M222" s="7"/>
      <c r="N222" s="7"/>
      <c r="O222" s="7"/>
      <c r="P222" s="7"/>
      <c r="Q222" s="7"/>
    </row>
    <row r="223" spans="1:17" x14ac:dyDescent="0.35">
      <c r="A223" s="7"/>
      <c r="B223" s="7"/>
      <c r="C223" s="7"/>
      <c r="D223" s="7"/>
      <c r="E223" s="80"/>
      <c r="F223" s="7"/>
      <c r="G223" s="75"/>
      <c r="H223" s="75"/>
      <c r="I223" s="75"/>
      <c r="J223" s="210"/>
      <c r="K223" s="9" t="e">
        <f>DATE(YEAR(J223),MONTH(J223)+VLOOKUP($F223,'Membership Level'!$A$3:$B$10,2,FALSE),DAY(J223))</f>
        <v>#N/A</v>
      </c>
      <c r="L223" s="7"/>
      <c r="M223" s="7"/>
      <c r="N223" s="7"/>
      <c r="O223" s="7"/>
      <c r="P223" s="7"/>
      <c r="Q223" s="7"/>
    </row>
    <row r="224" spans="1:17" x14ac:dyDescent="0.35">
      <c r="A224" s="7"/>
      <c r="B224" s="7"/>
      <c r="C224" s="7"/>
      <c r="D224" s="7"/>
      <c r="E224" s="7"/>
      <c r="F224" s="7"/>
      <c r="G224" s="75"/>
      <c r="H224" s="75"/>
      <c r="I224" s="75"/>
      <c r="J224" s="210"/>
      <c r="K224" s="9" t="e">
        <f>DATE(YEAR(J224),MONTH(J224)+VLOOKUP($F224,'Membership Level'!$A$3:$B$10,2,FALSE),DAY(J224))</f>
        <v>#N/A</v>
      </c>
      <c r="L224" s="7"/>
      <c r="M224" s="7"/>
      <c r="N224" s="7"/>
      <c r="O224" s="7"/>
      <c r="P224" s="7"/>
      <c r="Q224" s="7"/>
    </row>
    <row r="225" spans="1:17" x14ac:dyDescent="0.35">
      <c r="A225" s="7"/>
      <c r="B225" s="7"/>
      <c r="C225" s="7"/>
      <c r="D225" s="7"/>
      <c r="E225" s="7"/>
      <c r="F225" s="7"/>
      <c r="G225" s="75"/>
      <c r="H225" s="75"/>
      <c r="I225" s="75"/>
      <c r="J225" s="210"/>
      <c r="K225" s="9" t="e">
        <f>DATE(YEAR(J225),MONTH(J225)+VLOOKUP($F225,'Membership Level'!$A$3:$B$10,2,FALSE),DAY(J225))</f>
        <v>#N/A</v>
      </c>
      <c r="L225" s="7"/>
      <c r="M225" s="7"/>
      <c r="N225" s="7"/>
      <c r="O225" s="7"/>
      <c r="P225" s="7"/>
      <c r="Q225" s="7"/>
    </row>
    <row r="226" spans="1:17" x14ac:dyDescent="0.35">
      <c r="A226" s="7"/>
      <c r="B226" s="7"/>
      <c r="C226" s="7"/>
      <c r="D226" s="7"/>
      <c r="E226" s="80"/>
      <c r="F226" s="7"/>
      <c r="G226" s="75"/>
      <c r="H226" s="75"/>
      <c r="I226" s="75"/>
      <c r="J226" s="210"/>
      <c r="K226" s="9" t="e">
        <f>DATE(YEAR(J226),MONTH(J226)+VLOOKUP($F226,'Membership Level'!$A$3:$B$10,2,FALSE),DAY(J226))</f>
        <v>#N/A</v>
      </c>
      <c r="L226" s="7"/>
      <c r="M226" s="7"/>
      <c r="N226" s="7"/>
      <c r="O226" s="7"/>
      <c r="P226" s="7"/>
      <c r="Q226" s="7"/>
    </row>
    <row r="227" spans="1:17" x14ac:dyDescent="0.35">
      <c r="A227" s="7"/>
      <c r="B227" s="7"/>
      <c r="C227" s="7"/>
      <c r="D227" s="7"/>
      <c r="E227" s="80"/>
      <c r="F227" s="7"/>
      <c r="G227" s="75"/>
      <c r="H227" s="75"/>
      <c r="I227" s="75"/>
      <c r="J227" s="210"/>
      <c r="K227" s="9" t="e">
        <f>DATE(YEAR(J227),MONTH(J227)+VLOOKUP($F227,'Membership Level'!$A$3:$B$10,2,FALSE),DAY(J227))</f>
        <v>#N/A</v>
      </c>
      <c r="L227" s="7"/>
      <c r="M227" s="7"/>
      <c r="N227" s="7"/>
      <c r="O227" s="7"/>
      <c r="P227" s="7"/>
      <c r="Q227" s="7"/>
    </row>
    <row r="228" spans="1:17" x14ac:dyDescent="0.35">
      <c r="A228" s="7"/>
      <c r="B228" s="7"/>
      <c r="C228" s="7"/>
      <c r="D228" s="7"/>
      <c r="E228" s="7"/>
      <c r="F228" s="7"/>
      <c r="G228" s="75"/>
      <c r="H228" s="75"/>
      <c r="I228" s="75"/>
      <c r="J228" s="210"/>
      <c r="K228" s="9" t="e">
        <f>DATE(YEAR(J228),MONTH(J228)+VLOOKUP($F228,'Membership Level'!$A$3:$B$10,2,FALSE),DAY(J228))</f>
        <v>#N/A</v>
      </c>
      <c r="L228" s="7"/>
      <c r="M228" s="7"/>
      <c r="N228" s="7"/>
      <c r="O228" s="7"/>
      <c r="P228" s="7"/>
      <c r="Q228" s="7"/>
    </row>
    <row r="229" spans="1:17" x14ac:dyDescent="0.35">
      <c r="A229" s="7"/>
      <c r="B229" s="7"/>
      <c r="C229" s="7"/>
      <c r="D229" s="7"/>
      <c r="E229" s="80"/>
      <c r="F229" s="7"/>
      <c r="G229" s="75"/>
      <c r="H229" s="75"/>
      <c r="I229" s="75"/>
      <c r="J229" s="210"/>
      <c r="K229" s="9" t="e">
        <f>DATE(YEAR(J229),MONTH(J229)+VLOOKUP($F229,'Membership Level'!$A$3:$B$10,2,FALSE),DAY(J229))</f>
        <v>#N/A</v>
      </c>
      <c r="L229" s="7"/>
      <c r="M229" s="7"/>
      <c r="N229" s="7"/>
      <c r="O229" s="7"/>
      <c r="P229" s="7"/>
      <c r="Q229" s="7"/>
    </row>
    <row r="230" spans="1:17" x14ac:dyDescent="0.35">
      <c r="A230" s="7"/>
      <c r="B230" s="7"/>
      <c r="C230" s="7"/>
      <c r="D230" s="7"/>
      <c r="E230" s="7"/>
      <c r="F230" s="7"/>
      <c r="G230" s="75"/>
      <c r="H230" s="75"/>
      <c r="I230" s="75"/>
      <c r="J230" s="210"/>
      <c r="K230" s="9" t="e">
        <f>DATE(YEAR(J230),MONTH(J230)+VLOOKUP($F230,'Membership Level'!$A$3:$B$10,2,FALSE),DAY(J230))</f>
        <v>#N/A</v>
      </c>
      <c r="L230" s="7"/>
      <c r="M230" s="7"/>
      <c r="N230" s="7"/>
      <c r="O230" s="7"/>
      <c r="P230" s="7"/>
      <c r="Q230" s="7"/>
    </row>
    <row r="231" spans="1:17" x14ac:dyDescent="0.35">
      <c r="A231" s="7"/>
      <c r="B231" s="7"/>
      <c r="C231" s="7"/>
      <c r="D231" s="7"/>
      <c r="E231" s="80"/>
      <c r="F231" s="7"/>
      <c r="G231" s="75"/>
      <c r="H231" s="75"/>
      <c r="I231" s="75"/>
      <c r="J231" s="210"/>
      <c r="K231" s="9" t="e">
        <f>DATE(YEAR(J231),MONTH(J231)+VLOOKUP($F231,'Membership Level'!$A$3:$B$10,2,FALSE),DAY(J231))</f>
        <v>#N/A</v>
      </c>
      <c r="L231" s="7"/>
      <c r="M231" s="7"/>
      <c r="N231" s="7"/>
      <c r="O231" s="7"/>
      <c r="P231" s="7"/>
      <c r="Q231" s="7"/>
    </row>
    <row r="232" spans="1:17" x14ac:dyDescent="0.35">
      <c r="A232" s="7"/>
      <c r="B232" s="7"/>
      <c r="C232" s="7"/>
      <c r="D232" s="7"/>
      <c r="E232" s="80"/>
      <c r="F232" s="7"/>
      <c r="G232" s="75"/>
      <c r="H232" s="75"/>
      <c r="I232" s="75"/>
      <c r="J232" s="210"/>
      <c r="K232" s="9" t="e">
        <f>DATE(YEAR(J232),MONTH(J232)+VLOOKUP($F232,'Membership Level'!$A$3:$B$10,2,FALSE),DAY(J232))</f>
        <v>#N/A</v>
      </c>
      <c r="L232" s="7"/>
      <c r="M232" s="7"/>
      <c r="N232" s="7"/>
      <c r="O232" s="7"/>
      <c r="P232" s="7"/>
      <c r="Q232" s="7"/>
    </row>
    <row r="233" spans="1:17" x14ac:dyDescent="0.35">
      <c r="A233" s="7"/>
      <c r="B233" s="7"/>
      <c r="C233" s="7"/>
      <c r="D233" s="7"/>
      <c r="E233" s="80"/>
      <c r="F233" s="7"/>
      <c r="G233" s="75"/>
      <c r="H233" s="75"/>
      <c r="I233" s="75"/>
      <c r="J233" s="210"/>
      <c r="K233" s="9" t="e">
        <f>DATE(YEAR(J233),MONTH(J233)+VLOOKUP($F233,'Membership Level'!$A$3:$B$10,2,FALSE),DAY(J233))</f>
        <v>#N/A</v>
      </c>
      <c r="L233" s="7"/>
      <c r="M233" s="7"/>
      <c r="N233" s="7"/>
      <c r="O233" s="7"/>
      <c r="P233" s="7"/>
      <c r="Q233" s="7"/>
    </row>
    <row r="234" spans="1:17" x14ac:dyDescent="0.35">
      <c r="A234" s="7"/>
      <c r="B234" s="7"/>
      <c r="C234" s="7"/>
      <c r="D234" s="7"/>
      <c r="E234" s="80"/>
      <c r="F234" s="7"/>
      <c r="G234" s="75"/>
      <c r="H234" s="75"/>
      <c r="I234" s="75"/>
      <c r="J234" s="210"/>
      <c r="K234" s="9" t="e">
        <f>DATE(YEAR(J234),MONTH(J234)+VLOOKUP($F234,'Membership Level'!$A$3:$B$10,2,FALSE),DAY(J234))</f>
        <v>#N/A</v>
      </c>
      <c r="L234" s="7"/>
      <c r="M234" s="7"/>
      <c r="N234" s="7"/>
      <c r="O234" s="7"/>
      <c r="P234" s="7"/>
      <c r="Q234" s="7"/>
    </row>
    <row r="235" spans="1:17" x14ac:dyDescent="0.35">
      <c r="A235" s="7"/>
      <c r="B235" s="7"/>
      <c r="C235" s="7"/>
      <c r="D235" s="7"/>
      <c r="E235" s="80"/>
      <c r="F235" s="7"/>
      <c r="G235" s="75"/>
      <c r="H235" s="75"/>
      <c r="I235" s="75"/>
      <c r="J235" s="210"/>
      <c r="K235" s="9" t="e">
        <f>DATE(YEAR(J235),MONTH(J235)+VLOOKUP($F235,'Membership Level'!$A$3:$B$10,2,FALSE),DAY(J235))</f>
        <v>#N/A</v>
      </c>
      <c r="L235" s="7"/>
      <c r="M235" s="7"/>
      <c r="N235" s="7"/>
      <c r="O235" s="7"/>
      <c r="P235" s="7"/>
      <c r="Q235" s="7"/>
    </row>
    <row r="236" spans="1:17" x14ac:dyDescent="0.35">
      <c r="A236" s="7"/>
      <c r="B236" s="7"/>
      <c r="C236" s="7"/>
      <c r="D236" s="7"/>
      <c r="E236" s="7"/>
      <c r="F236" s="7"/>
      <c r="G236" s="75"/>
      <c r="H236" s="75"/>
      <c r="I236" s="75"/>
      <c r="J236" s="210"/>
      <c r="K236" s="9" t="e">
        <f>DATE(YEAR(J236),MONTH(J236)+VLOOKUP($F236,'Membership Level'!$A$3:$B$10,2,FALSE),DAY(J236))</f>
        <v>#N/A</v>
      </c>
      <c r="L236" s="7"/>
      <c r="M236" s="7"/>
      <c r="N236" s="7"/>
      <c r="O236" s="7"/>
      <c r="P236" s="7"/>
      <c r="Q236" s="7"/>
    </row>
    <row r="237" spans="1:17" x14ac:dyDescent="0.35">
      <c r="A237" s="7"/>
      <c r="B237" s="7"/>
      <c r="C237" s="7"/>
      <c r="D237" s="7"/>
      <c r="E237" s="80"/>
      <c r="F237" s="7"/>
      <c r="G237" s="75"/>
      <c r="H237" s="75"/>
      <c r="I237" s="75"/>
      <c r="J237" s="210"/>
      <c r="K237" s="9" t="e">
        <f>DATE(YEAR(J237),MONTH(J237)+VLOOKUP($F237,'Membership Level'!$A$3:$B$10,2,FALSE),DAY(J237))</f>
        <v>#N/A</v>
      </c>
      <c r="L237" s="7"/>
      <c r="M237" s="7"/>
      <c r="N237" s="7"/>
      <c r="O237" s="7"/>
      <c r="P237" s="7"/>
      <c r="Q237" s="7"/>
    </row>
    <row r="238" spans="1:17" x14ac:dyDescent="0.35">
      <c r="A238" s="7"/>
      <c r="B238" s="7"/>
      <c r="C238" s="7"/>
      <c r="D238" s="7"/>
      <c r="E238" s="80"/>
      <c r="F238" s="7"/>
      <c r="G238" s="75"/>
      <c r="H238" s="75"/>
      <c r="I238" s="75"/>
      <c r="J238" s="210"/>
      <c r="K238" s="9" t="e">
        <f>DATE(YEAR(J238),MONTH(J238)+VLOOKUP($F238,'Membership Level'!$A$3:$B$10,2,FALSE),DAY(J238))</f>
        <v>#N/A</v>
      </c>
      <c r="L238" s="7"/>
      <c r="M238" s="7"/>
      <c r="N238" s="7"/>
      <c r="O238" s="7"/>
      <c r="P238" s="7"/>
      <c r="Q238" s="7"/>
    </row>
    <row r="239" spans="1:17" x14ac:dyDescent="0.35">
      <c r="A239" s="7"/>
      <c r="B239" s="7"/>
      <c r="C239" s="7"/>
      <c r="D239" s="7"/>
      <c r="E239" s="80"/>
      <c r="F239" s="7"/>
      <c r="G239" s="75"/>
      <c r="H239" s="75"/>
      <c r="I239" s="75"/>
      <c r="J239" s="210"/>
      <c r="K239" s="9" t="e">
        <f>DATE(YEAR(J239),MONTH(J239)+VLOOKUP($F239,'Membership Level'!$A$3:$B$10,2,FALSE),DAY(J239))</f>
        <v>#N/A</v>
      </c>
      <c r="L239" s="7"/>
      <c r="M239" s="7"/>
      <c r="N239" s="7"/>
      <c r="O239" s="7"/>
      <c r="P239" s="7"/>
      <c r="Q239" s="7"/>
    </row>
    <row r="240" spans="1:17" x14ac:dyDescent="0.35">
      <c r="A240" s="7"/>
      <c r="B240" s="7"/>
      <c r="C240" s="7"/>
      <c r="D240" s="7"/>
      <c r="E240" s="80"/>
      <c r="F240" s="7"/>
      <c r="G240" s="75"/>
      <c r="H240" s="75"/>
      <c r="I240" s="75"/>
      <c r="J240" s="210"/>
      <c r="K240" s="9" t="e">
        <f>DATE(YEAR(J240),MONTH(J240)+VLOOKUP($F240,'Membership Level'!$A$3:$B$10,2,FALSE),DAY(J240))</f>
        <v>#N/A</v>
      </c>
      <c r="L240" s="7"/>
      <c r="M240" s="7"/>
      <c r="N240" s="7"/>
      <c r="O240" s="7"/>
      <c r="P240" s="7"/>
      <c r="Q240" s="7"/>
    </row>
    <row r="241" spans="1:17" s="11" customFormat="1" x14ac:dyDescent="0.35">
      <c r="A241" s="58"/>
      <c r="B241" s="58"/>
      <c r="C241" s="58"/>
      <c r="D241" s="58"/>
      <c r="E241" s="81"/>
      <c r="F241" s="58"/>
      <c r="G241" s="78"/>
      <c r="H241" s="78"/>
      <c r="I241" s="78"/>
      <c r="J241" s="222"/>
      <c r="K241" s="59" t="e">
        <f>DATE(YEAR(J241),MONTH(J241)+VLOOKUP($F241,'Membership Level'!$A$3:$B$10,2,FALSE),DAY(J241))</f>
        <v>#N/A</v>
      </c>
      <c r="L241" s="58"/>
      <c r="M241" s="58"/>
      <c r="N241" s="58"/>
      <c r="O241" s="58"/>
      <c r="P241" s="58"/>
      <c r="Q241" s="58"/>
    </row>
    <row r="242" spans="1:17" s="11" customFormat="1" x14ac:dyDescent="0.35">
      <c r="A242" s="58"/>
      <c r="B242" s="58"/>
      <c r="C242" s="58"/>
      <c r="D242" s="58"/>
      <c r="E242" s="58"/>
      <c r="F242" s="58"/>
      <c r="G242" s="78"/>
      <c r="H242" s="78"/>
      <c r="I242" s="78"/>
      <c r="J242" s="222"/>
      <c r="K242" s="59" t="e">
        <f>DATE(YEAR(J242),MONTH(J242)+VLOOKUP($F242,'Membership Level'!$A$3:$B$10,2,FALSE),DAY(J242))</f>
        <v>#N/A</v>
      </c>
      <c r="L242" s="58"/>
      <c r="M242" s="58"/>
      <c r="N242" s="58"/>
      <c r="O242" s="58"/>
      <c r="P242" s="58"/>
      <c r="Q242" s="58"/>
    </row>
    <row r="243" spans="1:17" x14ac:dyDescent="0.35">
      <c r="A243" s="7"/>
      <c r="B243" s="7"/>
      <c r="C243" s="7"/>
      <c r="D243" s="7"/>
      <c r="E243" s="7"/>
      <c r="F243" s="7"/>
      <c r="G243" s="75"/>
      <c r="H243" s="75"/>
      <c r="I243" s="75"/>
      <c r="J243" s="210"/>
      <c r="K243" s="9" t="e">
        <f>DATE(YEAR(J243),MONTH(J243)+VLOOKUP($F243,'Membership Level'!$A$3:$B$10,2,FALSE),DAY(J243))</f>
        <v>#N/A</v>
      </c>
      <c r="L243" s="7"/>
      <c r="M243" s="7"/>
      <c r="N243" s="7"/>
      <c r="O243" s="7"/>
      <c r="P243" s="7"/>
      <c r="Q243" s="7"/>
    </row>
    <row r="244" spans="1:17" x14ac:dyDescent="0.35">
      <c r="A244" s="7"/>
      <c r="B244" s="7"/>
      <c r="C244" s="7"/>
      <c r="D244" s="7"/>
      <c r="E244" s="80"/>
      <c r="F244" s="7"/>
      <c r="G244" s="75"/>
      <c r="H244" s="75"/>
      <c r="I244" s="75"/>
      <c r="J244" s="210"/>
      <c r="K244" s="9" t="e">
        <f>DATE(YEAR(J244),MONTH(J244)+VLOOKUP($F244,'Membership Level'!$A$3:$B$10,2,FALSE),DAY(J244))</f>
        <v>#N/A</v>
      </c>
      <c r="L244" s="7"/>
      <c r="M244" s="7"/>
      <c r="N244" s="7"/>
      <c r="O244" s="7"/>
      <c r="P244" s="7"/>
      <c r="Q244" s="7"/>
    </row>
    <row r="245" spans="1:17" x14ac:dyDescent="0.35">
      <c r="A245" s="7"/>
      <c r="B245" s="7"/>
      <c r="C245" s="7"/>
      <c r="D245" s="7"/>
      <c r="E245" s="80"/>
      <c r="F245" s="7"/>
      <c r="G245" s="75"/>
      <c r="H245" s="75"/>
      <c r="I245" s="78"/>
      <c r="J245" s="9"/>
      <c r="K245" s="65" t="e">
        <f>DATE(YEAR(J245),MONTH(J245)+VLOOKUP($F245,'Membership Level'!$A$3:$B$10,2,FALSE),DAY(J245))</f>
        <v>#N/A</v>
      </c>
      <c r="L245" s="7"/>
      <c r="M245" s="7"/>
      <c r="N245" s="7"/>
      <c r="O245" s="7"/>
      <c r="P245" s="7"/>
      <c r="Q245" s="7"/>
    </row>
    <row r="246" spans="1:17" x14ac:dyDescent="0.35">
      <c r="A246" s="7"/>
      <c r="B246" s="7"/>
      <c r="C246" s="7"/>
      <c r="D246" s="7"/>
      <c r="E246" s="80"/>
      <c r="F246" s="7"/>
      <c r="G246" s="75"/>
      <c r="H246" s="75"/>
      <c r="I246" s="78"/>
      <c r="J246" s="9"/>
      <c r="K246" s="65" t="e">
        <f>DATE(YEAR(J246),MONTH(J246)+VLOOKUP($F246,'Membership Level'!$A$3:$B$10,2,FALSE),DAY(J246))</f>
        <v>#N/A</v>
      </c>
      <c r="L246" s="7"/>
      <c r="M246" s="7"/>
      <c r="N246" s="7"/>
      <c r="O246" s="7"/>
      <c r="P246" s="7"/>
      <c r="Q246" s="7"/>
    </row>
    <row r="247" spans="1:17" x14ac:dyDescent="0.35">
      <c r="A247" s="7"/>
      <c r="B247" s="7"/>
      <c r="C247" s="7"/>
      <c r="D247" s="7"/>
      <c r="E247" s="80"/>
      <c r="F247" s="7"/>
      <c r="G247" s="75"/>
      <c r="H247" s="75"/>
      <c r="I247" s="78"/>
      <c r="J247" s="210"/>
      <c r="K247" s="9" t="e">
        <f>DATE(YEAR(J247),MONTH(J247)+VLOOKUP($F247,'Membership Level'!$A$3:$B$10,2,FALSE),DAY(J247))</f>
        <v>#N/A</v>
      </c>
      <c r="L247" s="7"/>
      <c r="M247" s="7"/>
      <c r="N247" s="7"/>
      <c r="O247" s="7"/>
      <c r="P247" s="7"/>
      <c r="Q247" s="7"/>
    </row>
    <row r="248" spans="1:17" x14ac:dyDescent="0.35">
      <c r="A248" s="7"/>
      <c r="B248" s="7"/>
      <c r="C248" s="7"/>
      <c r="D248" s="7"/>
      <c r="E248" s="7"/>
      <c r="F248" s="7"/>
      <c r="G248" s="75"/>
      <c r="H248" s="75"/>
      <c r="I248" s="78"/>
      <c r="J248" s="210"/>
      <c r="K248" s="9" t="e">
        <f>DATE(YEAR(J248),MONTH(J248)+VLOOKUP($F248,'Membership Level'!$A$3:$B$10,2,FALSE),DAY(J248))</f>
        <v>#N/A</v>
      </c>
      <c r="L248" s="7"/>
      <c r="M248" s="7"/>
      <c r="N248" s="7"/>
      <c r="O248" s="7"/>
      <c r="P248" s="7"/>
      <c r="Q248" s="7"/>
    </row>
    <row r="249" spans="1:17" x14ac:dyDescent="0.35">
      <c r="A249" s="7"/>
      <c r="B249" s="7"/>
      <c r="C249" s="7"/>
      <c r="D249" s="7"/>
      <c r="E249" s="7"/>
      <c r="F249" s="7"/>
      <c r="G249" s="75"/>
      <c r="H249" s="75"/>
      <c r="I249" s="78"/>
      <c r="J249" s="210"/>
      <c r="K249" s="9" t="e">
        <f>DATE(YEAR(J249),MONTH(J249)+VLOOKUP($F249,'Membership Level'!$A$3:$B$10,2,FALSE),DAY(J249))</f>
        <v>#N/A</v>
      </c>
      <c r="L249" s="7"/>
      <c r="M249" s="7"/>
      <c r="N249" s="7"/>
      <c r="O249" s="7"/>
      <c r="P249" s="7"/>
      <c r="Q249" s="7"/>
    </row>
    <row r="250" spans="1:17" x14ac:dyDescent="0.35">
      <c r="A250" s="7"/>
      <c r="B250" s="7"/>
      <c r="C250" s="7"/>
      <c r="D250" s="7"/>
      <c r="E250" s="7"/>
      <c r="F250" s="7"/>
      <c r="G250" s="75"/>
      <c r="H250" s="75"/>
      <c r="I250" s="78"/>
      <c r="J250" s="210"/>
      <c r="K250" s="9" t="e">
        <f>DATE(YEAR(J250),MONTH(J250)+VLOOKUP($F250,'Membership Level'!$A$3:$B$10,2,FALSE),DAY(J250))</f>
        <v>#N/A</v>
      </c>
      <c r="L250" s="7"/>
      <c r="M250" s="7"/>
      <c r="N250" s="7"/>
      <c r="O250" s="7"/>
      <c r="P250" s="7"/>
      <c r="Q250" s="7"/>
    </row>
    <row r="251" spans="1:17" x14ac:dyDescent="0.35">
      <c r="A251" s="7"/>
      <c r="B251" s="7"/>
      <c r="C251" s="7"/>
      <c r="D251" s="7"/>
      <c r="E251" s="7"/>
      <c r="F251" s="7"/>
      <c r="G251" s="75"/>
      <c r="H251" s="75"/>
      <c r="I251" s="78"/>
      <c r="J251" s="210"/>
      <c r="K251" s="9" t="e">
        <f>DATE(YEAR(J251),MONTH(J251)+VLOOKUP($F251,'Membership Level'!$A$3:$B$10,2,FALSE),DAY(J251))</f>
        <v>#N/A</v>
      </c>
      <c r="L251" s="7"/>
      <c r="M251" s="7"/>
      <c r="N251" s="7"/>
      <c r="O251" s="7"/>
      <c r="P251" s="7"/>
      <c r="Q251" s="7"/>
    </row>
    <row r="252" spans="1:17" x14ac:dyDescent="0.35">
      <c r="A252" s="7"/>
      <c r="B252" s="7"/>
      <c r="C252" s="7"/>
      <c r="D252" s="7"/>
      <c r="E252" s="7"/>
      <c r="F252" s="7"/>
      <c r="G252" s="75"/>
      <c r="H252" s="75"/>
      <c r="I252" s="78"/>
      <c r="J252" s="9"/>
      <c r="K252" s="9" t="e">
        <f>DATE(YEAR(J252),MONTH(J252)+VLOOKUP($F252,'Membership Level'!$A$3:$B$10,2,FALSE),DAY(J252))</f>
        <v>#N/A</v>
      </c>
      <c r="L252" s="7"/>
      <c r="M252" s="7"/>
      <c r="N252" s="7"/>
      <c r="O252" s="7"/>
      <c r="P252" s="7"/>
      <c r="Q252" s="7"/>
    </row>
    <row r="253" spans="1:17" x14ac:dyDescent="0.35">
      <c r="A253" s="7"/>
      <c r="B253" s="7"/>
      <c r="C253" s="7"/>
      <c r="D253" s="7"/>
      <c r="E253" s="80"/>
      <c r="F253" s="7"/>
      <c r="G253" s="75"/>
      <c r="H253" s="75"/>
      <c r="I253" s="78"/>
      <c r="J253" s="9"/>
      <c r="K253" s="9" t="e">
        <f>DATE(YEAR(J253),MONTH(J253)+VLOOKUP($F253,'Membership Level'!$A$3:$B$10,2,FALSE),DAY(J253))</f>
        <v>#N/A</v>
      </c>
      <c r="L253" s="7"/>
      <c r="M253" s="7"/>
      <c r="N253" s="7"/>
      <c r="O253" s="7"/>
      <c r="P253" s="7"/>
      <c r="Q253" s="7"/>
    </row>
    <row r="254" spans="1:17" x14ac:dyDescent="0.35">
      <c r="A254" s="7"/>
      <c r="B254" s="7"/>
      <c r="C254" s="7"/>
      <c r="D254" s="7"/>
      <c r="E254" s="7"/>
      <c r="F254" s="7"/>
      <c r="G254" s="75"/>
      <c r="H254" s="75"/>
      <c r="I254" s="78"/>
      <c r="J254" s="9"/>
      <c r="K254" s="9" t="e">
        <f>DATE(YEAR(J254),MONTH(J254)+VLOOKUP($F254,'Membership Level'!$A$3:$B$10,2,FALSE),DAY(J254))</f>
        <v>#N/A</v>
      </c>
      <c r="L254" s="7"/>
      <c r="M254" s="7"/>
      <c r="N254" s="7"/>
      <c r="O254" s="7"/>
      <c r="P254" s="7"/>
      <c r="Q254" s="7"/>
    </row>
    <row r="255" spans="1:17" x14ac:dyDescent="0.35">
      <c r="A255" s="7"/>
      <c r="B255" s="7"/>
      <c r="C255" s="7"/>
      <c r="D255" s="7"/>
      <c r="E255" s="7"/>
      <c r="F255" s="7"/>
      <c r="G255" s="75"/>
      <c r="H255" s="75"/>
      <c r="I255" s="78"/>
      <c r="J255" s="9"/>
      <c r="K255" s="9" t="e">
        <f>DATE(YEAR(J255),MONTH(J255)+VLOOKUP($F255,'Membership Level'!$A$3:$B$10,2,FALSE),DAY(J255))</f>
        <v>#N/A</v>
      </c>
      <c r="L255" s="7"/>
      <c r="M255" s="7"/>
      <c r="N255" s="7"/>
      <c r="O255" s="7"/>
      <c r="P255" s="7"/>
      <c r="Q255" s="7"/>
    </row>
    <row r="256" spans="1:17" x14ac:dyDescent="0.35">
      <c r="A256" s="7"/>
      <c r="B256" s="7"/>
      <c r="C256" s="7"/>
      <c r="D256" s="7"/>
      <c r="E256" s="7"/>
      <c r="F256" s="7"/>
      <c r="G256" s="75"/>
      <c r="H256" s="75"/>
      <c r="I256" s="78"/>
      <c r="J256" s="9"/>
      <c r="K256" s="9" t="e">
        <f>DATE(YEAR(J256),MONTH(J256)+VLOOKUP($F256,'Membership Level'!$A$3:$B$10,2,FALSE),DAY(J256))</f>
        <v>#N/A</v>
      </c>
      <c r="L256" s="7"/>
      <c r="M256" s="7"/>
      <c r="N256" s="7"/>
      <c r="O256" s="7"/>
      <c r="P256" s="7"/>
      <c r="Q256" s="7"/>
    </row>
    <row r="257" spans="1:18" x14ac:dyDescent="0.35">
      <c r="A257" s="7"/>
      <c r="B257" s="7"/>
      <c r="C257" s="7"/>
      <c r="D257" s="7"/>
      <c r="E257" s="7"/>
      <c r="F257" s="7"/>
      <c r="G257" s="75"/>
      <c r="H257" s="75"/>
      <c r="I257" s="78"/>
      <c r="J257" s="9"/>
      <c r="K257" s="9" t="e">
        <f>DATE(YEAR(J257),MONTH(J257)+VLOOKUP($F257,'Membership Level'!$A$3:$B$10,2,FALSE),DAY(J257))</f>
        <v>#N/A</v>
      </c>
      <c r="L257" s="7"/>
      <c r="M257" s="7"/>
      <c r="N257" s="7"/>
      <c r="O257" s="7"/>
      <c r="P257" s="7"/>
      <c r="Q257" s="7"/>
    </row>
    <row r="258" spans="1:18" x14ac:dyDescent="0.35">
      <c r="A258" s="7"/>
      <c r="B258" s="7"/>
      <c r="C258" s="7"/>
      <c r="D258" s="7"/>
      <c r="E258" s="7"/>
      <c r="F258" s="7"/>
      <c r="G258" s="75"/>
      <c r="H258" s="75"/>
      <c r="I258" s="78"/>
      <c r="J258" s="7"/>
      <c r="K258" s="9" t="e">
        <f>DATE(YEAR(J258),MONTH(J258)+VLOOKUP($F258,'Membership Level'!$A$3:$B$10,2,FALSE),DAY(J258))</f>
        <v>#N/A</v>
      </c>
      <c r="L258" s="7"/>
      <c r="M258" s="7"/>
      <c r="N258" s="7"/>
      <c r="O258" s="7"/>
      <c r="P258" s="7"/>
      <c r="Q258" s="7"/>
    </row>
    <row r="259" spans="1:18" x14ac:dyDescent="0.35">
      <c r="A259" s="7"/>
      <c r="B259" s="7"/>
      <c r="C259" s="7"/>
      <c r="D259" s="7"/>
      <c r="E259" s="7"/>
      <c r="F259" s="7"/>
      <c r="G259" s="75"/>
      <c r="H259" s="75"/>
      <c r="I259" s="78"/>
      <c r="J259" s="7"/>
      <c r="K259" s="9" t="e">
        <f>DATE(YEAR(J259),MONTH(J259)+VLOOKUP($F259,'Membership Level'!$A$3:$B$10,2,FALSE),DAY(J259))</f>
        <v>#N/A</v>
      </c>
      <c r="L259" s="7"/>
      <c r="M259" s="7"/>
      <c r="N259" s="7"/>
      <c r="O259" s="7"/>
      <c r="P259" s="7"/>
      <c r="Q259" s="7"/>
    </row>
    <row r="260" spans="1:18" x14ac:dyDescent="0.35">
      <c r="I260" s="78"/>
      <c r="L260" s="7"/>
      <c r="M260" s="7"/>
      <c r="N260" s="7"/>
      <c r="O260" s="7"/>
      <c r="P260" s="7"/>
      <c r="Q260" s="7"/>
    </row>
    <row r="261" spans="1:18" x14ac:dyDescent="0.35">
      <c r="I261" s="78"/>
      <c r="L261" s="7"/>
      <c r="M261" s="7"/>
      <c r="N261" s="7"/>
      <c r="O261" s="7"/>
      <c r="P261" s="7"/>
      <c r="Q261" s="7"/>
    </row>
    <row r="262" spans="1:18" x14ac:dyDescent="0.35">
      <c r="C262" s="7"/>
      <c r="D262" s="7"/>
      <c r="E262" s="7"/>
      <c r="F262" s="7"/>
      <c r="G262" s="75"/>
      <c r="H262" s="75"/>
      <c r="I262" s="78"/>
      <c r="J262" s="9"/>
      <c r="K262" s="65"/>
      <c r="L262" s="7"/>
      <c r="M262" s="7"/>
      <c r="N262" s="7"/>
      <c r="O262" s="7"/>
      <c r="P262" s="7"/>
      <c r="Q262" s="7"/>
    </row>
    <row r="263" spans="1:18" x14ac:dyDescent="0.35">
      <c r="C263" s="7"/>
      <c r="D263" s="7"/>
      <c r="E263" s="7"/>
      <c r="F263" s="7"/>
      <c r="G263" s="75"/>
      <c r="H263" s="75"/>
      <c r="I263" s="92"/>
      <c r="J263" s="9"/>
      <c r="K263" s="65"/>
      <c r="L263" s="7"/>
      <c r="M263" s="7"/>
      <c r="N263" s="7"/>
      <c r="O263" s="7"/>
      <c r="P263" s="7"/>
      <c r="Q263" s="7"/>
    </row>
    <row r="264" spans="1:18" x14ac:dyDescent="0.35">
      <c r="A264" s="7"/>
      <c r="B264" s="7"/>
      <c r="C264" s="7"/>
      <c r="D264" s="7"/>
      <c r="E264" s="7"/>
      <c r="F264" s="7"/>
      <c r="G264" s="75"/>
      <c r="H264" s="75"/>
      <c r="I264" s="92"/>
      <c r="J264" s="7"/>
      <c r="K264" s="65" t="e">
        <f>DATE(YEAR(J264),MONTH(J264)+VLOOKUP($F264,'Membership Level'!$A$3:$B$10,2,FALSE),DAY(J264))</f>
        <v>#N/A</v>
      </c>
      <c r="L264" s="7"/>
      <c r="M264" s="7"/>
      <c r="N264" s="7"/>
      <c r="O264" s="7"/>
      <c r="P264" s="7"/>
      <c r="Q264" s="7"/>
    </row>
    <row r="265" spans="1:18" x14ac:dyDescent="0.35">
      <c r="A265" s="7"/>
      <c r="B265" s="7"/>
      <c r="C265" s="7"/>
      <c r="D265" s="7"/>
      <c r="E265" s="7"/>
      <c r="F265" s="7"/>
      <c r="G265" s="75"/>
      <c r="H265" s="75"/>
      <c r="I265" s="92"/>
      <c r="J265" s="7"/>
      <c r="K265" s="65" t="e">
        <f>DATE(YEAR(J265),MONTH(J265)+VLOOKUP($F265,'Membership Level'!$A$3:$B$10,2,FALSE),DAY(J265))</f>
        <v>#N/A</v>
      </c>
      <c r="L265" s="7"/>
      <c r="M265" s="7"/>
      <c r="N265" s="7"/>
      <c r="O265" s="7"/>
      <c r="P265" s="7"/>
      <c r="Q265" s="7"/>
    </row>
    <row r="266" spans="1:18" x14ac:dyDescent="0.35">
      <c r="A266" s="189"/>
      <c r="B266" s="189"/>
      <c r="C266" s="189"/>
      <c r="D266" s="189"/>
      <c r="E266" s="189"/>
      <c r="F266" s="189"/>
      <c r="G266" s="189"/>
      <c r="H266" s="189"/>
      <c r="I266" s="189"/>
      <c r="J266" s="189"/>
      <c r="K266" s="189"/>
      <c r="L266" s="189"/>
      <c r="M266" s="189"/>
      <c r="N266" s="189"/>
      <c r="O266" s="189"/>
      <c r="P266" s="189"/>
      <c r="Q266" s="189"/>
      <c r="R266" s="189"/>
    </row>
    <row r="267" spans="1:18" x14ac:dyDescent="0.35">
      <c r="A267" s="189"/>
      <c r="B267" s="189"/>
      <c r="C267" s="189"/>
      <c r="D267" s="189"/>
      <c r="E267" s="189"/>
      <c r="F267" s="189"/>
      <c r="G267" s="189"/>
      <c r="H267" s="189"/>
      <c r="I267" s="189"/>
      <c r="J267" s="189"/>
      <c r="K267" s="189"/>
      <c r="L267" s="189"/>
      <c r="M267" s="189"/>
      <c r="N267" s="189"/>
      <c r="O267" s="189"/>
      <c r="P267" s="189"/>
      <c r="Q267" s="189"/>
      <c r="R267" s="189"/>
    </row>
    <row r="268" spans="1:18" x14ac:dyDescent="0.35">
      <c r="A268" s="189"/>
      <c r="B268" s="189"/>
      <c r="C268" s="189"/>
      <c r="D268" s="189"/>
      <c r="E268" s="189"/>
      <c r="F268" s="189"/>
      <c r="G268" s="189"/>
      <c r="H268" s="189"/>
      <c r="I268" s="189"/>
      <c r="J268" s="189"/>
      <c r="K268" s="189"/>
      <c r="L268" s="189"/>
      <c r="M268" s="189"/>
      <c r="N268" s="189"/>
      <c r="O268" s="189"/>
      <c r="P268" s="189"/>
      <c r="Q268" s="189"/>
      <c r="R268" s="189"/>
    </row>
    <row r="269" spans="1:18" x14ac:dyDescent="0.35">
      <c r="A269" s="189"/>
      <c r="B269" s="189"/>
      <c r="C269" s="189"/>
      <c r="D269" s="189"/>
      <c r="E269" s="189"/>
      <c r="F269" s="189"/>
      <c r="G269" s="189"/>
      <c r="H269" s="189"/>
      <c r="I269" s="189"/>
      <c r="J269" s="189"/>
      <c r="K269" s="189"/>
      <c r="L269" s="189"/>
      <c r="M269" s="189"/>
      <c r="N269" s="189"/>
      <c r="O269" s="189"/>
      <c r="P269" s="189"/>
      <c r="Q269" s="189"/>
      <c r="R269" s="189"/>
    </row>
    <row r="270" spans="1:18" x14ac:dyDescent="0.35">
      <c r="A270" s="189"/>
      <c r="B270" s="189"/>
      <c r="C270" s="189"/>
      <c r="D270" s="189"/>
      <c r="E270" s="189"/>
      <c r="F270" s="189"/>
      <c r="G270" s="189"/>
      <c r="H270" s="189"/>
      <c r="I270" s="189"/>
      <c r="J270" s="189"/>
      <c r="K270" s="189"/>
      <c r="L270" s="189"/>
      <c r="M270" s="189"/>
      <c r="N270" s="189"/>
      <c r="O270" s="189"/>
      <c r="P270" s="189"/>
      <c r="Q270" s="189"/>
      <c r="R270" s="189"/>
    </row>
    <row r="271" spans="1:18" x14ac:dyDescent="0.35">
      <c r="A271" s="189"/>
      <c r="B271" s="189"/>
      <c r="C271" s="189"/>
      <c r="D271" s="189"/>
      <c r="E271" s="189"/>
      <c r="F271" s="189"/>
      <c r="G271" s="189"/>
      <c r="H271" s="189"/>
      <c r="I271" s="189"/>
      <c r="J271" s="189"/>
      <c r="K271" s="189"/>
      <c r="L271" s="189"/>
      <c r="M271" s="189"/>
      <c r="N271" s="189"/>
      <c r="O271" s="189"/>
      <c r="P271" s="189"/>
      <c r="Q271" s="189"/>
      <c r="R271" s="189"/>
    </row>
    <row r="272" spans="1:18" x14ac:dyDescent="0.35">
      <c r="A272" s="189"/>
      <c r="B272" s="189"/>
      <c r="C272" s="189"/>
      <c r="D272" s="189"/>
      <c r="E272" s="189"/>
      <c r="F272" s="189"/>
      <c r="G272" s="189"/>
      <c r="H272" s="189"/>
      <c r="I272" s="189"/>
      <c r="J272" s="189"/>
      <c r="K272" s="189"/>
      <c r="L272" s="189"/>
      <c r="M272" s="189"/>
      <c r="N272" s="189"/>
      <c r="O272" s="189"/>
      <c r="P272" s="189"/>
      <c r="Q272" s="189"/>
      <c r="R272" s="189"/>
    </row>
    <row r="273" spans="1:18" x14ac:dyDescent="0.35">
      <c r="A273" s="189"/>
      <c r="B273" s="189"/>
      <c r="C273" s="189"/>
      <c r="D273" s="189"/>
      <c r="E273" s="189"/>
      <c r="F273" s="189"/>
      <c r="G273" s="189"/>
      <c r="H273" s="189"/>
      <c r="I273" s="189"/>
      <c r="J273" s="189"/>
      <c r="K273" s="189"/>
      <c r="L273" s="189"/>
      <c r="M273" s="189"/>
      <c r="N273" s="189"/>
      <c r="O273" s="189"/>
      <c r="P273" s="189"/>
      <c r="Q273" s="189"/>
      <c r="R273" s="189"/>
    </row>
    <row r="274" spans="1:18" x14ac:dyDescent="0.35">
      <c r="A274" s="189"/>
      <c r="B274" s="189"/>
      <c r="C274" s="189"/>
      <c r="D274" s="189"/>
      <c r="E274" s="189"/>
      <c r="F274" s="189"/>
      <c r="G274" s="189"/>
      <c r="H274" s="189"/>
      <c r="I274" s="189"/>
      <c r="J274" s="189"/>
      <c r="K274" s="189"/>
      <c r="L274" s="189"/>
      <c r="M274" s="189"/>
      <c r="N274" s="189"/>
      <c r="O274" s="189"/>
      <c r="P274" s="189"/>
      <c r="Q274" s="189"/>
      <c r="R274" s="189"/>
    </row>
    <row r="275" spans="1:18" x14ac:dyDescent="0.35">
      <c r="A275" s="189"/>
      <c r="B275" s="189"/>
      <c r="C275" s="189"/>
      <c r="D275" s="189"/>
      <c r="E275" s="189"/>
      <c r="F275" s="189"/>
      <c r="G275" s="189"/>
      <c r="H275" s="189"/>
      <c r="I275" s="189"/>
      <c r="J275" s="189"/>
      <c r="K275" s="189"/>
      <c r="L275" s="189"/>
      <c r="M275" s="189"/>
      <c r="N275" s="189"/>
      <c r="O275" s="189"/>
      <c r="P275" s="189"/>
      <c r="Q275" s="189"/>
      <c r="R275" s="189"/>
    </row>
    <row r="276" spans="1:18" x14ac:dyDescent="0.35">
      <c r="A276" s="189"/>
      <c r="B276" s="189"/>
      <c r="C276" s="189"/>
      <c r="D276" s="189"/>
      <c r="E276" s="189"/>
      <c r="F276" s="189"/>
      <c r="G276" s="189"/>
      <c r="H276" s="189"/>
      <c r="I276" s="189"/>
      <c r="J276" s="189"/>
      <c r="K276" s="189"/>
      <c r="L276" s="189"/>
      <c r="M276" s="189"/>
      <c r="N276" s="189"/>
      <c r="O276" s="189"/>
      <c r="P276" s="189"/>
      <c r="Q276" s="189"/>
      <c r="R276" s="189"/>
    </row>
    <row r="277" spans="1:18" x14ac:dyDescent="0.35">
      <c r="A277" s="189"/>
      <c r="B277" s="189"/>
      <c r="C277" s="189"/>
      <c r="D277" s="189"/>
      <c r="E277" s="189"/>
      <c r="F277" s="189"/>
      <c r="G277" s="189"/>
      <c r="H277" s="189"/>
      <c r="I277" s="189"/>
      <c r="J277" s="189"/>
      <c r="K277" s="189"/>
      <c r="L277" s="189"/>
      <c r="M277" s="189"/>
      <c r="N277" s="189"/>
      <c r="O277" s="189"/>
      <c r="P277" s="189"/>
      <c r="Q277" s="189"/>
      <c r="R277" s="189"/>
    </row>
    <row r="278" spans="1:18" x14ac:dyDescent="0.35">
      <c r="A278" s="189"/>
      <c r="B278" s="189"/>
      <c r="C278" s="189"/>
      <c r="D278" s="189"/>
      <c r="E278" s="189"/>
      <c r="F278" s="189"/>
      <c r="G278" s="189"/>
      <c r="H278" s="189"/>
      <c r="I278" s="189"/>
      <c r="J278" s="189"/>
      <c r="K278" s="189"/>
      <c r="L278" s="189"/>
      <c r="M278" s="189"/>
      <c r="N278" s="189"/>
      <c r="O278" s="189"/>
      <c r="P278" s="189"/>
      <c r="Q278" s="189"/>
      <c r="R278" s="189"/>
    </row>
    <row r="279" spans="1:18" x14ac:dyDescent="0.35">
      <c r="A279" s="189"/>
      <c r="B279" s="189"/>
      <c r="C279" s="189"/>
      <c r="D279" s="189"/>
      <c r="E279" s="189"/>
      <c r="F279" s="189"/>
      <c r="G279" s="189"/>
      <c r="H279" s="189"/>
      <c r="I279" s="189"/>
      <c r="J279" s="189"/>
      <c r="K279" s="189"/>
      <c r="L279" s="189"/>
      <c r="M279" s="189"/>
      <c r="N279" s="189"/>
      <c r="O279" s="189"/>
      <c r="P279" s="189"/>
      <c r="Q279" s="189"/>
      <c r="R279" s="189"/>
    </row>
    <row r="280" spans="1:18" x14ac:dyDescent="0.35">
      <c r="A280" s="189"/>
      <c r="B280" s="189"/>
      <c r="C280" s="189"/>
      <c r="D280" s="189"/>
      <c r="E280" s="189"/>
      <c r="F280" s="189"/>
      <c r="G280" s="189"/>
      <c r="H280" s="189"/>
      <c r="I280" s="189"/>
      <c r="J280" s="189"/>
      <c r="K280" s="189"/>
      <c r="L280" s="189"/>
      <c r="M280" s="189"/>
      <c r="N280" s="189"/>
      <c r="O280" s="189"/>
      <c r="P280" s="189"/>
      <c r="Q280" s="189"/>
      <c r="R280" s="189"/>
    </row>
    <row r="281" spans="1:18" x14ac:dyDescent="0.35">
      <c r="A281" s="189"/>
      <c r="B281" s="189"/>
      <c r="C281" s="189"/>
      <c r="D281" s="189"/>
      <c r="E281" s="189"/>
      <c r="F281" s="189"/>
      <c r="G281" s="189"/>
      <c r="H281" s="189"/>
      <c r="I281" s="189"/>
      <c r="J281" s="189"/>
      <c r="K281" s="189"/>
      <c r="L281" s="189"/>
      <c r="M281" s="189"/>
      <c r="N281" s="189"/>
      <c r="O281" s="189"/>
      <c r="P281" s="189"/>
      <c r="Q281" s="189"/>
      <c r="R281" s="189"/>
    </row>
    <row r="282" spans="1:18" x14ac:dyDescent="0.35">
      <c r="A282" s="189"/>
      <c r="B282" s="189"/>
      <c r="C282" s="189"/>
      <c r="D282" s="189"/>
      <c r="E282" s="189"/>
      <c r="F282" s="189"/>
      <c r="G282" s="189"/>
      <c r="H282" s="189"/>
      <c r="I282" s="189"/>
      <c r="J282" s="189"/>
      <c r="K282" s="189"/>
      <c r="L282" s="189"/>
      <c r="M282" s="189"/>
      <c r="N282" s="189"/>
      <c r="O282" s="189"/>
      <c r="P282" s="189"/>
      <c r="Q282" s="189"/>
      <c r="R282" s="189"/>
    </row>
    <row r="283" spans="1:18" x14ac:dyDescent="0.35">
      <c r="A283" s="189"/>
      <c r="B283" s="189"/>
      <c r="C283" s="189"/>
      <c r="D283" s="189"/>
      <c r="E283" s="189"/>
      <c r="F283" s="189"/>
      <c r="G283" s="189"/>
      <c r="H283" s="189"/>
      <c r="I283" s="189"/>
      <c r="J283" s="189"/>
      <c r="K283" s="189"/>
      <c r="L283" s="189"/>
      <c r="M283" s="189"/>
      <c r="N283" s="189"/>
      <c r="O283" s="189"/>
      <c r="P283" s="189"/>
      <c r="Q283" s="189"/>
      <c r="R283" s="189"/>
    </row>
    <row r="284" spans="1:18" x14ac:dyDescent="0.35">
      <c r="A284" s="189"/>
      <c r="B284" s="189"/>
      <c r="C284" s="189"/>
      <c r="D284" s="189"/>
      <c r="E284" s="189"/>
      <c r="F284" s="189"/>
      <c r="G284" s="189"/>
      <c r="H284" s="189"/>
      <c r="I284" s="189"/>
      <c r="J284" s="189"/>
      <c r="K284" s="189"/>
      <c r="L284" s="189"/>
      <c r="M284" s="189"/>
      <c r="N284" s="189"/>
      <c r="O284" s="189"/>
      <c r="P284" s="189"/>
      <c r="Q284" s="189"/>
      <c r="R284" s="189"/>
    </row>
    <row r="285" spans="1:18" x14ac:dyDescent="0.35">
      <c r="A285" s="189"/>
      <c r="B285" s="189"/>
      <c r="C285" s="189"/>
      <c r="D285" s="189"/>
      <c r="E285" s="189"/>
      <c r="F285" s="189"/>
      <c r="G285" s="189"/>
      <c r="H285" s="189"/>
      <c r="I285" s="189"/>
      <c r="J285" s="189"/>
      <c r="K285" s="189"/>
      <c r="L285" s="189"/>
      <c r="M285" s="189"/>
      <c r="N285" s="189"/>
      <c r="O285" s="189"/>
      <c r="P285" s="189"/>
      <c r="Q285" s="189"/>
      <c r="R285" s="189"/>
    </row>
    <row r="286" spans="1:18" x14ac:dyDescent="0.35">
      <c r="A286" s="189"/>
      <c r="B286" s="189"/>
      <c r="C286" s="189"/>
      <c r="D286" s="189"/>
      <c r="E286" s="189"/>
      <c r="F286" s="189"/>
      <c r="G286" s="189"/>
      <c r="H286" s="189"/>
      <c r="I286" s="189"/>
      <c r="J286" s="189"/>
      <c r="K286" s="189"/>
      <c r="L286" s="189"/>
      <c r="M286" s="189"/>
      <c r="N286" s="189"/>
      <c r="O286" s="189"/>
      <c r="P286" s="189"/>
      <c r="Q286" s="189"/>
      <c r="R286" s="189"/>
    </row>
    <row r="287" spans="1:18" x14ac:dyDescent="0.35">
      <c r="A287" s="189"/>
      <c r="B287" s="189"/>
      <c r="C287" s="189"/>
      <c r="D287" s="189"/>
      <c r="E287" s="189"/>
      <c r="F287" s="189"/>
      <c r="G287" s="189"/>
      <c r="H287" s="189"/>
      <c r="I287" s="189"/>
      <c r="J287" s="189"/>
      <c r="K287" s="189"/>
      <c r="L287" s="189"/>
      <c r="M287" s="189"/>
      <c r="N287" s="189"/>
      <c r="O287" s="189"/>
      <c r="P287" s="189"/>
      <c r="Q287" s="189"/>
      <c r="R287" s="189"/>
    </row>
    <row r="288" spans="1:18" x14ac:dyDescent="0.35">
      <c r="A288" s="189"/>
      <c r="B288" s="189"/>
      <c r="C288" s="189"/>
      <c r="D288" s="189"/>
      <c r="E288" s="189"/>
      <c r="F288" s="189"/>
      <c r="G288" s="189"/>
      <c r="H288" s="189"/>
      <c r="I288" s="189"/>
      <c r="J288" s="189"/>
      <c r="K288" s="189"/>
      <c r="L288" s="189"/>
      <c r="M288" s="189"/>
      <c r="N288" s="189"/>
      <c r="O288" s="189"/>
      <c r="P288" s="189"/>
      <c r="Q288" s="189"/>
      <c r="R288" s="189"/>
    </row>
    <row r="289" spans="1:18" x14ac:dyDescent="0.35">
      <c r="A289" s="189"/>
      <c r="B289" s="189"/>
      <c r="C289" s="189"/>
      <c r="D289" s="189"/>
      <c r="E289" s="189"/>
      <c r="F289" s="189"/>
      <c r="G289" s="189"/>
      <c r="H289" s="189"/>
      <c r="I289" s="189"/>
      <c r="J289" s="189"/>
      <c r="K289" s="189"/>
      <c r="L289" s="189"/>
      <c r="M289" s="189"/>
      <c r="N289" s="189"/>
      <c r="O289" s="189"/>
      <c r="P289" s="189"/>
      <c r="Q289" s="189"/>
      <c r="R289" s="189"/>
    </row>
    <row r="290" spans="1:18" x14ac:dyDescent="0.35">
      <c r="A290" s="189"/>
      <c r="B290" s="189"/>
      <c r="C290" s="189"/>
      <c r="D290" s="189"/>
      <c r="E290" s="189"/>
      <c r="F290" s="189"/>
      <c r="G290" s="189"/>
      <c r="H290" s="189"/>
      <c r="I290" s="189"/>
      <c r="J290" s="189"/>
      <c r="K290" s="189"/>
      <c r="L290" s="189"/>
      <c r="M290" s="189"/>
      <c r="N290" s="189"/>
      <c r="O290" s="189"/>
      <c r="P290" s="189"/>
      <c r="Q290" s="189"/>
      <c r="R290" s="189"/>
    </row>
    <row r="291" spans="1:18" x14ac:dyDescent="0.35">
      <c r="A291" s="189"/>
      <c r="B291" s="189"/>
      <c r="C291" s="189"/>
      <c r="D291" s="189"/>
      <c r="E291" s="189"/>
      <c r="F291" s="189"/>
      <c r="G291" s="189"/>
      <c r="H291" s="189"/>
      <c r="I291" s="189"/>
      <c r="J291" s="189"/>
      <c r="K291" s="189"/>
      <c r="L291" s="189"/>
      <c r="M291" s="189"/>
      <c r="N291" s="189"/>
      <c r="O291" s="189"/>
      <c r="P291" s="189"/>
      <c r="Q291" s="189"/>
      <c r="R291" s="189"/>
    </row>
    <row r="292" spans="1:18" x14ac:dyDescent="0.35">
      <c r="A292" s="189"/>
      <c r="B292" s="189"/>
      <c r="C292" s="189"/>
      <c r="D292" s="189"/>
      <c r="E292" s="189"/>
      <c r="F292" s="189"/>
      <c r="G292" s="189"/>
      <c r="H292" s="189"/>
      <c r="I292" s="189"/>
      <c r="J292" s="189"/>
      <c r="K292" s="189"/>
      <c r="L292" s="189"/>
      <c r="M292" s="189"/>
      <c r="N292" s="189"/>
      <c r="O292" s="189"/>
      <c r="P292" s="189"/>
      <c r="Q292" s="189"/>
      <c r="R292" s="189"/>
    </row>
    <row r="293" spans="1:18" x14ac:dyDescent="0.35">
      <c r="A293" s="189"/>
      <c r="B293" s="189"/>
      <c r="C293" s="189"/>
      <c r="D293" s="189"/>
      <c r="E293" s="189"/>
      <c r="F293" s="189"/>
      <c r="G293" s="189"/>
      <c r="H293" s="189"/>
      <c r="I293" s="189"/>
      <c r="J293" s="189"/>
      <c r="K293" s="189"/>
      <c r="L293" s="189"/>
      <c r="M293" s="189"/>
      <c r="N293" s="189"/>
      <c r="O293" s="189"/>
      <c r="P293" s="189"/>
      <c r="Q293" s="189"/>
      <c r="R293" s="189"/>
    </row>
    <row r="294" spans="1:18" x14ac:dyDescent="0.35">
      <c r="A294" s="189"/>
      <c r="B294" s="189"/>
      <c r="C294" s="189"/>
      <c r="D294" s="189"/>
      <c r="E294" s="189"/>
      <c r="F294" s="189"/>
      <c r="G294" s="189"/>
      <c r="H294" s="189"/>
      <c r="I294" s="189"/>
      <c r="J294" s="189"/>
      <c r="K294" s="189"/>
      <c r="L294" s="189"/>
      <c r="M294" s="189"/>
      <c r="N294" s="189"/>
      <c r="O294" s="189"/>
      <c r="P294" s="189"/>
      <c r="Q294" s="189"/>
      <c r="R294" s="189"/>
    </row>
    <row r="295" spans="1:18" x14ac:dyDescent="0.35">
      <c r="A295" s="189"/>
      <c r="B295" s="189"/>
      <c r="C295" s="189"/>
      <c r="D295" s="189"/>
      <c r="E295" s="189"/>
      <c r="F295" s="189"/>
      <c r="G295" s="189"/>
      <c r="H295" s="189"/>
      <c r="I295" s="189"/>
      <c r="J295" s="189"/>
      <c r="K295" s="189"/>
      <c r="L295" s="189"/>
      <c r="M295" s="189"/>
      <c r="N295" s="189"/>
      <c r="O295" s="189"/>
      <c r="P295" s="189"/>
      <c r="Q295" s="189"/>
      <c r="R295" s="189"/>
    </row>
    <row r="296" spans="1:18" x14ac:dyDescent="0.35">
      <c r="A296" s="189"/>
      <c r="B296" s="189"/>
      <c r="C296" s="189"/>
      <c r="D296" s="189"/>
      <c r="E296" s="189"/>
      <c r="F296" s="189"/>
      <c r="G296" s="189"/>
      <c r="H296" s="189"/>
      <c r="I296" s="189"/>
      <c r="J296" s="189"/>
      <c r="K296" s="189"/>
      <c r="L296" s="189"/>
      <c r="M296" s="189"/>
      <c r="N296" s="189"/>
      <c r="O296" s="189"/>
      <c r="P296" s="189"/>
      <c r="Q296" s="189"/>
      <c r="R296" s="189"/>
    </row>
    <row r="297" spans="1:18" x14ac:dyDescent="0.35">
      <c r="A297" s="189"/>
      <c r="B297" s="189"/>
      <c r="C297" s="189"/>
      <c r="D297" s="189"/>
      <c r="E297" s="189"/>
      <c r="F297" s="189"/>
      <c r="G297" s="189"/>
      <c r="H297" s="189"/>
      <c r="I297" s="189"/>
      <c r="J297" s="189"/>
      <c r="K297" s="189"/>
      <c r="L297" s="189"/>
      <c r="M297" s="189"/>
      <c r="N297" s="189"/>
      <c r="O297" s="189"/>
      <c r="P297" s="189"/>
      <c r="Q297" s="189"/>
      <c r="R297" s="189"/>
    </row>
    <row r="298" spans="1:18" x14ac:dyDescent="0.35">
      <c r="A298" s="189"/>
      <c r="B298" s="189"/>
      <c r="C298" s="189"/>
      <c r="D298" s="189"/>
      <c r="E298" s="189"/>
      <c r="F298" s="189"/>
      <c r="G298" s="189"/>
      <c r="H298" s="189"/>
      <c r="I298" s="189"/>
      <c r="J298" s="189"/>
      <c r="K298" s="189"/>
      <c r="L298" s="189"/>
      <c r="M298" s="189"/>
      <c r="N298" s="189"/>
      <c r="O298" s="189"/>
      <c r="P298" s="189"/>
      <c r="Q298" s="189"/>
      <c r="R298" s="189"/>
    </row>
    <row r="299" spans="1:18" x14ac:dyDescent="0.35">
      <c r="A299" s="189"/>
      <c r="B299" s="189"/>
      <c r="C299" s="189"/>
      <c r="D299" s="189"/>
      <c r="E299" s="189"/>
      <c r="F299" s="189"/>
      <c r="G299" s="189"/>
      <c r="H299" s="189"/>
      <c r="I299" s="189"/>
      <c r="J299" s="189"/>
      <c r="K299" s="189"/>
      <c r="L299" s="189"/>
      <c r="M299" s="189"/>
      <c r="N299" s="189"/>
      <c r="O299" s="189"/>
      <c r="P299" s="189"/>
      <c r="Q299" s="189"/>
      <c r="R299" s="189"/>
    </row>
    <row r="300" spans="1:18" x14ac:dyDescent="0.35">
      <c r="A300" s="189"/>
      <c r="B300" s="189"/>
      <c r="C300" s="189"/>
      <c r="D300" s="189"/>
      <c r="E300" s="189"/>
      <c r="F300" s="189"/>
      <c r="G300" s="189"/>
      <c r="H300" s="189"/>
      <c r="I300" s="189"/>
      <c r="J300" s="189"/>
      <c r="K300" s="189"/>
      <c r="L300" s="189"/>
      <c r="M300" s="189"/>
      <c r="N300" s="189"/>
      <c r="O300" s="189"/>
      <c r="P300" s="189"/>
      <c r="Q300" s="189"/>
      <c r="R300" s="189"/>
    </row>
    <row r="301" spans="1:18" x14ac:dyDescent="0.35">
      <c r="A301" s="189"/>
      <c r="B301" s="189"/>
      <c r="C301" s="189"/>
      <c r="D301" s="189"/>
      <c r="E301" s="189"/>
      <c r="F301" s="189"/>
      <c r="G301" s="189"/>
      <c r="H301" s="189"/>
      <c r="I301" s="189"/>
      <c r="J301" s="189"/>
      <c r="K301" s="189"/>
      <c r="L301" s="189"/>
      <c r="M301" s="189"/>
      <c r="N301" s="189"/>
      <c r="O301" s="189"/>
      <c r="P301" s="189"/>
      <c r="Q301" s="189"/>
      <c r="R301" s="189"/>
    </row>
    <row r="302" spans="1:18" x14ac:dyDescent="0.35">
      <c r="A302" s="189"/>
      <c r="B302" s="189"/>
      <c r="C302" s="189"/>
      <c r="D302" s="189"/>
      <c r="E302" s="189"/>
      <c r="F302" s="189"/>
      <c r="G302" s="189"/>
      <c r="H302" s="189"/>
      <c r="I302" s="189"/>
      <c r="J302" s="189"/>
      <c r="K302" s="189"/>
      <c r="L302" s="189"/>
      <c r="M302" s="189"/>
      <c r="N302" s="189"/>
      <c r="O302" s="189"/>
      <c r="P302" s="189"/>
      <c r="Q302" s="189"/>
      <c r="R302" s="189"/>
    </row>
    <row r="303" spans="1:18" x14ac:dyDescent="0.35">
      <c r="A303" s="189"/>
      <c r="B303" s="189"/>
      <c r="C303" s="189"/>
      <c r="D303" s="189"/>
      <c r="E303" s="189"/>
      <c r="F303" s="189"/>
      <c r="G303" s="189"/>
      <c r="H303" s="189"/>
      <c r="I303" s="189"/>
      <c r="J303" s="189"/>
      <c r="K303" s="189"/>
      <c r="L303" s="189"/>
      <c r="M303" s="189"/>
      <c r="N303" s="189"/>
      <c r="O303" s="189"/>
      <c r="P303" s="189"/>
      <c r="Q303" s="189"/>
      <c r="R303" s="189"/>
    </row>
    <row r="304" spans="1:18" x14ac:dyDescent="0.35">
      <c r="A304" s="189"/>
      <c r="B304" s="189"/>
      <c r="C304" s="189"/>
      <c r="D304" s="189"/>
      <c r="E304" s="189"/>
      <c r="F304" s="189"/>
      <c r="G304" s="189"/>
      <c r="H304" s="189"/>
      <c r="I304" s="189"/>
      <c r="J304" s="189"/>
      <c r="K304" s="189"/>
      <c r="L304" s="189"/>
      <c r="M304" s="189"/>
      <c r="N304" s="189"/>
      <c r="O304" s="189"/>
      <c r="P304" s="189"/>
      <c r="Q304" s="189"/>
      <c r="R304" s="189"/>
    </row>
    <row r="305" spans="1:18" x14ac:dyDescent="0.35">
      <c r="A305" s="189"/>
      <c r="B305" s="189"/>
      <c r="C305" s="189"/>
      <c r="D305" s="189"/>
      <c r="E305" s="189"/>
      <c r="F305" s="189"/>
      <c r="G305" s="189"/>
      <c r="H305" s="189"/>
      <c r="I305" s="189"/>
      <c r="J305" s="189"/>
      <c r="K305" s="189"/>
      <c r="L305" s="189"/>
      <c r="M305" s="189"/>
      <c r="N305" s="189"/>
      <c r="O305" s="189"/>
      <c r="P305" s="189"/>
      <c r="Q305" s="189"/>
      <c r="R305" s="189"/>
    </row>
    <row r="306" spans="1:18" x14ac:dyDescent="0.35">
      <c r="A306" s="189"/>
      <c r="B306" s="189"/>
      <c r="C306" s="189"/>
      <c r="D306" s="189"/>
      <c r="E306" s="189"/>
      <c r="F306" s="189"/>
      <c r="G306" s="189"/>
      <c r="H306" s="189"/>
      <c r="I306" s="189"/>
      <c r="J306" s="189"/>
      <c r="K306" s="189"/>
      <c r="L306" s="189"/>
      <c r="M306" s="189"/>
      <c r="N306" s="189"/>
      <c r="O306" s="189"/>
      <c r="P306" s="189"/>
      <c r="Q306" s="189"/>
      <c r="R306" s="189"/>
    </row>
    <row r="307" spans="1:18" x14ac:dyDescent="0.35">
      <c r="A307" s="189"/>
      <c r="B307" s="189"/>
      <c r="C307" s="189"/>
      <c r="D307" s="189"/>
      <c r="E307" s="189"/>
      <c r="F307" s="189"/>
      <c r="G307" s="189"/>
      <c r="H307" s="189"/>
      <c r="I307" s="189"/>
      <c r="J307" s="189"/>
      <c r="K307" s="189"/>
      <c r="L307" s="189"/>
      <c r="M307" s="189"/>
      <c r="N307" s="189"/>
      <c r="O307" s="189"/>
      <c r="P307" s="189"/>
      <c r="Q307" s="189"/>
      <c r="R307" s="189"/>
    </row>
    <row r="308" spans="1:18" x14ac:dyDescent="0.35">
      <c r="A308" s="189"/>
      <c r="B308" s="189"/>
      <c r="C308" s="189"/>
      <c r="D308" s="189"/>
      <c r="E308" s="189"/>
      <c r="F308" s="189"/>
      <c r="G308" s="189"/>
      <c r="H308" s="189"/>
      <c r="I308" s="189"/>
      <c r="J308" s="189"/>
      <c r="K308" s="189"/>
      <c r="L308" s="189"/>
      <c r="M308" s="189"/>
      <c r="N308" s="189"/>
      <c r="O308" s="189"/>
      <c r="P308" s="189"/>
      <c r="Q308" s="189"/>
      <c r="R308" s="189"/>
    </row>
    <row r="309" spans="1:18" x14ac:dyDescent="0.35">
      <c r="A309" s="189"/>
      <c r="B309" s="189"/>
      <c r="C309" s="189"/>
      <c r="D309" s="189"/>
      <c r="E309" s="189"/>
      <c r="F309" s="189"/>
      <c r="G309" s="189"/>
      <c r="H309" s="189"/>
      <c r="I309" s="189"/>
      <c r="J309" s="189"/>
      <c r="K309" s="189"/>
      <c r="L309" s="189"/>
      <c r="M309" s="189"/>
      <c r="N309" s="189"/>
      <c r="O309" s="189"/>
      <c r="P309" s="189"/>
      <c r="Q309" s="189"/>
      <c r="R309" s="189"/>
    </row>
    <row r="310" spans="1:18" x14ac:dyDescent="0.35">
      <c r="A310" s="189"/>
      <c r="B310" s="189"/>
      <c r="C310" s="189"/>
      <c r="D310" s="189"/>
      <c r="E310" s="189"/>
      <c r="F310" s="189"/>
      <c r="G310" s="189"/>
      <c r="H310" s="189"/>
      <c r="I310" s="189"/>
      <c r="J310" s="189"/>
      <c r="K310" s="189"/>
      <c r="L310" s="189"/>
      <c r="M310" s="189"/>
      <c r="N310" s="189"/>
      <c r="O310" s="189"/>
      <c r="P310" s="189"/>
      <c r="Q310" s="189"/>
      <c r="R310" s="189"/>
    </row>
    <row r="311" spans="1:18" x14ac:dyDescent="0.35">
      <c r="A311" s="189"/>
      <c r="B311" s="189"/>
      <c r="C311" s="189"/>
      <c r="D311" s="189"/>
      <c r="E311" s="189"/>
      <c r="F311" s="189"/>
      <c r="G311" s="189"/>
      <c r="H311" s="189"/>
      <c r="I311" s="189"/>
      <c r="J311" s="189"/>
      <c r="K311" s="189"/>
      <c r="L311" s="189"/>
      <c r="M311" s="189"/>
      <c r="N311" s="189"/>
      <c r="O311" s="189"/>
      <c r="P311" s="189"/>
      <c r="Q311" s="189"/>
      <c r="R311" s="189"/>
    </row>
    <row r="312" spans="1:18" x14ac:dyDescent="0.35">
      <c r="A312" s="189"/>
      <c r="B312" s="189"/>
      <c r="C312" s="189"/>
      <c r="D312" s="189"/>
      <c r="E312" s="189"/>
      <c r="F312" s="189"/>
      <c r="G312" s="189"/>
      <c r="H312" s="189"/>
      <c r="I312" s="189"/>
      <c r="J312" s="189"/>
      <c r="K312" s="189"/>
      <c r="L312" s="189"/>
      <c r="M312" s="189"/>
      <c r="N312" s="189"/>
      <c r="O312" s="189"/>
      <c r="P312" s="189"/>
      <c r="Q312" s="189"/>
      <c r="R312" s="189"/>
    </row>
    <row r="313" spans="1:18" x14ac:dyDescent="0.35">
      <c r="A313" s="189"/>
      <c r="B313" s="189"/>
      <c r="C313" s="189"/>
      <c r="D313" s="189"/>
      <c r="E313" s="189"/>
      <c r="F313" s="189"/>
      <c r="G313" s="189"/>
      <c r="H313" s="189"/>
      <c r="I313" s="189"/>
      <c r="J313" s="189"/>
      <c r="K313" s="189"/>
      <c r="L313" s="189"/>
      <c r="M313" s="189"/>
      <c r="N313" s="189"/>
      <c r="O313" s="189"/>
      <c r="P313" s="189"/>
      <c r="Q313" s="189"/>
      <c r="R313" s="189"/>
    </row>
    <row r="314" spans="1:18" x14ac:dyDescent="0.35">
      <c r="A314" s="189"/>
      <c r="B314" s="189"/>
      <c r="C314" s="189"/>
      <c r="D314" s="189"/>
      <c r="E314" s="189"/>
      <c r="F314" s="189"/>
      <c r="G314" s="189"/>
      <c r="H314" s="189"/>
      <c r="I314" s="189"/>
      <c r="J314" s="189"/>
      <c r="K314" s="189"/>
      <c r="L314" s="189"/>
      <c r="M314" s="189"/>
      <c r="N314" s="189"/>
      <c r="O314" s="189"/>
      <c r="P314" s="189"/>
      <c r="Q314" s="189"/>
      <c r="R314" s="189"/>
    </row>
    <row r="315" spans="1:18" x14ac:dyDescent="0.35">
      <c r="A315" s="189"/>
      <c r="B315" s="189"/>
      <c r="C315" s="189"/>
      <c r="D315" s="189"/>
      <c r="E315" s="189"/>
      <c r="F315" s="189"/>
      <c r="G315" s="189"/>
      <c r="H315" s="189"/>
      <c r="I315" s="189"/>
      <c r="J315" s="189"/>
      <c r="K315" s="189"/>
      <c r="L315" s="189"/>
      <c r="M315" s="189"/>
      <c r="N315" s="189"/>
      <c r="O315" s="189"/>
      <c r="P315" s="189"/>
      <c r="Q315" s="189"/>
      <c r="R315" s="189"/>
    </row>
    <row r="316" spans="1:18" x14ac:dyDescent="0.35">
      <c r="A316" s="189"/>
      <c r="B316" s="189"/>
      <c r="C316" s="189"/>
      <c r="D316" s="189"/>
      <c r="E316" s="189"/>
      <c r="F316" s="189"/>
      <c r="G316" s="189"/>
      <c r="H316" s="189"/>
      <c r="I316" s="189"/>
      <c r="J316" s="189"/>
      <c r="K316" s="189"/>
      <c r="L316" s="189"/>
      <c r="M316" s="189"/>
      <c r="N316" s="189"/>
      <c r="O316" s="189"/>
      <c r="P316" s="189"/>
      <c r="Q316" s="189"/>
      <c r="R316" s="189"/>
    </row>
    <row r="317" spans="1:18" x14ac:dyDescent="0.35">
      <c r="A317" s="189"/>
      <c r="B317" s="189"/>
      <c r="C317" s="189"/>
      <c r="D317" s="189"/>
      <c r="E317" s="189"/>
      <c r="F317" s="189"/>
      <c r="G317" s="189"/>
      <c r="H317" s="189"/>
      <c r="I317" s="189"/>
      <c r="J317" s="189"/>
      <c r="K317" s="189"/>
      <c r="L317" s="189"/>
      <c r="M317" s="189"/>
      <c r="N317" s="189"/>
      <c r="O317" s="189"/>
      <c r="P317" s="189"/>
      <c r="Q317" s="189"/>
      <c r="R317" s="189"/>
    </row>
    <row r="318" spans="1:18" x14ac:dyDescent="0.35">
      <c r="A318" s="189"/>
      <c r="B318" s="189"/>
      <c r="C318" s="189"/>
      <c r="D318" s="189"/>
      <c r="E318" s="189"/>
      <c r="F318" s="189"/>
      <c r="G318" s="189"/>
      <c r="H318" s="189"/>
      <c r="I318" s="189"/>
      <c r="J318" s="189"/>
      <c r="K318" s="189"/>
      <c r="L318" s="189"/>
      <c r="M318" s="189"/>
      <c r="N318" s="189"/>
      <c r="O318" s="189"/>
      <c r="P318" s="189"/>
      <c r="Q318" s="189"/>
      <c r="R318" s="189"/>
    </row>
    <row r="319" spans="1:18" x14ac:dyDescent="0.35">
      <c r="A319" s="189"/>
      <c r="B319" s="189"/>
      <c r="C319" s="189"/>
      <c r="D319" s="189"/>
      <c r="E319" s="189"/>
      <c r="F319" s="189"/>
      <c r="G319" s="189"/>
      <c r="H319" s="189"/>
      <c r="I319" s="189"/>
      <c r="J319" s="189"/>
      <c r="K319" s="189"/>
      <c r="L319" s="189"/>
      <c r="M319" s="189"/>
      <c r="N319" s="189"/>
      <c r="O319" s="189"/>
      <c r="P319" s="189"/>
      <c r="Q319" s="189"/>
      <c r="R319" s="189"/>
    </row>
    <row r="320" spans="1:18" x14ac:dyDescent="0.35">
      <c r="A320" s="189"/>
      <c r="B320" s="189"/>
      <c r="C320" s="189"/>
      <c r="D320" s="189"/>
      <c r="E320" s="189"/>
      <c r="F320" s="189"/>
      <c r="G320" s="189"/>
      <c r="H320" s="189"/>
      <c r="I320" s="189"/>
      <c r="J320" s="189"/>
      <c r="K320" s="189"/>
      <c r="L320" s="189"/>
      <c r="M320" s="189"/>
      <c r="N320" s="189"/>
      <c r="O320" s="189"/>
      <c r="P320" s="189"/>
      <c r="Q320" s="189"/>
      <c r="R320" s="189"/>
    </row>
    <row r="321" spans="1:18" x14ac:dyDescent="0.35">
      <c r="A321" s="189"/>
      <c r="B321" s="189"/>
      <c r="C321" s="189"/>
      <c r="D321" s="189"/>
      <c r="E321" s="189"/>
      <c r="F321" s="189"/>
      <c r="G321" s="189"/>
      <c r="H321" s="189"/>
      <c r="I321" s="189"/>
      <c r="J321" s="189"/>
      <c r="K321" s="189"/>
      <c r="L321" s="189"/>
      <c r="M321" s="189"/>
      <c r="N321" s="189"/>
      <c r="O321" s="189"/>
      <c r="P321" s="189"/>
      <c r="Q321" s="189"/>
      <c r="R321" s="189"/>
    </row>
    <row r="322" spans="1:18" x14ac:dyDescent="0.35">
      <c r="A322" s="189"/>
      <c r="B322" s="189"/>
      <c r="C322" s="189"/>
      <c r="D322" s="189"/>
      <c r="E322" s="189"/>
      <c r="F322" s="189"/>
      <c r="G322" s="189"/>
      <c r="H322" s="189"/>
      <c r="I322" s="189"/>
      <c r="J322" s="189"/>
      <c r="K322" s="189"/>
      <c r="L322" s="189"/>
      <c r="M322" s="189"/>
      <c r="N322" s="189"/>
      <c r="O322" s="189"/>
      <c r="P322" s="189"/>
      <c r="Q322" s="189"/>
      <c r="R322" s="189"/>
    </row>
    <row r="323" spans="1:18" x14ac:dyDescent="0.35">
      <c r="A323" s="189"/>
      <c r="B323" s="189"/>
      <c r="C323" s="189"/>
      <c r="D323" s="189"/>
      <c r="E323" s="189"/>
      <c r="F323" s="189"/>
      <c r="G323" s="189"/>
      <c r="H323" s="189"/>
      <c r="I323" s="189"/>
      <c r="J323" s="189"/>
      <c r="K323" s="189"/>
      <c r="L323" s="189"/>
      <c r="M323" s="189"/>
      <c r="N323" s="189"/>
      <c r="O323" s="189"/>
      <c r="P323" s="189"/>
      <c r="Q323" s="189"/>
      <c r="R323" s="189"/>
    </row>
    <row r="324" spans="1:18" x14ac:dyDescent="0.35">
      <c r="A324" s="189"/>
      <c r="B324" s="189"/>
      <c r="C324" s="189"/>
      <c r="D324" s="189"/>
      <c r="E324" s="189"/>
      <c r="F324" s="189"/>
      <c r="G324" s="189"/>
      <c r="H324" s="189"/>
      <c r="I324" s="189"/>
      <c r="J324" s="189"/>
      <c r="K324" s="189"/>
      <c r="L324" s="189"/>
      <c r="M324" s="189"/>
      <c r="N324" s="189"/>
      <c r="O324" s="189"/>
      <c r="P324" s="189"/>
      <c r="Q324" s="189"/>
      <c r="R324" s="189"/>
    </row>
    <row r="325" spans="1:18" x14ac:dyDescent="0.35">
      <c r="A325" s="189"/>
      <c r="B325" s="189"/>
      <c r="C325" s="189"/>
      <c r="D325" s="189"/>
      <c r="E325" s="189"/>
      <c r="F325" s="189"/>
      <c r="G325" s="189"/>
      <c r="H325" s="189"/>
      <c r="I325" s="189"/>
      <c r="J325" s="189"/>
      <c r="K325" s="189"/>
      <c r="L325" s="189"/>
      <c r="M325" s="189"/>
      <c r="N325" s="189"/>
      <c r="O325" s="189"/>
      <c r="P325" s="189"/>
      <c r="Q325" s="189"/>
      <c r="R325" s="189"/>
    </row>
    <row r="326" spans="1:18" x14ac:dyDescent="0.35">
      <c r="A326" s="189"/>
      <c r="B326" s="189"/>
      <c r="C326" s="189"/>
      <c r="D326" s="189"/>
      <c r="E326" s="189"/>
      <c r="F326" s="189"/>
      <c r="G326" s="189"/>
      <c r="H326" s="189"/>
      <c r="I326" s="189"/>
      <c r="J326" s="189"/>
      <c r="K326" s="189"/>
      <c r="L326" s="189"/>
      <c r="M326" s="189"/>
      <c r="N326" s="189"/>
      <c r="O326" s="189"/>
      <c r="P326" s="189"/>
      <c r="Q326" s="189"/>
      <c r="R326" s="189"/>
    </row>
    <row r="327" spans="1:18" x14ac:dyDescent="0.35">
      <c r="A327" s="189"/>
      <c r="B327" s="189"/>
      <c r="C327" s="189"/>
      <c r="D327" s="189"/>
      <c r="E327" s="189"/>
      <c r="F327" s="189"/>
      <c r="G327" s="189"/>
      <c r="H327" s="189"/>
      <c r="I327" s="189"/>
      <c r="J327" s="189"/>
      <c r="K327" s="189"/>
      <c r="L327" s="189"/>
      <c r="M327" s="189"/>
      <c r="N327" s="189"/>
      <c r="O327" s="189"/>
      <c r="P327" s="189"/>
      <c r="Q327" s="189"/>
      <c r="R327" s="189"/>
    </row>
    <row r="328" spans="1:18" x14ac:dyDescent="0.35">
      <c r="A328" s="189"/>
      <c r="B328" s="189"/>
      <c r="C328" s="189"/>
      <c r="D328" s="189"/>
      <c r="E328" s="189"/>
      <c r="F328" s="189"/>
      <c r="G328" s="189"/>
      <c r="H328" s="189"/>
      <c r="I328" s="189"/>
      <c r="J328" s="189"/>
      <c r="K328" s="189"/>
      <c r="L328" s="189"/>
      <c r="M328" s="189"/>
      <c r="N328" s="189"/>
      <c r="O328" s="189"/>
      <c r="P328" s="189"/>
      <c r="Q328" s="189"/>
      <c r="R328" s="189"/>
    </row>
    <row r="329" spans="1:18" x14ac:dyDescent="0.35">
      <c r="A329" s="189"/>
      <c r="B329" s="189"/>
      <c r="C329" s="189"/>
      <c r="D329" s="189"/>
      <c r="E329" s="189"/>
      <c r="F329" s="189"/>
      <c r="G329" s="189"/>
      <c r="H329" s="189"/>
      <c r="I329" s="189"/>
      <c r="J329" s="189"/>
      <c r="K329" s="189"/>
      <c r="L329" s="189"/>
      <c r="M329" s="189"/>
      <c r="N329" s="189"/>
      <c r="O329" s="189"/>
      <c r="P329" s="189"/>
      <c r="Q329" s="189"/>
      <c r="R329" s="189"/>
    </row>
    <row r="330" spans="1:18" x14ac:dyDescent="0.35">
      <c r="A330" s="189"/>
      <c r="B330" s="189"/>
      <c r="C330" s="189"/>
      <c r="D330" s="189"/>
      <c r="E330" s="189"/>
      <c r="F330" s="189"/>
      <c r="G330" s="189"/>
      <c r="H330" s="189"/>
      <c r="I330" s="189"/>
      <c r="J330" s="189"/>
      <c r="K330" s="189"/>
      <c r="L330" s="189"/>
      <c r="M330" s="189"/>
      <c r="N330" s="189"/>
      <c r="O330" s="189"/>
      <c r="P330" s="189"/>
      <c r="Q330" s="189"/>
      <c r="R330" s="189"/>
    </row>
    <row r="331" spans="1:18" x14ac:dyDescent="0.35">
      <c r="A331" s="189"/>
      <c r="B331" s="189"/>
      <c r="C331" s="189"/>
      <c r="D331" s="189"/>
      <c r="E331" s="189"/>
      <c r="F331" s="189"/>
      <c r="G331" s="189"/>
      <c r="H331" s="189"/>
      <c r="I331" s="189"/>
      <c r="J331" s="189"/>
      <c r="K331" s="189"/>
      <c r="L331" s="189"/>
      <c r="M331" s="189"/>
      <c r="N331" s="189"/>
      <c r="O331" s="189"/>
      <c r="P331" s="189"/>
      <c r="Q331" s="189"/>
      <c r="R331" s="189"/>
    </row>
    <row r="332" spans="1:18" x14ac:dyDescent="0.35">
      <c r="A332" s="189"/>
      <c r="B332" s="189"/>
      <c r="C332" s="189"/>
      <c r="D332" s="189"/>
      <c r="E332" s="189"/>
      <c r="F332" s="189"/>
      <c r="G332" s="189"/>
      <c r="H332" s="189"/>
      <c r="I332" s="189"/>
      <c r="J332" s="189"/>
      <c r="K332" s="189"/>
      <c r="L332" s="189"/>
      <c r="M332" s="189"/>
      <c r="N332" s="189"/>
      <c r="O332" s="189"/>
      <c r="P332" s="189"/>
      <c r="Q332" s="189"/>
      <c r="R332" s="189"/>
    </row>
    <row r="333" spans="1:18" x14ac:dyDescent="0.35">
      <c r="A333" s="189"/>
      <c r="B333" s="189"/>
      <c r="C333" s="189"/>
      <c r="D333" s="189"/>
      <c r="E333" s="189"/>
      <c r="F333" s="189"/>
      <c r="G333" s="189"/>
      <c r="H333" s="189"/>
      <c r="I333" s="189"/>
      <c r="J333" s="189"/>
      <c r="K333" s="189"/>
      <c r="L333" s="189"/>
      <c r="M333" s="189"/>
      <c r="N333" s="189"/>
      <c r="O333" s="189"/>
      <c r="P333" s="189"/>
      <c r="Q333" s="189"/>
      <c r="R333" s="189"/>
    </row>
    <row r="334" spans="1:18" x14ac:dyDescent="0.35">
      <c r="A334" s="189"/>
      <c r="B334" s="189"/>
      <c r="C334" s="189"/>
      <c r="D334" s="189"/>
      <c r="E334" s="189"/>
      <c r="F334" s="189"/>
      <c r="G334" s="189"/>
      <c r="H334" s="189"/>
      <c r="I334" s="189"/>
      <c r="J334" s="189"/>
      <c r="K334" s="189"/>
      <c r="L334" s="189"/>
      <c r="M334" s="189"/>
      <c r="N334" s="189"/>
      <c r="O334" s="189"/>
      <c r="P334" s="189"/>
      <c r="Q334" s="189"/>
      <c r="R334" s="189"/>
    </row>
    <row r="335" spans="1:18" x14ac:dyDescent="0.35">
      <c r="A335" s="189"/>
      <c r="B335" s="189"/>
      <c r="C335" s="189"/>
      <c r="D335" s="189"/>
      <c r="E335" s="189"/>
      <c r="F335" s="189"/>
      <c r="G335" s="189"/>
      <c r="H335" s="189"/>
      <c r="I335" s="189"/>
      <c r="J335" s="189"/>
      <c r="K335" s="189"/>
      <c r="L335" s="189"/>
      <c r="M335" s="189"/>
      <c r="N335" s="189"/>
      <c r="O335" s="189"/>
      <c r="P335" s="189"/>
      <c r="Q335" s="189"/>
      <c r="R335" s="189"/>
    </row>
    <row r="336" spans="1:18" x14ac:dyDescent="0.35">
      <c r="A336" s="189"/>
      <c r="B336" s="189"/>
      <c r="C336" s="189"/>
      <c r="D336" s="189"/>
      <c r="E336" s="189"/>
      <c r="F336" s="189"/>
      <c r="G336" s="189"/>
      <c r="H336" s="189"/>
      <c r="I336" s="189"/>
      <c r="J336" s="189"/>
      <c r="K336" s="189"/>
      <c r="L336" s="189"/>
      <c r="M336" s="189"/>
      <c r="N336" s="189"/>
      <c r="O336" s="189"/>
      <c r="P336" s="189"/>
      <c r="Q336" s="189"/>
      <c r="R336" s="189"/>
    </row>
    <row r="337" spans="1:18" x14ac:dyDescent="0.35">
      <c r="A337" s="189"/>
      <c r="B337" s="189"/>
      <c r="C337" s="189"/>
      <c r="D337" s="189"/>
      <c r="E337" s="189"/>
      <c r="F337" s="189"/>
      <c r="G337" s="189"/>
      <c r="H337" s="189"/>
      <c r="I337" s="189"/>
      <c r="J337" s="189"/>
      <c r="K337" s="189"/>
      <c r="L337" s="189"/>
      <c r="M337" s="189"/>
      <c r="N337" s="189"/>
      <c r="O337" s="189"/>
      <c r="P337" s="189"/>
      <c r="Q337" s="189"/>
      <c r="R337" s="189"/>
    </row>
    <row r="338" spans="1:18" x14ac:dyDescent="0.35">
      <c r="A338" s="189"/>
      <c r="B338" s="189"/>
      <c r="C338" s="189"/>
      <c r="D338" s="189"/>
      <c r="E338" s="189"/>
      <c r="F338" s="189"/>
      <c r="G338" s="189"/>
      <c r="H338" s="189"/>
      <c r="I338" s="189"/>
      <c r="J338" s="189"/>
      <c r="K338" s="189"/>
      <c r="L338" s="189"/>
      <c r="M338" s="189"/>
      <c r="N338" s="189"/>
      <c r="O338" s="189"/>
      <c r="P338" s="189"/>
      <c r="Q338" s="189"/>
      <c r="R338" s="189"/>
    </row>
    <row r="339" spans="1:18" x14ac:dyDescent="0.35">
      <c r="A339" s="189"/>
      <c r="B339" s="189"/>
      <c r="C339" s="189"/>
      <c r="D339" s="189"/>
      <c r="E339" s="189"/>
      <c r="F339" s="189"/>
      <c r="G339" s="189"/>
      <c r="H339" s="189"/>
      <c r="I339" s="189"/>
      <c r="J339" s="189"/>
      <c r="K339" s="189"/>
      <c r="L339" s="189"/>
      <c r="M339" s="189"/>
      <c r="N339" s="189"/>
      <c r="O339" s="189"/>
      <c r="P339" s="189"/>
      <c r="Q339" s="189"/>
      <c r="R339" s="189"/>
    </row>
    <row r="340" spans="1:18" x14ac:dyDescent="0.35">
      <c r="A340" s="189"/>
      <c r="B340" s="189"/>
      <c r="C340" s="189"/>
      <c r="D340" s="189"/>
      <c r="E340" s="189"/>
      <c r="F340" s="189"/>
      <c r="G340" s="189"/>
      <c r="H340" s="189"/>
      <c r="I340" s="189"/>
      <c r="J340" s="189"/>
      <c r="K340" s="189"/>
      <c r="L340" s="189"/>
      <c r="M340" s="189"/>
      <c r="N340" s="189"/>
      <c r="O340" s="189"/>
      <c r="P340" s="189"/>
      <c r="Q340" s="189"/>
      <c r="R340" s="189"/>
    </row>
    <row r="341" spans="1:18" x14ac:dyDescent="0.35">
      <c r="A341" s="189"/>
      <c r="B341" s="189"/>
      <c r="C341" s="189"/>
      <c r="D341" s="189"/>
      <c r="E341" s="189"/>
      <c r="F341" s="189"/>
      <c r="G341" s="189"/>
      <c r="H341" s="189"/>
      <c r="I341" s="189"/>
      <c r="J341" s="189"/>
      <c r="K341" s="189"/>
      <c r="L341" s="189"/>
      <c r="M341" s="189"/>
      <c r="N341" s="189"/>
      <c r="O341" s="189"/>
      <c r="P341" s="189"/>
      <c r="Q341" s="189"/>
      <c r="R341" s="189"/>
    </row>
    <row r="342" spans="1:18" x14ac:dyDescent="0.35">
      <c r="A342" s="189"/>
      <c r="B342" s="189"/>
      <c r="C342" s="189"/>
      <c r="D342" s="189"/>
      <c r="E342" s="189"/>
      <c r="F342" s="189"/>
      <c r="G342" s="189"/>
      <c r="H342" s="189"/>
      <c r="I342" s="189"/>
      <c r="J342" s="189"/>
      <c r="K342" s="189"/>
      <c r="L342" s="189"/>
      <c r="M342" s="189"/>
      <c r="N342" s="189"/>
      <c r="O342" s="189"/>
      <c r="P342" s="189"/>
      <c r="Q342" s="189"/>
      <c r="R342" s="189"/>
    </row>
    <row r="343" spans="1:18" x14ac:dyDescent="0.35">
      <c r="A343" s="189"/>
      <c r="B343" s="189"/>
      <c r="C343" s="189"/>
      <c r="D343" s="189"/>
      <c r="E343" s="189"/>
      <c r="F343" s="189"/>
      <c r="G343" s="189"/>
      <c r="H343" s="189"/>
      <c r="I343" s="189"/>
      <c r="J343" s="189"/>
      <c r="K343" s="189"/>
      <c r="L343" s="189"/>
      <c r="M343" s="189"/>
      <c r="N343" s="189"/>
      <c r="O343" s="189"/>
      <c r="P343" s="189"/>
      <c r="Q343" s="189"/>
      <c r="R343" s="189"/>
    </row>
    <row r="344" spans="1:18" x14ac:dyDescent="0.35">
      <c r="A344" s="189"/>
      <c r="B344" s="189"/>
      <c r="C344" s="189"/>
      <c r="D344" s="189"/>
      <c r="E344" s="189"/>
      <c r="F344" s="189"/>
      <c r="G344" s="189"/>
      <c r="H344" s="189"/>
      <c r="I344" s="189"/>
      <c r="J344" s="189"/>
      <c r="K344" s="189"/>
      <c r="L344" s="189"/>
      <c r="M344" s="189"/>
      <c r="N344" s="189"/>
      <c r="O344" s="189"/>
      <c r="P344" s="189"/>
      <c r="Q344" s="189"/>
      <c r="R344" s="189"/>
    </row>
    <row r="345" spans="1:18" x14ac:dyDescent="0.35">
      <c r="A345" s="189"/>
      <c r="B345" s="189"/>
      <c r="C345" s="189"/>
      <c r="D345" s="189"/>
      <c r="E345" s="189"/>
      <c r="F345" s="189"/>
      <c r="G345" s="189"/>
      <c r="H345" s="189"/>
      <c r="I345" s="189"/>
      <c r="J345" s="189"/>
      <c r="K345" s="189"/>
      <c r="L345" s="189"/>
      <c r="M345" s="189"/>
      <c r="N345" s="189"/>
      <c r="O345" s="189"/>
      <c r="P345" s="189"/>
      <c r="Q345" s="189"/>
      <c r="R345" s="189"/>
    </row>
    <row r="346" spans="1:18" x14ac:dyDescent="0.35">
      <c r="A346" s="189"/>
      <c r="B346" s="189"/>
      <c r="C346" s="189"/>
      <c r="D346" s="189"/>
      <c r="E346" s="189"/>
      <c r="F346" s="189"/>
      <c r="G346" s="189"/>
      <c r="H346" s="189"/>
      <c r="I346" s="189"/>
      <c r="J346" s="189"/>
      <c r="K346" s="189"/>
      <c r="L346" s="189"/>
      <c r="M346" s="189"/>
      <c r="N346" s="189"/>
      <c r="O346" s="189"/>
      <c r="P346" s="189"/>
      <c r="Q346" s="189"/>
      <c r="R346" s="189"/>
    </row>
    <row r="347" spans="1:18" x14ac:dyDescent="0.35">
      <c r="A347" s="189"/>
      <c r="B347" s="189"/>
      <c r="C347" s="189"/>
      <c r="D347" s="189"/>
      <c r="E347" s="189"/>
      <c r="F347" s="189"/>
      <c r="G347" s="189"/>
      <c r="H347" s="189"/>
      <c r="I347" s="189"/>
      <c r="J347" s="189"/>
      <c r="K347" s="189"/>
      <c r="L347" s="189"/>
      <c r="M347" s="189"/>
      <c r="N347" s="189"/>
      <c r="O347" s="189"/>
      <c r="P347" s="189"/>
      <c r="Q347" s="189"/>
      <c r="R347" s="189"/>
    </row>
    <row r="348" spans="1:18" x14ac:dyDescent="0.35">
      <c r="A348" s="189"/>
      <c r="B348" s="189"/>
      <c r="C348" s="189"/>
      <c r="D348" s="189"/>
      <c r="E348" s="189"/>
      <c r="F348" s="189"/>
      <c r="G348" s="189"/>
      <c r="H348" s="189"/>
      <c r="I348" s="189"/>
      <c r="J348" s="189"/>
      <c r="K348" s="189"/>
      <c r="L348" s="189"/>
      <c r="M348" s="189"/>
      <c r="N348" s="189"/>
      <c r="O348" s="189"/>
      <c r="P348" s="189"/>
      <c r="Q348" s="189"/>
      <c r="R348" s="189"/>
    </row>
    <row r="349" spans="1:18" x14ac:dyDescent="0.35">
      <c r="A349" s="189"/>
      <c r="B349" s="189"/>
      <c r="C349" s="189"/>
      <c r="D349" s="189"/>
      <c r="E349" s="189"/>
      <c r="F349" s="189"/>
      <c r="G349" s="189"/>
      <c r="H349" s="189"/>
      <c r="I349" s="189"/>
      <c r="J349" s="189"/>
      <c r="K349" s="189"/>
      <c r="L349" s="189"/>
      <c r="M349" s="189"/>
      <c r="N349" s="189"/>
      <c r="O349" s="189"/>
      <c r="P349" s="189"/>
      <c r="Q349" s="189"/>
      <c r="R349" s="189"/>
    </row>
    <row r="350" spans="1:18" x14ac:dyDescent="0.35">
      <c r="A350" s="189"/>
      <c r="B350" s="189"/>
      <c r="C350" s="189"/>
      <c r="D350" s="189"/>
      <c r="E350" s="189"/>
      <c r="F350" s="189"/>
      <c r="G350" s="189"/>
      <c r="H350" s="189"/>
      <c r="I350" s="189"/>
      <c r="J350" s="189"/>
      <c r="K350" s="189"/>
      <c r="L350" s="189"/>
      <c r="M350" s="189"/>
      <c r="N350" s="189"/>
      <c r="O350" s="189"/>
      <c r="P350" s="189"/>
      <c r="Q350" s="189"/>
      <c r="R350" s="189"/>
    </row>
    <row r="351" spans="1:18" x14ac:dyDescent="0.35">
      <c r="A351" s="189"/>
      <c r="B351" s="189"/>
      <c r="C351" s="189"/>
      <c r="D351" s="189"/>
      <c r="E351" s="189"/>
      <c r="F351" s="189"/>
      <c r="G351" s="189"/>
      <c r="H351" s="189"/>
      <c r="I351" s="189"/>
      <c r="J351" s="189"/>
      <c r="K351" s="189"/>
      <c r="L351" s="189"/>
      <c r="M351" s="189"/>
      <c r="N351" s="189"/>
      <c r="O351" s="189"/>
      <c r="P351" s="189"/>
      <c r="Q351" s="189"/>
      <c r="R351" s="189"/>
    </row>
    <row r="352" spans="1:18" x14ac:dyDescent="0.35">
      <c r="A352" s="189"/>
      <c r="B352" s="189"/>
      <c r="C352" s="189"/>
      <c r="D352" s="189"/>
      <c r="E352" s="189"/>
      <c r="F352" s="189"/>
      <c r="G352" s="189"/>
      <c r="H352" s="189"/>
      <c r="I352" s="189"/>
      <c r="J352" s="189"/>
      <c r="K352" s="189"/>
      <c r="L352" s="189"/>
      <c r="M352" s="189"/>
      <c r="N352" s="189"/>
      <c r="O352" s="189"/>
      <c r="P352" s="189"/>
      <c r="Q352" s="189"/>
      <c r="R352" s="189"/>
    </row>
    <row r="353" spans="1:18" x14ac:dyDescent="0.35">
      <c r="A353" s="189"/>
      <c r="B353" s="189"/>
      <c r="C353" s="189"/>
      <c r="D353" s="189"/>
      <c r="E353" s="189"/>
      <c r="F353" s="189"/>
      <c r="G353" s="189"/>
      <c r="H353" s="189"/>
      <c r="I353" s="189"/>
      <c r="J353" s="189"/>
      <c r="K353" s="189"/>
      <c r="L353" s="189"/>
      <c r="M353" s="189"/>
      <c r="N353" s="189"/>
      <c r="O353" s="189"/>
      <c r="P353" s="189"/>
      <c r="Q353" s="189"/>
      <c r="R353" s="189"/>
    </row>
    <row r="354" spans="1:18" x14ac:dyDescent="0.35">
      <c r="A354" s="189"/>
      <c r="B354" s="189"/>
      <c r="C354" s="189"/>
      <c r="D354" s="189"/>
      <c r="E354" s="189"/>
      <c r="F354" s="189"/>
      <c r="G354" s="189"/>
      <c r="H354" s="189"/>
      <c r="I354" s="189"/>
      <c r="J354" s="189"/>
      <c r="K354" s="189"/>
      <c r="L354" s="189"/>
      <c r="M354" s="189"/>
      <c r="N354" s="189"/>
      <c r="O354" s="189"/>
      <c r="P354" s="189"/>
      <c r="Q354" s="189"/>
      <c r="R354" s="189"/>
    </row>
    <row r="355" spans="1:18" x14ac:dyDescent="0.35">
      <c r="A355" s="189"/>
      <c r="B355" s="189"/>
      <c r="C355" s="189"/>
      <c r="D355" s="189"/>
      <c r="E355" s="189"/>
      <c r="F355" s="189"/>
      <c r="G355" s="189"/>
      <c r="H355" s="189"/>
      <c r="I355" s="189"/>
      <c r="J355" s="189"/>
      <c r="K355" s="189"/>
      <c r="L355" s="189"/>
      <c r="M355" s="189"/>
      <c r="N355" s="189"/>
      <c r="O355" s="189"/>
      <c r="P355" s="189"/>
      <c r="Q355" s="189"/>
      <c r="R355" s="189"/>
    </row>
    <row r="356" spans="1:18" x14ac:dyDescent="0.35">
      <c r="A356" s="189"/>
      <c r="B356" s="189"/>
      <c r="C356" s="189"/>
      <c r="D356" s="189"/>
      <c r="E356" s="189"/>
      <c r="F356" s="189"/>
      <c r="G356" s="189"/>
      <c r="H356" s="189"/>
      <c r="I356" s="189"/>
      <c r="J356" s="189"/>
      <c r="K356" s="189"/>
      <c r="L356" s="189"/>
      <c r="M356" s="189"/>
      <c r="N356" s="189"/>
      <c r="O356" s="189"/>
      <c r="P356" s="189"/>
      <c r="Q356" s="189"/>
      <c r="R356" s="189"/>
    </row>
    <row r="357" spans="1:18" x14ac:dyDescent="0.35">
      <c r="A357" s="189"/>
      <c r="B357" s="189"/>
      <c r="C357" s="189"/>
      <c r="D357" s="189"/>
      <c r="E357" s="189"/>
      <c r="F357" s="189"/>
      <c r="G357" s="189"/>
      <c r="H357" s="189"/>
      <c r="I357" s="189"/>
      <c r="J357" s="189"/>
      <c r="K357" s="189"/>
      <c r="L357" s="189"/>
      <c r="M357" s="189"/>
      <c r="N357" s="189"/>
      <c r="O357" s="189"/>
      <c r="P357" s="189"/>
      <c r="Q357" s="189"/>
      <c r="R357" s="189"/>
    </row>
    <row r="358" spans="1:18" x14ac:dyDescent="0.35">
      <c r="A358" s="189"/>
      <c r="B358" s="189"/>
      <c r="C358" s="189"/>
      <c r="D358" s="189"/>
      <c r="E358" s="189"/>
      <c r="F358" s="189"/>
      <c r="G358" s="189"/>
      <c r="H358" s="189"/>
      <c r="I358" s="189"/>
      <c r="J358" s="189"/>
      <c r="K358" s="189"/>
      <c r="L358" s="189"/>
      <c r="M358" s="189"/>
      <c r="N358" s="189"/>
      <c r="O358" s="189"/>
      <c r="P358" s="189"/>
      <c r="Q358" s="189"/>
      <c r="R358" s="189"/>
    </row>
    <row r="359" spans="1:18" x14ac:dyDescent="0.35">
      <c r="A359" s="189"/>
      <c r="B359" s="189"/>
      <c r="C359" s="189"/>
      <c r="D359" s="189"/>
      <c r="E359" s="189"/>
      <c r="F359" s="189"/>
      <c r="G359" s="189"/>
      <c r="H359" s="189"/>
      <c r="I359" s="189"/>
      <c r="J359" s="189"/>
      <c r="K359" s="189"/>
      <c r="L359" s="189"/>
      <c r="M359" s="189"/>
      <c r="N359" s="189"/>
      <c r="O359" s="189"/>
      <c r="P359" s="189"/>
      <c r="Q359" s="189"/>
      <c r="R359" s="189"/>
    </row>
    <row r="360" spans="1:18" x14ac:dyDescent="0.35">
      <c r="A360" s="189"/>
      <c r="B360" s="189"/>
      <c r="C360" s="189"/>
      <c r="D360" s="189"/>
      <c r="E360" s="189"/>
      <c r="F360" s="189"/>
      <c r="G360" s="189"/>
      <c r="H360" s="189"/>
      <c r="I360" s="189"/>
      <c r="J360" s="189"/>
      <c r="K360" s="189"/>
      <c r="L360" s="189"/>
      <c r="M360" s="189"/>
      <c r="N360" s="189"/>
      <c r="O360" s="189"/>
      <c r="P360" s="189"/>
      <c r="Q360" s="189"/>
      <c r="R360" s="189"/>
    </row>
    <row r="361" spans="1:18" x14ac:dyDescent="0.35">
      <c r="A361" s="189"/>
      <c r="B361" s="189"/>
      <c r="C361" s="189"/>
      <c r="D361" s="189"/>
      <c r="E361" s="189"/>
      <c r="F361" s="189"/>
      <c r="G361" s="189"/>
      <c r="H361" s="189"/>
      <c r="I361" s="189"/>
      <c r="J361" s="189"/>
      <c r="K361" s="189"/>
      <c r="L361" s="189"/>
      <c r="M361" s="189"/>
      <c r="N361" s="189"/>
      <c r="O361" s="189"/>
      <c r="P361" s="189"/>
      <c r="Q361" s="189"/>
      <c r="R361" s="189"/>
    </row>
    <row r="362" spans="1:18" x14ac:dyDescent="0.35">
      <c r="A362" s="189"/>
      <c r="B362" s="189"/>
      <c r="C362" s="189"/>
      <c r="D362" s="189"/>
      <c r="E362" s="189"/>
      <c r="F362" s="189"/>
      <c r="G362" s="189"/>
      <c r="H362" s="189"/>
      <c r="I362" s="189"/>
      <c r="J362" s="189"/>
      <c r="K362" s="189"/>
      <c r="L362" s="189"/>
      <c r="M362" s="189"/>
      <c r="N362" s="189"/>
      <c r="O362" s="189"/>
      <c r="P362" s="189"/>
      <c r="Q362" s="189"/>
      <c r="R362" s="189"/>
    </row>
    <row r="363" spans="1:18" x14ac:dyDescent="0.35">
      <c r="A363" s="189"/>
      <c r="B363" s="189"/>
      <c r="C363" s="189"/>
      <c r="D363" s="189"/>
      <c r="E363" s="189"/>
      <c r="F363" s="189"/>
      <c r="G363" s="189"/>
      <c r="H363" s="189"/>
      <c r="I363" s="189"/>
      <c r="J363" s="189"/>
      <c r="K363" s="189"/>
      <c r="L363" s="189"/>
      <c r="M363" s="189"/>
      <c r="N363" s="189"/>
      <c r="O363" s="189"/>
      <c r="P363" s="189"/>
      <c r="Q363" s="189"/>
      <c r="R363" s="189"/>
    </row>
    <row r="364" spans="1:18" x14ac:dyDescent="0.35">
      <c r="A364" s="189"/>
      <c r="B364" s="189"/>
      <c r="C364" s="189"/>
      <c r="D364" s="189"/>
      <c r="E364" s="189"/>
      <c r="F364" s="189"/>
      <c r="G364" s="189"/>
      <c r="H364" s="189"/>
      <c r="I364" s="189"/>
      <c r="J364" s="189"/>
      <c r="K364" s="189"/>
      <c r="L364" s="189"/>
      <c r="M364" s="189"/>
      <c r="N364" s="189"/>
      <c r="O364" s="189"/>
      <c r="P364" s="189"/>
      <c r="Q364" s="189"/>
      <c r="R364" s="189"/>
    </row>
    <row r="365" spans="1:18" x14ac:dyDescent="0.35">
      <c r="A365" s="189"/>
      <c r="B365" s="189"/>
      <c r="C365" s="189"/>
      <c r="D365" s="189"/>
      <c r="E365" s="189"/>
      <c r="F365" s="189"/>
      <c r="G365" s="189"/>
      <c r="H365" s="189"/>
      <c r="I365" s="189"/>
      <c r="J365" s="189"/>
      <c r="K365" s="189"/>
      <c r="L365" s="189"/>
      <c r="M365" s="189"/>
      <c r="N365" s="189"/>
      <c r="O365" s="189"/>
      <c r="P365" s="189"/>
      <c r="Q365" s="189"/>
      <c r="R365" s="189"/>
    </row>
    <row r="366" spans="1:18" x14ac:dyDescent="0.35">
      <c r="A366" s="189"/>
      <c r="B366" s="189"/>
      <c r="C366" s="189"/>
      <c r="D366" s="189"/>
      <c r="E366" s="189"/>
      <c r="F366" s="189"/>
      <c r="G366" s="189"/>
      <c r="H366" s="189"/>
      <c r="I366" s="189"/>
      <c r="J366" s="189"/>
      <c r="K366" s="189"/>
      <c r="L366" s="189"/>
      <c r="M366" s="189"/>
      <c r="N366" s="189"/>
      <c r="O366" s="189"/>
      <c r="P366" s="189"/>
      <c r="Q366" s="189"/>
      <c r="R366" s="189"/>
    </row>
    <row r="367" spans="1:18" x14ac:dyDescent="0.35">
      <c r="A367" s="189"/>
      <c r="B367" s="189"/>
      <c r="C367" s="189"/>
      <c r="D367" s="189"/>
      <c r="E367" s="189"/>
      <c r="F367" s="189"/>
      <c r="G367" s="189"/>
      <c r="H367" s="189"/>
      <c r="I367" s="189"/>
      <c r="J367" s="189"/>
      <c r="K367" s="189"/>
      <c r="L367" s="189"/>
      <c r="M367" s="189"/>
      <c r="N367" s="189"/>
      <c r="O367" s="189"/>
      <c r="P367" s="189"/>
      <c r="Q367" s="189"/>
      <c r="R367" s="189"/>
    </row>
    <row r="368" spans="1:18" x14ac:dyDescent="0.35">
      <c r="A368" s="189"/>
      <c r="B368" s="189"/>
      <c r="C368" s="189"/>
      <c r="D368" s="189"/>
      <c r="E368" s="189"/>
      <c r="F368" s="189"/>
      <c r="G368" s="189"/>
      <c r="H368" s="189"/>
      <c r="I368" s="189"/>
      <c r="J368" s="189"/>
      <c r="K368" s="189"/>
      <c r="L368" s="189"/>
      <c r="M368" s="189"/>
      <c r="N368" s="189"/>
      <c r="O368" s="189"/>
      <c r="P368" s="189"/>
      <c r="Q368" s="189"/>
      <c r="R368" s="189"/>
    </row>
    <row r="369" spans="1:18" x14ac:dyDescent="0.35">
      <c r="A369" s="189"/>
      <c r="B369" s="189"/>
      <c r="C369" s="189"/>
      <c r="D369" s="189"/>
      <c r="E369" s="189"/>
      <c r="F369" s="189"/>
      <c r="G369" s="189"/>
      <c r="H369" s="189"/>
      <c r="I369" s="189"/>
      <c r="J369" s="189"/>
      <c r="K369" s="189"/>
      <c r="L369" s="189"/>
      <c r="M369" s="189"/>
      <c r="N369" s="189"/>
      <c r="O369" s="189"/>
      <c r="P369" s="189"/>
      <c r="Q369" s="189"/>
      <c r="R369" s="189"/>
    </row>
    <row r="370" spans="1:18" x14ac:dyDescent="0.35">
      <c r="A370" s="189"/>
      <c r="B370" s="189"/>
      <c r="C370" s="189"/>
      <c r="D370" s="189"/>
      <c r="E370" s="189"/>
      <c r="F370" s="189"/>
      <c r="G370" s="189"/>
      <c r="H370" s="189"/>
      <c r="I370" s="189"/>
      <c r="J370" s="189"/>
      <c r="K370" s="189"/>
      <c r="L370" s="189"/>
      <c r="M370" s="189"/>
      <c r="N370" s="189"/>
      <c r="O370" s="189"/>
      <c r="P370" s="189"/>
      <c r="Q370" s="189"/>
      <c r="R370" s="189"/>
    </row>
    <row r="371" spans="1:18" x14ac:dyDescent="0.35">
      <c r="A371" s="189"/>
      <c r="B371" s="189"/>
      <c r="C371" s="189"/>
      <c r="D371" s="189"/>
      <c r="E371" s="189"/>
      <c r="F371" s="189"/>
      <c r="G371" s="189"/>
      <c r="H371" s="189"/>
      <c r="I371" s="189"/>
      <c r="J371" s="189"/>
      <c r="K371" s="189"/>
      <c r="L371" s="189"/>
      <c r="M371" s="189"/>
      <c r="N371" s="189"/>
      <c r="O371" s="189"/>
      <c r="P371" s="189"/>
      <c r="Q371" s="189"/>
      <c r="R371" s="189"/>
    </row>
    <row r="372" spans="1:18" x14ac:dyDescent="0.35">
      <c r="A372" s="189"/>
      <c r="B372" s="189"/>
      <c r="C372" s="189"/>
      <c r="D372" s="189"/>
      <c r="E372" s="189"/>
      <c r="F372" s="189"/>
      <c r="G372" s="189"/>
      <c r="H372" s="189"/>
      <c r="I372" s="189"/>
      <c r="J372" s="189"/>
      <c r="K372" s="189"/>
      <c r="L372" s="189"/>
      <c r="M372" s="189"/>
      <c r="N372" s="189"/>
      <c r="O372" s="189"/>
      <c r="P372" s="189"/>
      <c r="Q372" s="189"/>
      <c r="R372" s="189"/>
    </row>
    <row r="373" spans="1:18" x14ac:dyDescent="0.35">
      <c r="A373" s="189"/>
      <c r="B373" s="189"/>
      <c r="C373" s="189"/>
      <c r="D373" s="189"/>
      <c r="E373" s="189"/>
      <c r="F373" s="189"/>
      <c r="G373" s="189"/>
      <c r="H373" s="189"/>
      <c r="I373" s="189"/>
      <c r="J373" s="189"/>
      <c r="K373" s="189"/>
      <c r="L373" s="189"/>
      <c r="M373" s="189"/>
      <c r="N373" s="189"/>
      <c r="O373" s="189"/>
      <c r="P373" s="189"/>
      <c r="Q373" s="189"/>
      <c r="R373" s="189"/>
    </row>
    <row r="374" spans="1:18" x14ac:dyDescent="0.35">
      <c r="A374" s="189"/>
      <c r="B374" s="189"/>
      <c r="C374" s="189"/>
      <c r="D374" s="189"/>
      <c r="E374" s="189"/>
      <c r="F374" s="189"/>
      <c r="G374" s="189"/>
      <c r="H374" s="189"/>
      <c r="I374" s="189"/>
      <c r="J374" s="189"/>
      <c r="K374" s="189"/>
      <c r="L374" s="189"/>
      <c r="M374" s="189"/>
      <c r="N374" s="189"/>
      <c r="O374" s="189"/>
      <c r="P374" s="189"/>
      <c r="Q374" s="189"/>
      <c r="R374" s="189"/>
    </row>
    <row r="375" spans="1:18" x14ac:dyDescent="0.35">
      <c r="A375" s="189"/>
      <c r="B375" s="189"/>
      <c r="C375" s="189"/>
      <c r="D375" s="189"/>
      <c r="E375" s="189"/>
      <c r="F375" s="189"/>
      <c r="G375" s="189"/>
      <c r="H375" s="189"/>
      <c r="I375" s="189"/>
      <c r="J375" s="189"/>
      <c r="K375" s="189"/>
      <c r="L375" s="189"/>
      <c r="M375" s="189"/>
      <c r="N375" s="189"/>
      <c r="O375" s="189"/>
      <c r="P375" s="189"/>
      <c r="Q375" s="189"/>
      <c r="R375" s="189"/>
    </row>
    <row r="376" spans="1:18" x14ac:dyDescent="0.35">
      <c r="A376" s="189"/>
      <c r="B376" s="189"/>
      <c r="C376" s="189"/>
      <c r="D376" s="189"/>
      <c r="E376" s="189"/>
      <c r="F376" s="189"/>
      <c r="G376" s="189"/>
      <c r="H376" s="189"/>
      <c r="I376" s="189"/>
      <c r="J376" s="189"/>
      <c r="K376" s="189"/>
      <c r="L376" s="189"/>
      <c r="M376" s="189"/>
      <c r="N376" s="189"/>
      <c r="O376" s="189"/>
      <c r="P376" s="189"/>
      <c r="Q376" s="189"/>
      <c r="R376" s="189"/>
    </row>
    <row r="377" spans="1:18" x14ac:dyDescent="0.35">
      <c r="A377" s="189"/>
      <c r="B377" s="189"/>
      <c r="C377" s="189"/>
      <c r="D377" s="189"/>
      <c r="E377" s="189"/>
      <c r="F377" s="189"/>
      <c r="G377" s="189"/>
      <c r="H377" s="189"/>
      <c r="I377" s="189"/>
      <c r="J377" s="189"/>
      <c r="K377" s="189"/>
      <c r="L377" s="189"/>
      <c r="M377" s="189"/>
      <c r="N377" s="189"/>
      <c r="O377" s="189"/>
      <c r="P377" s="189"/>
      <c r="Q377" s="189"/>
      <c r="R377" s="189"/>
    </row>
    <row r="378" spans="1:18" x14ac:dyDescent="0.35">
      <c r="A378" s="189"/>
      <c r="B378" s="189"/>
      <c r="C378" s="189"/>
      <c r="D378" s="189"/>
      <c r="E378" s="189"/>
      <c r="F378" s="189"/>
      <c r="G378" s="189"/>
      <c r="H378" s="189"/>
      <c r="I378" s="189"/>
      <c r="J378" s="189"/>
      <c r="K378" s="189"/>
      <c r="L378" s="189"/>
      <c r="M378" s="189"/>
      <c r="N378" s="189"/>
      <c r="O378" s="189"/>
      <c r="P378" s="189"/>
      <c r="Q378" s="189"/>
      <c r="R378" s="189"/>
    </row>
    <row r="379" spans="1:18" x14ac:dyDescent="0.35">
      <c r="A379" s="189"/>
      <c r="B379" s="189"/>
      <c r="C379" s="189"/>
      <c r="D379" s="189"/>
      <c r="E379" s="189"/>
      <c r="F379" s="189"/>
      <c r="G379" s="189"/>
      <c r="H379" s="189"/>
      <c r="I379" s="189"/>
      <c r="J379" s="189"/>
      <c r="K379" s="189"/>
      <c r="L379" s="189"/>
      <c r="M379" s="189"/>
      <c r="N379" s="189"/>
      <c r="O379" s="189"/>
      <c r="P379" s="189"/>
      <c r="Q379" s="189"/>
      <c r="R379" s="189"/>
    </row>
    <row r="380" spans="1:18" x14ac:dyDescent="0.35">
      <c r="A380" s="189"/>
      <c r="B380" s="189"/>
      <c r="C380" s="189"/>
      <c r="D380" s="189"/>
      <c r="E380" s="189"/>
      <c r="F380" s="189"/>
      <c r="G380" s="189"/>
      <c r="H380" s="189"/>
      <c r="I380" s="189"/>
      <c r="J380" s="189"/>
      <c r="K380" s="189"/>
      <c r="L380" s="189"/>
      <c r="M380" s="189"/>
      <c r="N380" s="189"/>
      <c r="O380" s="189"/>
      <c r="P380" s="189"/>
      <c r="Q380" s="189"/>
      <c r="R380" s="189"/>
    </row>
    <row r="381" spans="1:18" x14ac:dyDescent="0.35">
      <c r="A381" s="189"/>
      <c r="B381" s="189"/>
      <c r="C381" s="189"/>
      <c r="D381" s="189"/>
      <c r="E381" s="189"/>
      <c r="F381" s="189"/>
      <c r="G381" s="189"/>
      <c r="H381" s="189"/>
      <c r="I381" s="189"/>
      <c r="J381" s="189"/>
      <c r="K381" s="189"/>
      <c r="L381" s="189"/>
      <c r="M381" s="189"/>
      <c r="N381" s="189"/>
      <c r="O381" s="189"/>
      <c r="P381" s="189"/>
      <c r="Q381" s="189"/>
      <c r="R381" s="189"/>
    </row>
    <row r="382" spans="1:18" x14ac:dyDescent="0.35">
      <c r="A382" s="189"/>
      <c r="B382" s="189"/>
      <c r="C382" s="189"/>
      <c r="D382" s="189"/>
      <c r="E382" s="189"/>
      <c r="F382" s="189"/>
      <c r="G382" s="189"/>
      <c r="H382" s="189"/>
      <c r="I382" s="189"/>
      <c r="J382" s="189"/>
      <c r="K382" s="189"/>
      <c r="L382" s="189"/>
      <c r="M382" s="189"/>
      <c r="N382" s="189"/>
      <c r="O382" s="189"/>
      <c r="P382" s="189"/>
      <c r="Q382" s="189"/>
      <c r="R382" s="189"/>
    </row>
    <row r="383" spans="1:18" x14ac:dyDescent="0.35">
      <c r="A383" s="189"/>
      <c r="B383" s="189"/>
      <c r="C383" s="189"/>
      <c r="D383" s="189"/>
      <c r="E383" s="189"/>
      <c r="F383" s="189"/>
      <c r="G383" s="189"/>
      <c r="H383" s="189"/>
      <c r="I383" s="189"/>
      <c r="J383" s="189"/>
      <c r="K383" s="189"/>
      <c r="L383" s="189"/>
      <c r="M383" s="189"/>
      <c r="N383" s="189"/>
      <c r="O383" s="189"/>
      <c r="P383" s="189"/>
      <c r="Q383" s="189"/>
      <c r="R383" s="189"/>
    </row>
    <row r="384" spans="1:18" x14ac:dyDescent="0.35">
      <c r="A384" s="189"/>
      <c r="B384" s="189"/>
      <c r="C384" s="189"/>
      <c r="D384" s="189"/>
      <c r="E384" s="189"/>
      <c r="F384" s="189"/>
      <c r="G384" s="189"/>
      <c r="H384" s="189"/>
      <c r="I384" s="189"/>
      <c r="J384" s="189"/>
      <c r="K384" s="189"/>
      <c r="L384" s="189"/>
      <c r="M384" s="189"/>
      <c r="N384" s="189"/>
      <c r="O384" s="189"/>
      <c r="P384" s="189"/>
      <c r="Q384" s="189"/>
      <c r="R384" s="189"/>
    </row>
    <row r="385" spans="1:18" x14ac:dyDescent="0.35">
      <c r="A385" s="189"/>
      <c r="B385" s="189"/>
      <c r="C385" s="189"/>
      <c r="D385" s="189"/>
      <c r="E385" s="189"/>
      <c r="F385" s="189"/>
      <c r="G385" s="189"/>
      <c r="H385" s="189"/>
      <c r="I385" s="189"/>
      <c r="J385" s="189"/>
      <c r="K385" s="189"/>
      <c r="L385" s="189"/>
      <c r="M385" s="189"/>
      <c r="N385" s="189"/>
      <c r="O385" s="189"/>
      <c r="P385" s="189"/>
      <c r="Q385" s="189"/>
      <c r="R385" s="189"/>
    </row>
    <row r="386" spans="1:18" x14ac:dyDescent="0.35">
      <c r="A386" s="189"/>
      <c r="B386" s="189"/>
      <c r="C386" s="189"/>
      <c r="D386" s="189"/>
      <c r="E386" s="189"/>
      <c r="F386" s="189"/>
      <c r="G386" s="189"/>
      <c r="H386" s="189"/>
      <c r="I386" s="189"/>
      <c r="J386" s="189"/>
      <c r="K386" s="189"/>
      <c r="L386" s="189"/>
      <c r="M386" s="189"/>
      <c r="N386" s="189"/>
      <c r="O386" s="189"/>
      <c r="P386" s="189"/>
      <c r="Q386" s="189"/>
      <c r="R386" s="189"/>
    </row>
    <row r="387" spans="1:18" x14ac:dyDescent="0.35">
      <c r="A387" s="189"/>
      <c r="B387" s="189"/>
      <c r="C387" s="189"/>
      <c r="D387" s="189"/>
      <c r="E387" s="189"/>
      <c r="F387" s="189"/>
      <c r="G387" s="189"/>
      <c r="H387" s="189"/>
      <c r="I387" s="189"/>
      <c r="J387" s="189"/>
      <c r="K387" s="189"/>
      <c r="L387" s="189"/>
      <c r="M387" s="189"/>
      <c r="N387" s="189"/>
      <c r="O387" s="189"/>
      <c r="P387" s="189"/>
      <c r="Q387" s="189"/>
      <c r="R387" s="189"/>
    </row>
    <row r="388" spans="1:18" x14ac:dyDescent="0.35">
      <c r="A388" s="189"/>
      <c r="B388" s="189"/>
      <c r="C388" s="189"/>
      <c r="D388" s="189"/>
      <c r="E388" s="189"/>
      <c r="F388" s="189"/>
      <c r="G388" s="189"/>
      <c r="H388" s="189"/>
      <c r="I388" s="189"/>
      <c r="J388" s="189"/>
      <c r="K388" s="189"/>
      <c r="L388" s="189"/>
      <c r="M388" s="189"/>
      <c r="N388" s="189"/>
      <c r="O388" s="189"/>
      <c r="P388" s="189"/>
      <c r="Q388" s="189"/>
      <c r="R388" s="189"/>
    </row>
    <row r="389" spans="1:18" x14ac:dyDescent="0.35">
      <c r="A389" s="189"/>
      <c r="B389" s="189"/>
      <c r="C389" s="189"/>
      <c r="D389" s="189"/>
      <c r="E389" s="189"/>
      <c r="F389" s="189"/>
      <c r="G389" s="189"/>
      <c r="H389" s="189"/>
      <c r="I389" s="189"/>
      <c r="J389" s="189"/>
      <c r="K389" s="189"/>
      <c r="L389" s="189"/>
      <c r="M389" s="189"/>
      <c r="N389" s="189"/>
      <c r="O389" s="189"/>
      <c r="P389" s="189"/>
      <c r="Q389" s="189"/>
      <c r="R389" s="189"/>
    </row>
    <row r="390" spans="1:18" x14ac:dyDescent="0.35">
      <c r="A390" s="189"/>
      <c r="B390" s="189"/>
      <c r="C390" s="189"/>
      <c r="D390" s="189"/>
      <c r="E390" s="189"/>
      <c r="F390" s="189"/>
      <c r="G390" s="189"/>
      <c r="H390" s="189"/>
      <c r="I390" s="189"/>
      <c r="J390" s="189"/>
      <c r="K390" s="189"/>
      <c r="L390" s="189"/>
      <c r="M390" s="189"/>
      <c r="N390" s="189"/>
      <c r="O390" s="189"/>
      <c r="P390" s="189"/>
      <c r="Q390" s="189"/>
      <c r="R390" s="189"/>
    </row>
    <row r="391" spans="1:18" x14ac:dyDescent="0.35">
      <c r="A391" s="189"/>
      <c r="B391" s="189"/>
      <c r="C391" s="189"/>
      <c r="D391" s="189"/>
      <c r="E391" s="189"/>
      <c r="F391" s="189"/>
      <c r="G391" s="189"/>
      <c r="H391" s="189"/>
      <c r="I391" s="189"/>
      <c r="J391" s="189"/>
      <c r="K391" s="189"/>
      <c r="L391" s="189"/>
      <c r="M391" s="189"/>
      <c r="N391" s="189"/>
      <c r="O391" s="189"/>
      <c r="P391" s="189"/>
      <c r="Q391" s="189"/>
      <c r="R391" s="189"/>
    </row>
    <row r="392" spans="1:18" x14ac:dyDescent="0.35">
      <c r="A392" s="189"/>
      <c r="B392" s="189"/>
      <c r="C392" s="189"/>
      <c r="D392" s="189"/>
      <c r="E392" s="189"/>
      <c r="F392" s="189"/>
      <c r="G392" s="189"/>
      <c r="H392" s="189"/>
      <c r="I392" s="189"/>
      <c r="J392" s="189"/>
      <c r="K392" s="189"/>
      <c r="L392" s="189"/>
      <c r="M392" s="189"/>
      <c r="N392" s="189"/>
      <c r="O392" s="189"/>
      <c r="P392" s="189"/>
      <c r="Q392" s="189"/>
      <c r="R392" s="189"/>
    </row>
    <row r="393" spans="1:18" x14ac:dyDescent="0.35">
      <c r="A393" s="189"/>
      <c r="B393" s="189"/>
      <c r="C393" s="189"/>
      <c r="D393" s="189"/>
      <c r="E393" s="189"/>
      <c r="F393" s="189"/>
      <c r="G393" s="189"/>
      <c r="H393" s="189"/>
      <c r="I393" s="189"/>
      <c r="J393" s="189"/>
      <c r="K393" s="189"/>
      <c r="L393" s="189"/>
      <c r="M393" s="189"/>
      <c r="N393" s="189"/>
      <c r="O393" s="189"/>
      <c r="P393" s="189"/>
      <c r="Q393" s="189"/>
      <c r="R393" s="189"/>
    </row>
    <row r="394" spans="1:18" x14ac:dyDescent="0.35">
      <c r="A394" s="189"/>
      <c r="B394" s="189"/>
      <c r="C394" s="189"/>
      <c r="D394" s="189"/>
      <c r="E394" s="189"/>
      <c r="F394" s="189"/>
      <c r="G394" s="189"/>
      <c r="H394" s="189"/>
      <c r="I394" s="189"/>
      <c r="J394" s="189"/>
      <c r="K394" s="189"/>
      <c r="L394" s="189"/>
      <c r="M394" s="189"/>
      <c r="N394" s="189"/>
      <c r="O394" s="189"/>
      <c r="P394" s="189"/>
      <c r="Q394" s="189"/>
      <c r="R394" s="189"/>
    </row>
    <row r="395" spans="1:18" x14ac:dyDescent="0.35">
      <c r="A395" s="189"/>
      <c r="B395" s="189"/>
      <c r="C395" s="189"/>
      <c r="D395" s="189"/>
      <c r="E395" s="189"/>
      <c r="F395" s="189"/>
      <c r="G395" s="189"/>
      <c r="H395" s="189"/>
      <c r="I395" s="189"/>
      <c r="J395" s="189"/>
      <c r="K395" s="189"/>
      <c r="L395" s="189"/>
      <c r="M395" s="189"/>
      <c r="N395" s="189"/>
      <c r="O395" s="189"/>
      <c r="P395" s="189"/>
      <c r="Q395" s="189"/>
      <c r="R395" s="189"/>
    </row>
    <row r="396" spans="1:18" x14ac:dyDescent="0.35">
      <c r="A396" s="189"/>
      <c r="B396" s="189"/>
      <c r="C396" s="189"/>
      <c r="D396" s="189"/>
      <c r="E396" s="189"/>
      <c r="F396" s="189"/>
      <c r="G396" s="189"/>
      <c r="H396" s="189"/>
      <c r="I396" s="189"/>
      <c r="J396" s="189"/>
      <c r="K396" s="189"/>
      <c r="L396" s="189"/>
      <c r="M396" s="189"/>
      <c r="N396" s="189"/>
      <c r="O396" s="189"/>
      <c r="P396" s="189"/>
      <c r="Q396" s="189"/>
      <c r="R396" s="189"/>
    </row>
    <row r="397" spans="1:18" x14ac:dyDescent="0.35">
      <c r="A397" s="189"/>
      <c r="B397" s="189"/>
      <c r="C397" s="189"/>
      <c r="D397" s="189"/>
      <c r="E397" s="189"/>
      <c r="F397" s="189"/>
      <c r="G397" s="189"/>
      <c r="H397" s="189"/>
      <c r="I397" s="189"/>
      <c r="J397" s="189"/>
      <c r="K397" s="189"/>
      <c r="L397" s="189"/>
      <c r="M397" s="189"/>
      <c r="N397" s="189"/>
      <c r="O397" s="189"/>
      <c r="P397" s="189"/>
      <c r="Q397" s="189"/>
      <c r="R397" s="189"/>
    </row>
    <row r="398" spans="1:18" x14ac:dyDescent="0.35">
      <c r="A398" s="189"/>
      <c r="B398" s="189"/>
      <c r="C398" s="189"/>
      <c r="D398" s="189"/>
      <c r="E398" s="189"/>
      <c r="F398" s="189"/>
      <c r="G398" s="189"/>
      <c r="H398" s="189"/>
      <c r="I398" s="189"/>
      <c r="J398" s="189"/>
      <c r="K398" s="189"/>
      <c r="L398" s="189"/>
      <c r="M398" s="189"/>
      <c r="N398" s="189"/>
      <c r="O398" s="189"/>
      <c r="P398" s="189"/>
      <c r="Q398" s="189"/>
      <c r="R398" s="189"/>
    </row>
    <row r="399" spans="1:18" x14ac:dyDescent="0.35">
      <c r="A399" s="189"/>
      <c r="B399" s="189"/>
      <c r="C399" s="189"/>
      <c r="D399" s="189"/>
      <c r="E399" s="189"/>
      <c r="F399" s="189"/>
      <c r="G399" s="189"/>
      <c r="H399" s="189"/>
      <c r="I399" s="189"/>
      <c r="J399" s="189"/>
      <c r="K399" s="189"/>
      <c r="L399" s="189"/>
      <c r="M399" s="189"/>
      <c r="N399" s="189"/>
      <c r="O399" s="189"/>
      <c r="P399" s="189"/>
      <c r="Q399" s="189"/>
      <c r="R399" s="189"/>
    </row>
    <row r="400" spans="1:18" x14ac:dyDescent="0.35">
      <c r="A400" s="189"/>
      <c r="B400" s="189"/>
      <c r="C400" s="189"/>
      <c r="D400" s="189"/>
      <c r="E400" s="189"/>
      <c r="F400" s="189"/>
      <c r="G400" s="189"/>
      <c r="H400" s="189"/>
      <c r="I400" s="189"/>
      <c r="J400" s="189"/>
      <c r="K400" s="189"/>
      <c r="L400" s="189"/>
      <c r="M400" s="189"/>
      <c r="N400" s="189"/>
      <c r="O400" s="189"/>
      <c r="P400" s="189"/>
      <c r="Q400" s="189"/>
      <c r="R400" s="189"/>
    </row>
    <row r="401" spans="1:18" x14ac:dyDescent="0.35">
      <c r="A401" s="189"/>
      <c r="B401" s="189"/>
      <c r="C401" s="189"/>
      <c r="D401" s="189"/>
      <c r="E401" s="189"/>
      <c r="F401" s="189"/>
      <c r="G401" s="189"/>
      <c r="H401" s="189"/>
      <c r="I401" s="189"/>
      <c r="J401" s="189"/>
      <c r="K401" s="189"/>
      <c r="L401" s="189"/>
      <c r="M401" s="189"/>
      <c r="N401" s="189"/>
      <c r="O401" s="189"/>
      <c r="P401" s="189"/>
      <c r="Q401" s="189"/>
      <c r="R401" s="189"/>
    </row>
    <row r="402" spans="1:18" x14ac:dyDescent="0.35">
      <c r="A402" s="189"/>
      <c r="B402" s="189"/>
      <c r="C402" s="189"/>
      <c r="D402" s="189"/>
      <c r="E402" s="189"/>
      <c r="F402" s="189"/>
      <c r="G402" s="189"/>
      <c r="H402" s="189"/>
      <c r="I402" s="189"/>
      <c r="J402" s="189"/>
      <c r="K402" s="189"/>
      <c r="L402" s="189"/>
      <c r="M402" s="189"/>
      <c r="N402" s="189"/>
      <c r="O402" s="189"/>
      <c r="P402" s="189"/>
      <c r="Q402" s="189"/>
      <c r="R402" s="189"/>
    </row>
    <row r="403" spans="1:18" x14ac:dyDescent="0.35">
      <c r="A403" s="189"/>
      <c r="B403" s="189"/>
      <c r="C403" s="189"/>
      <c r="D403" s="189"/>
      <c r="E403" s="189"/>
      <c r="F403" s="189"/>
      <c r="G403" s="189"/>
      <c r="H403" s="189"/>
      <c r="I403" s="189"/>
      <c r="J403" s="189"/>
      <c r="K403" s="189"/>
      <c r="L403" s="189"/>
      <c r="M403" s="189"/>
      <c r="N403" s="189"/>
      <c r="O403" s="189"/>
      <c r="P403" s="189"/>
      <c r="Q403" s="189"/>
      <c r="R403" s="189"/>
    </row>
    <row r="404" spans="1:18" x14ac:dyDescent="0.35">
      <c r="A404" s="189"/>
      <c r="B404" s="189"/>
      <c r="C404" s="189"/>
      <c r="D404" s="189"/>
      <c r="E404" s="189"/>
      <c r="F404" s="189"/>
      <c r="G404" s="189"/>
      <c r="H404" s="189"/>
      <c r="I404" s="189"/>
      <c r="J404" s="189"/>
      <c r="K404" s="189"/>
      <c r="L404" s="189"/>
      <c r="M404" s="189"/>
      <c r="N404" s="189"/>
      <c r="O404" s="189"/>
      <c r="P404" s="189"/>
      <c r="Q404" s="189"/>
      <c r="R404" s="189"/>
    </row>
    <row r="405" spans="1:18" x14ac:dyDescent="0.35">
      <c r="A405" s="189"/>
      <c r="B405" s="189"/>
      <c r="C405" s="189"/>
      <c r="D405" s="189"/>
      <c r="E405" s="189"/>
      <c r="F405" s="189"/>
      <c r="G405" s="189"/>
      <c r="H405" s="189"/>
      <c r="I405" s="189"/>
      <c r="J405" s="189"/>
      <c r="K405" s="189"/>
      <c r="L405" s="189"/>
      <c r="M405" s="189"/>
      <c r="N405" s="189"/>
      <c r="O405" s="189"/>
      <c r="P405" s="189"/>
      <c r="Q405" s="189"/>
      <c r="R405" s="189"/>
    </row>
    <row r="406" spans="1:18" x14ac:dyDescent="0.35">
      <c r="A406" s="189"/>
      <c r="B406" s="189"/>
      <c r="C406" s="189"/>
      <c r="D406" s="189"/>
      <c r="E406" s="189"/>
      <c r="F406" s="189"/>
      <c r="G406" s="189"/>
      <c r="H406" s="189"/>
      <c r="I406" s="189"/>
      <c r="J406" s="189"/>
      <c r="K406" s="189"/>
      <c r="L406" s="189"/>
      <c r="M406" s="189"/>
      <c r="N406" s="189"/>
      <c r="O406" s="189"/>
      <c r="P406" s="189"/>
      <c r="Q406" s="189"/>
      <c r="R406" s="189"/>
    </row>
    <row r="407" spans="1:18" x14ac:dyDescent="0.35">
      <c r="A407" s="189"/>
      <c r="B407" s="189"/>
      <c r="C407" s="189"/>
      <c r="D407" s="189"/>
      <c r="E407" s="189"/>
      <c r="F407" s="189"/>
      <c r="G407" s="189"/>
      <c r="H407" s="189"/>
      <c r="I407" s="189"/>
      <c r="J407" s="189"/>
      <c r="K407" s="189"/>
      <c r="L407" s="189"/>
      <c r="M407" s="189"/>
      <c r="N407" s="189"/>
      <c r="O407" s="189"/>
      <c r="P407" s="189"/>
      <c r="Q407" s="189"/>
      <c r="R407" s="189"/>
    </row>
    <row r="408" spans="1:18" x14ac:dyDescent="0.35">
      <c r="A408" s="189"/>
      <c r="B408" s="189"/>
      <c r="C408" s="189"/>
      <c r="D408" s="189"/>
      <c r="E408" s="189"/>
      <c r="F408" s="189"/>
      <c r="G408" s="189"/>
      <c r="H408" s="189"/>
      <c r="I408" s="189"/>
      <c r="J408" s="189"/>
      <c r="K408" s="189"/>
      <c r="L408" s="189"/>
      <c r="M408" s="189"/>
      <c r="N408" s="189"/>
      <c r="O408" s="189"/>
      <c r="P408" s="189"/>
      <c r="Q408" s="189"/>
      <c r="R408" s="189"/>
    </row>
    <row r="409" spans="1:18" x14ac:dyDescent="0.35">
      <c r="A409" s="189"/>
      <c r="B409" s="189"/>
      <c r="C409" s="189"/>
      <c r="D409" s="189"/>
      <c r="E409" s="189"/>
      <c r="F409" s="189"/>
      <c r="G409" s="189"/>
      <c r="H409" s="189"/>
      <c r="I409" s="189"/>
      <c r="J409" s="189"/>
      <c r="K409" s="189"/>
      <c r="L409" s="189"/>
      <c r="M409" s="189"/>
      <c r="N409" s="189"/>
      <c r="O409" s="189"/>
      <c r="P409" s="189"/>
      <c r="Q409" s="189"/>
      <c r="R409" s="189"/>
    </row>
    <row r="410" spans="1:18" x14ac:dyDescent="0.35">
      <c r="A410" s="189"/>
      <c r="B410" s="189"/>
      <c r="C410" s="189"/>
      <c r="D410" s="189"/>
      <c r="E410" s="189"/>
      <c r="F410" s="189"/>
      <c r="G410" s="189"/>
      <c r="H410" s="189"/>
      <c r="I410" s="189"/>
      <c r="J410" s="189"/>
      <c r="K410" s="189"/>
      <c r="L410" s="189"/>
      <c r="M410" s="189"/>
      <c r="N410" s="189"/>
      <c r="O410" s="189"/>
      <c r="P410" s="189"/>
      <c r="Q410" s="189"/>
      <c r="R410" s="189"/>
    </row>
    <row r="411" spans="1:18" x14ac:dyDescent="0.35">
      <c r="A411" s="189"/>
      <c r="B411" s="189"/>
      <c r="C411" s="189"/>
      <c r="D411" s="189"/>
      <c r="E411" s="189"/>
      <c r="F411" s="189"/>
      <c r="G411" s="189"/>
      <c r="H411" s="189"/>
      <c r="I411" s="189"/>
      <c r="J411" s="189"/>
      <c r="K411" s="189"/>
      <c r="L411" s="189"/>
      <c r="M411" s="189"/>
      <c r="N411" s="189"/>
      <c r="O411" s="189"/>
      <c r="P411" s="189"/>
      <c r="Q411" s="189"/>
      <c r="R411" s="189"/>
    </row>
    <row r="412" spans="1:18" x14ac:dyDescent="0.35">
      <c r="A412" s="189"/>
      <c r="B412" s="189"/>
      <c r="C412" s="189"/>
      <c r="D412" s="189"/>
      <c r="E412" s="189"/>
      <c r="F412" s="189"/>
      <c r="G412" s="189"/>
      <c r="H412" s="189"/>
      <c r="I412" s="189"/>
      <c r="J412" s="189"/>
      <c r="K412" s="189"/>
      <c r="L412" s="189"/>
      <c r="M412" s="189"/>
      <c r="N412" s="189"/>
      <c r="O412" s="189"/>
      <c r="P412" s="189"/>
      <c r="Q412" s="189"/>
      <c r="R412" s="189"/>
    </row>
    <row r="413" spans="1:18" x14ac:dyDescent="0.35">
      <c r="A413" s="189"/>
      <c r="B413" s="189"/>
      <c r="C413" s="189"/>
      <c r="D413" s="189"/>
      <c r="E413" s="189"/>
      <c r="F413" s="189"/>
      <c r="G413" s="189"/>
      <c r="H413" s="189"/>
      <c r="I413" s="189"/>
      <c r="J413" s="189"/>
      <c r="K413" s="189"/>
      <c r="L413" s="189"/>
      <c r="M413" s="189"/>
      <c r="N413" s="189"/>
      <c r="O413" s="189"/>
      <c r="P413" s="189"/>
      <c r="Q413" s="189"/>
      <c r="R413" s="189"/>
    </row>
    <row r="414" spans="1:18" x14ac:dyDescent="0.35">
      <c r="A414" s="189"/>
      <c r="B414" s="189"/>
      <c r="C414" s="189"/>
      <c r="D414" s="189"/>
      <c r="E414" s="189"/>
      <c r="F414" s="189"/>
      <c r="G414" s="189"/>
      <c r="H414" s="189"/>
      <c r="I414" s="189"/>
      <c r="J414" s="189"/>
      <c r="K414" s="189"/>
      <c r="L414" s="189"/>
      <c r="M414" s="189"/>
      <c r="N414" s="189"/>
      <c r="O414" s="189"/>
      <c r="P414" s="189"/>
      <c r="Q414" s="189"/>
      <c r="R414" s="189"/>
    </row>
    <row r="415" spans="1:18" x14ac:dyDescent="0.35">
      <c r="A415" s="189"/>
      <c r="B415" s="189"/>
      <c r="C415" s="189"/>
      <c r="D415" s="189"/>
      <c r="E415" s="189"/>
      <c r="F415" s="189"/>
      <c r="G415" s="189"/>
      <c r="H415" s="189"/>
      <c r="I415" s="189"/>
      <c r="J415" s="189"/>
      <c r="K415" s="189"/>
      <c r="L415" s="189"/>
      <c r="M415" s="189"/>
      <c r="N415" s="189"/>
      <c r="O415" s="189"/>
      <c r="P415" s="189"/>
      <c r="Q415" s="189"/>
      <c r="R415" s="189"/>
    </row>
    <row r="416" spans="1:18" x14ac:dyDescent="0.35">
      <c r="A416" s="189"/>
      <c r="B416" s="189"/>
      <c r="C416" s="189"/>
      <c r="D416" s="189"/>
      <c r="E416" s="189"/>
      <c r="F416" s="189"/>
      <c r="G416" s="189"/>
      <c r="H416" s="189"/>
      <c r="I416" s="189"/>
      <c r="J416" s="189"/>
      <c r="K416" s="189"/>
      <c r="L416" s="189"/>
      <c r="M416" s="189"/>
      <c r="N416" s="189"/>
      <c r="O416" s="189"/>
      <c r="P416" s="189"/>
      <c r="Q416" s="189"/>
      <c r="R416" s="189"/>
    </row>
    <row r="417" spans="1:18" x14ac:dyDescent="0.35">
      <c r="A417" s="189"/>
      <c r="B417" s="189"/>
      <c r="C417" s="189"/>
      <c r="D417" s="189"/>
      <c r="E417" s="189"/>
      <c r="F417" s="189"/>
      <c r="G417" s="189"/>
      <c r="H417" s="189"/>
      <c r="I417" s="189"/>
      <c r="J417" s="189"/>
      <c r="K417" s="189"/>
      <c r="L417" s="189"/>
      <c r="M417" s="189"/>
      <c r="N417" s="189"/>
      <c r="O417" s="189"/>
      <c r="P417" s="189"/>
      <c r="Q417" s="189"/>
      <c r="R417" s="189"/>
    </row>
    <row r="418" spans="1:18" x14ac:dyDescent="0.35">
      <c r="A418" s="189"/>
      <c r="B418" s="189"/>
      <c r="C418" s="189"/>
      <c r="D418" s="189"/>
      <c r="E418" s="189"/>
      <c r="F418" s="189"/>
      <c r="G418" s="189"/>
      <c r="H418" s="189"/>
      <c r="I418" s="189"/>
      <c r="J418" s="189"/>
      <c r="K418" s="189"/>
      <c r="L418" s="189"/>
      <c r="M418" s="189"/>
      <c r="N418" s="189"/>
      <c r="O418" s="189"/>
      <c r="P418" s="189"/>
      <c r="Q418" s="189"/>
      <c r="R418" s="189"/>
    </row>
    <row r="419" spans="1:18" x14ac:dyDescent="0.35">
      <c r="A419" s="189"/>
      <c r="B419" s="189"/>
      <c r="C419" s="189"/>
      <c r="D419" s="189"/>
      <c r="E419" s="189"/>
      <c r="F419" s="189"/>
      <c r="G419" s="189"/>
      <c r="H419" s="189"/>
      <c r="I419" s="189"/>
      <c r="J419" s="189"/>
      <c r="K419" s="189"/>
      <c r="L419" s="189"/>
      <c r="M419" s="189"/>
      <c r="N419" s="189"/>
      <c r="O419" s="189"/>
      <c r="P419" s="189"/>
      <c r="Q419" s="189"/>
      <c r="R419" s="189"/>
    </row>
    <row r="420" spans="1:18" x14ac:dyDescent="0.35">
      <c r="A420" s="189"/>
      <c r="B420" s="189"/>
      <c r="C420" s="189"/>
      <c r="D420" s="189"/>
      <c r="E420" s="189"/>
      <c r="F420" s="189"/>
      <c r="G420" s="189"/>
      <c r="H420" s="189"/>
      <c r="I420" s="189"/>
      <c r="J420" s="189"/>
      <c r="K420" s="189"/>
      <c r="L420" s="189"/>
      <c r="M420" s="189"/>
      <c r="N420" s="189"/>
      <c r="O420" s="189"/>
      <c r="P420" s="189"/>
      <c r="Q420" s="189"/>
      <c r="R420" s="189"/>
    </row>
    <row r="421" spans="1:18" x14ac:dyDescent="0.35">
      <c r="A421" s="189"/>
      <c r="B421" s="189"/>
      <c r="C421" s="189"/>
      <c r="D421" s="189"/>
      <c r="E421" s="189"/>
      <c r="F421" s="189"/>
      <c r="G421" s="189"/>
      <c r="H421" s="189"/>
      <c r="I421" s="189"/>
      <c r="J421" s="189"/>
      <c r="K421" s="189"/>
      <c r="L421" s="189"/>
      <c r="M421" s="189"/>
      <c r="N421" s="189"/>
      <c r="O421" s="189"/>
      <c r="P421" s="189"/>
      <c r="Q421" s="189"/>
      <c r="R421" s="189"/>
    </row>
    <row r="422" spans="1:18" x14ac:dyDescent="0.35">
      <c r="A422" s="189"/>
      <c r="B422" s="189"/>
      <c r="C422" s="189"/>
      <c r="D422" s="189"/>
      <c r="E422" s="189"/>
      <c r="F422" s="189"/>
      <c r="G422" s="189"/>
      <c r="H422" s="189"/>
      <c r="I422" s="189"/>
      <c r="J422" s="189"/>
      <c r="K422" s="189"/>
      <c r="L422" s="189"/>
      <c r="M422" s="189"/>
      <c r="N422" s="189"/>
      <c r="O422" s="189"/>
      <c r="P422" s="189"/>
      <c r="Q422" s="189"/>
      <c r="R422" s="189"/>
    </row>
    <row r="423" spans="1:18" x14ac:dyDescent="0.35">
      <c r="A423" s="189"/>
      <c r="B423" s="189"/>
      <c r="C423" s="189"/>
      <c r="D423" s="189"/>
      <c r="E423" s="189"/>
      <c r="F423" s="189"/>
      <c r="G423" s="189"/>
      <c r="H423" s="189"/>
      <c r="I423" s="189"/>
      <c r="J423" s="189"/>
      <c r="K423" s="189"/>
      <c r="L423" s="189"/>
      <c r="M423" s="189"/>
      <c r="N423" s="189"/>
      <c r="O423" s="189"/>
      <c r="P423" s="189"/>
      <c r="Q423" s="189"/>
      <c r="R423" s="189"/>
    </row>
    <row r="424" spans="1:18" x14ac:dyDescent="0.35">
      <c r="A424" s="189"/>
      <c r="B424" s="189"/>
      <c r="C424" s="189"/>
      <c r="D424" s="189"/>
      <c r="E424" s="189"/>
      <c r="F424" s="189"/>
      <c r="G424" s="189"/>
      <c r="H424" s="189"/>
      <c r="I424" s="189"/>
      <c r="J424" s="189"/>
      <c r="K424" s="189"/>
      <c r="L424" s="189"/>
      <c r="M424" s="189"/>
      <c r="N424" s="189"/>
      <c r="O424" s="189"/>
      <c r="P424" s="189"/>
      <c r="Q424" s="189"/>
      <c r="R424" s="189"/>
    </row>
    <row r="425" spans="1:18" x14ac:dyDescent="0.35">
      <c r="A425" s="189"/>
      <c r="B425" s="189"/>
      <c r="C425" s="189"/>
      <c r="D425" s="189"/>
      <c r="E425" s="189"/>
      <c r="F425" s="189"/>
      <c r="G425" s="189"/>
      <c r="H425" s="189"/>
      <c r="I425" s="189"/>
      <c r="J425" s="189"/>
      <c r="K425" s="189"/>
      <c r="L425" s="189"/>
      <c r="M425" s="189"/>
      <c r="N425" s="189"/>
      <c r="O425" s="189"/>
      <c r="P425" s="189"/>
      <c r="Q425" s="189"/>
      <c r="R425" s="189"/>
    </row>
    <row r="426" spans="1:18" x14ac:dyDescent="0.35">
      <c r="A426" s="189"/>
      <c r="B426" s="189"/>
      <c r="C426" s="189"/>
      <c r="D426" s="189"/>
      <c r="E426" s="189"/>
      <c r="F426" s="189"/>
      <c r="G426" s="189"/>
      <c r="H426" s="189"/>
      <c r="I426" s="189"/>
      <c r="J426" s="189"/>
      <c r="K426" s="189"/>
      <c r="L426" s="189"/>
      <c r="M426" s="189"/>
      <c r="N426" s="189"/>
      <c r="O426" s="189"/>
      <c r="P426" s="189"/>
      <c r="Q426" s="189"/>
      <c r="R426" s="189"/>
    </row>
    <row r="427" spans="1:18" x14ac:dyDescent="0.35">
      <c r="A427" s="189"/>
      <c r="B427" s="189"/>
      <c r="C427" s="189"/>
      <c r="D427" s="189"/>
      <c r="E427" s="189"/>
      <c r="F427" s="189"/>
      <c r="G427" s="189"/>
      <c r="H427" s="189"/>
      <c r="I427" s="189"/>
      <c r="J427" s="189"/>
      <c r="K427" s="189"/>
      <c r="L427" s="189"/>
      <c r="M427" s="189"/>
      <c r="N427" s="189"/>
      <c r="O427" s="189"/>
      <c r="P427" s="189"/>
      <c r="Q427" s="189"/>
      <c r="R427" s="189"/>
    </row>
    <row r="428" spans="1:18" x14ac:dyDescent="0.35">
      <c r="A428" s="189"/>
      <c r="B428" s="189"/>
      <c r="C428" s="189"/>
      <c r="D428" s="189"/>
      <c r="E428" s="189"/>
      <c r="F428" s="189"/>
      <c r="G428" s="189"/>
      <c r="H428" s="189"/>
      <c r="I428" s="189"/>
      <c r="J428" s="189"/>
      <c r="K428" s="189"/>
      <c r="L428" s="189"/>
      <c r="M428" s="189"/>
      <c r="N428" s="189"/>
      <c r="O428" s="189"/>
      <c r="P428" s="189"/>
      <c r="Q428" s="189"/>
      <c r="R428" s="189"/>
    </row>
    <row r="429" spans="1:18" x14ac:dyDescent="0.35">
      <c r="A429" s="189"/>
      <c r="B429" s="189"/>
      <c r="C429" s="189"/>
      <c r="D429" s="189"/>
      <c r="E429" s="189"/>
      <c r="F429" s="189"/>
      <c r="G429" s="189"/>
      <c r="H429" s="189"/>
      <c r="I429" s="189"/>
      <c r="J429" s="189"/>
      <c r="K429" s="189"/>
      <c r="L429" s="189"/>
      <c r="M429" s="189"/>
      <c r="N429" s="189"/>
      <c r="O429" s="189"/>
      <c r="P429" s="189"/>
      <c r="Q429" s="189"/>
      <c r="R429" s="189"/>
    </row>
    <row r="430" spans="1:18" x14ac:dyDescent="0.35">
      <c r="A430" s="189"/>
      <c r="B430" s="189"/>
      <c r="C430" s="189"/>
      <c r="D430" s="189"/>
      <c r="E430" s="189"/>
      <c r="F430" s="189"/>
      <c r="G430" s="189"/>
      <c r="H430" s="189"/>
      <c r="I430" s="189"/>
      <c r="J430" s="189"/>
      <c r="K430" s="189"/>
      <c r="L430" s="189"/>
      <c r="M430" s="189"/>
      <c r="N430" s="189"/>
      <c r="O430" s="189"/>
      <c r="P430" s="189"/>
      <c r="Q430" s="189"/>
      <c r="R430" s="189"/>
    </row>
    <row r="431" spans="1:18" x14ac:dyDescent="0.35">
      <c r="A431" s="189"/>
      <c r="B431" s="189"/>
      <c r="C431" s="189"/>
      <c r="D431" s="189"/>
      <c r="E431" s="189"/>
      <c r="F431" s="189"/>
      <c r="G431" s="189"/>
      <c r="H431" s="189"/>
      <c r="I431" s="189"/>
      <c r="J431" s="189"/>
      <c r="K431" s="189"/>
      <c r="L431" s="189"/>
      <c r="M431" s="189"/>
      <c r="N431" s="189"/>
      <c r="O431" s="189"/>
      <c r="P431" s="189"/>
      <c r="Q431" s="189"/>
      <c r="R431" s="189"/>
    </row>
    <row r="432" spans="1:18" x14ac:dyDescent="0.35">
      <c r="A432" s="189"/>
      <c r="B432" s="189"/>
      <c r="C432" s="189"/>
      <c r="D432" s="189"/>
      <c r="E432" s="189"/>
      <c r="F432" s="189"/>
      <c r="G432" s="189"/>
      <c r="H432" s="189"/>
      <c r="I432" s="189"/>
      <c r="J432" s="189"/>
      <c r="K432" s="189"/>
      <c r="L432" s="189"/>
      <c r="M432" s="189"/>
      <c r="N432" s="189"/>
      <c r="O432" s="189"/>
      <c r="P432" s="189"/>
      <c r="Q432" s="189"/>
      <c r="R432" s="189"/>
    </row>
    <row r="433" spans="1:18" x14ac:dyDescent="0.35">
      <c r="A433" s="189"/>
      <c r="B433" s="189"/>
      <c r="C433" s="189"/>
      <c r="D433" s="189"/>
      <c r="E433" s="189"/>
      <c r="F433" s="189"/>
      <c r="G433" s="189"/>
      <c r="H433" s="189"/>
      <c r="I433" s="189"/>
      <c r="J433" s="189"/>
      <c r="K433" s="189"/>
      <c r="L433" s="189"/>
      <c r="M433" s="189"/>
      <c r="N433" s="189"/>
      <c r="O433" s="189"/>
      <c r="P433" s="189"/>
      <c r="Q433" s="189"/>
      <c r="R433" s="189"/>
    </row>
    <row r="434" spans="1:18" x14ac:dyDescent="0.35">
      <c r="A434" s="189"/>
      <c r="B434" s="189"/>
      <c r="C434" s="189"/>
      <c r="D434" s="189"/>
      <c r="E434" s="189"/>
      <c r="F434" s="189"/>
      <c r="G434" s="189"/>
      <c r="H434" s="189"/>
      <c r="I434" s="189"/>
      <c r="J434" s="189"/>
      <c r="K434" s="189"/>
      <c r="L434" s="189"/>
      <c r="M434" s="189"/>
      <c r="N434" s="189"/>
      <c r="O434" s="189"/>
      <c r="P434" s="189"/>
      <c r="Q434" s="189"/>
      <c r="R434" s="189"/>
    </row>
    <row r="435" spans="1:18" x14ac:dyDescent="0.35">
      <c r="A435" s="189"/>
      <c r="B435" s="189"/>
      <c r="C435" s="189"/>
      <c r="D435" s="189"/>
      <c r="E435" s="189"/>
      <c r="F435" s="189"/>
      <c r="G435" s="189"/>
      <c r="H435" s="189"/>
      <c r="I435" s="189"/>
      <c r="J435" s="189"/>
      <c r="K435" s="189"/>
      <c r="L435" s="189"/>
      <c r="M435" s="189"/>
      <c r="N435" s="189"/>
      <c r="O435" s="189"/>
      <c r="P435" s="189"/>
      <c r="Q435" s="189"/>
      <c r="R435" s="189"/>
    </row>
    <row r="436" spans="1:18" x14ac:dyDescent="0.35">
      <c r="A436" s="189"/>
      <c r="B436" s="189"/>
      <c r="C436" s="189"/>
      <c r="D436" s="189"/>
      <c r="E436" s="189"/>
      <c r="F436" s="189"/>
      <c r="G436" s="189"/>
      <c r="H436" s="189"/>
      <c r="I436" s="189"/>
      <c r="J436" s="189"/>
      <c r="K436" s="189"/>
      <c r="L436" s="189"/>
      <c r="M436" s="189"/>
      <c r="N436" s="189"/>
      <c r="O436" s="189"/>
      <c r="P436" s="189"/>
      <c r="Q436" s="189"/>
      <c r="R436" s="189"/>
    </row>
    <row r="437" spans="1:18" x14ac:dyDescent="0.35">
      <c r="A437" s="189"/>
      <c r="B437" s="189"/>
      <c r="C437" s="189"/>
      <c r="D437" s="189"/>
      <c r="E437" s="189"/>
      <c r="F437" s="189"/>
      <c r="G437" s="189"/>
      <c r="H437" s="189"/>
      <c r="I437" s="189"/>
      <c r="J437" s="189"/>
      <c r="K437" s="189"/>
      <c r="L437" s="189"/>
      <c r="M437" s="189"/>
      <c r="N437" s="189"/>
      <c r="O437" s="189"/>
      <c r="P437" s="189"/>
      <c r="Q437" s="189"/>
      <c r="R437" s="189"/>
    </row>
    <row r="438" spans="1:18" x14ac:dyDescent="0.35">
      <c r="A438" s="189"/>
      <c r="B438" s="189"/>
      <c r="C438" s="189"/>
      <c r="D438" s="189"/>
      <c r="E438" s="189"/>
      <c r="F438" s="189"/>
      <c r="G438" s="189"/>
      <c r="H438" s="189"/>
      <c r="I438" s="189"/>
      <c r="J438" s="189"/>
      <c r="K438" s="189"/>
      <c r="L438" s="189"/>
      <c r="M438" s="189"/>
      <c r="N438" s="189"/>
      <c r="O438" s="189"/>
      <c r="P438" s="189"/>
      <c r="Q438" s="189"/>
      <c r="R438" s="189"/>
    </row>
    <row r="439" spans="1:18" x14ac:dyDescent="0.35">
      <c r="A439" s="189"/>
      <c r="B439" s="189"/>
      <c r="C439" s="189"/>
      <c r="D439" s="189"/>
      <c r="E439" s="189"/>
      <c r="F439" s="189"/>
      <c r="G439" s="189"/>
      <c r="H439" s="189"/>
      <c r="I439" s="189"/>
      <c r="J439" s="189"/>
      <c r="K439" s="189"/>
      <c r="L439" s="189"/>
      <c r="M439" s="189"/>
      <c r="N439" s="189"/>
      <c r="O439" s="189"/>
      <c r="P439" s="189"/>
      <c r="Q439" s="189"/>
      <c r="R439" s="189"/>
    </row>
    <row r="440" spans="1:18" x14ac:dyDescent="0.35">
      <c r="A440" s="189"/>
      <c r="B440" s="189"/>
      <c r="C440" s="189"/>
      <c r="D440" s="189"/>
      <c r="E440" s="189"/>
      <c r="F440" s="189"/>
      <c r="G440" s="189"/>
      <c r="H440" s="189"/>
      <c r="I440" s="189"/>
      <c r="J440" s="189"/>
      <c r="K440" s="189"/>
      <c r="L440" s="189"/>
      <c r="M440" s="189"/>
      <c r="N440" s="189"/>
      <c r="O440" s="189"/>
      <c r="P440" s="189"/>
      <c r="Q440" s="189"/>
      <c r="R440" s="189"/>
    </row>
    <row r="441" spans="1:18" x14ac:dyDescent="0.35">
      <c r="A441" s="189"/>
      <c r="B441" s="189"/>
      <c r="C441" s="189"/>
      <c r="D441" s="189"/>
      <c r="E441" s="189"/>
      <c r="F441" s="189"/>
      <c r="G441" s="189"/>
      <c r="H441" s="189"/>
      <c r="I441" s="189"/>
      <c r="J441" s="189"/>
      <c r="K441" s="189"/>
      <c r="L441" s="189"/>
      <c r="M441" s="189"/>
      <c r="N441" s="189"/>
      <c r="O441" s="189"/>
      <c r="P441" s="189"/>
      <c r="Q441" s="189"/>
      <c r="R441" s="189"/>
    </row>
    <row r="442" spans="1:18" x14ac:dyDescent="0.35">
      <c r="A442" s="189"/>
      <c r="B442" s="189"/>
      <c r="C442" s="189"/>
      <c r="D442" s="189"/>
      <c r="E442" s="189"/>
      <c r="F442" s="189"/>
      <c r="G442" s="189"/>
      <c r="H442" s="189"/>
      <c r="I442" s="189"/>
      <c r="J442" s="189"/>
      <c r="K442" s="189"/>
      <c r="L442" s="189"/>
      <c r="M442" s="189"/>
      <c r="N442" s="189"/>
      <c r="O442" s="189"/>
      <c r="P442" s="189"/>
      <c r="Q442" s="189"/>
      <c r="R442" s="189"/>
    </row>
    <row r="443" spans="1:18" x14ac:dyDescent="0.35">
      <c r="A443" s="189"/>
      <c r="B443" s="189"/>
      <c r="C443" s="189"/>
      <c r="D443" s="189"/>
      <c r="E443" s="189"/>
      <c r="F443" s="189"/>
      <c r="G443" s="189"/>
      <c r="H443" s="189"/>
      <c r="I443" s="189"/>
      <c r="J443" s="189"/>
      <c r="K443" s="189"/>
      <c r="L443" s="189"/>
      <c r="M443" s="189"/>
      <c r="N443" s="189"/>
      <c r="O443" s="189"/>
      <c r="P443" s="189"/>
      <c r="Q443" s="189"/>
      <c r="R443" s="189"/>
    </row>
    <row r="444" spans="1:18" x14ac:dyDescent="0.35">
      <c r="A444" s="189"/>
      <c r="B444" s="189"/>
      <c r="C444" s="189"/>
      <c r="D444" s="189"/>
      <c r="E444" s="189"/>
      <c r="F444" s="189"/>
      <c r="G444" s="189"/>
      <c r="H444" s="189"/>
      <c r="I444" s="189"/>
      <c r="J444" s="189"/>
      <c r="K444" s="189"/>
      <c r="L444" s="189"/>
      <c r="M444" s="189"/>
      <c r="N444" s="189"/>
      <c r="O444" s="189"/>
      <c r="P444" s="189"/>
      <c r="Q444" s="189"/>
      <c r="R444" s="189"/>
    </row>
    <row r="445" spans="1:18" x14ac:dyDescent="0.35">
      <c r="A445" s="189"/>
      <c r="B445" s="189"/>
      <c r="C445" s="189"/>
      <c r="D445" s="189"/>
      <c r="E445" s="189"/>
      <c r="F445" s="189"/>
      <c r="G445" s="189"/>
      <c r="H445" s="189"/>
      <c r="I445" s="189"/>
      <c r="J445" s="189"/>
      <c r="K445" s="189"/>
      <c r="L445" s="189"/>
      <c r="M445" s="189"/>
      <c r="N445" s="189"/>
      <c r="O445" s="189"/>
      <c r="P445" s="189"/>
      <c r="Q445" s="189"/>
      <c r="R445" s="189"/>
    </row>
    <row r="446" spans="1:18" x14ac:dyDescent="0.35">
      <c r="A446" s="189"/>
      <c r="B446" s="189"/>
      <c r="C446" s="189"/>
      <c r="D446" s="189"/>
      <c r="E446" s="189"/>
      <c r="F446" s="189"/>
      <c r="G446" s="189"/>
      <c r="H446" s="189"/>
      <c r="I446" s="189"/>
      <c r="J446" s="189"/>
      <c r="K446" s="189"/>
      <c r="L446" s="189"/>
      <c r="M446" s="189"/>
      <c r="N446" s="189"/>
      <c r="O446" s="189"/>
      <c r="P446" s="189"/>
      <c r="Q446" s="189"/>
      <c r="R446" s="189"/>
    </row>
    <row r="447" spans="1:18" x14ac:dyDescent="0.35">
      <c r="A447" s="189"/>
      <c r="B447" s="189"/>
      <c r="C447" s="189"/>
      <c r="D447" s="189"/>
      <c r="E447" s="189"/>
      <c r="F447" s="189"/>
      <c r="G447" s="189"/>
      <c r="H447" s="189"/>
      <c r="I447" s="189"/>
      <c r="J447" s="189"/>
      <c r="K447" s="189"/>
      <c r="L447" s="189"/>
      <c r="M447" s="189"/>
      <c r="N447" s="189"/>
      <c r="O447" s="189"/>
      <c r="P447" s="189"/>
      <c r="Q447" s="189"/>
      <c r="R447" s="189"/>
    </row>
    <row r="448" spans="1:18" x14ac:dyDescent="0.35">
      <c r="A448" s="189"/>
      <c r="B448" s="189"/>
      <c r="C448" s="189"/>
      <c r="D448" s="189"/>
      <c r="E448" s="189"/>
      <c r="F448" s="189"/>
      <c r="G448" s="189"/>
      <c r="H448" s="189"/>
      <c r="I448" s="189"/>
      <c r="J448" s="189"/>
      <c r="K448" s="189"/>
      <c r="L448" s="189"/>
      <c r="M448" s="189"/>
      <c r="N448" s="189"/>
      <c r="O448" s="189"/>
      <c r="P448" s="189"/>
      <c r="Q448" s="189"/>
      <c r="R448" s="189"/>
    </row>
    <row r="449" spans="1:18" x14ac:dyDescent="0.35">
      <c r="A449" s="189"/>
      <c r="B449" s="189"/>
      <c r="C449" s="189"/>
      <c r="D449" s="189"/>
      <c r="E449" s="189"/>
      <c r="F449" s="189"/>
      <c r="G449" s="189"/>
      <c r="H449" s="189"/>
      <c r="I449" s="189"/>
      <c r="J449" s="189"/>
      <c r="K449" s="189"/>
      <c r="L449" s="189"/>
      <c r="M449" s="189"/>
      <c r="N449" s="189"/>
      <c r="O449" s="189"/>
      <c r="P449" s="189"/>
      <c r="Q449" s="189"/>
      <c r="R449" s="189"/>
    </row>
    <row r="450" spans="1:18" x14ac:dyDescent="0.35">
      <c r="A450" s="189"/>
      <c r="B450" s="189"/>
      <c r="C450" s="189"/>
      <c r="D450" s="189"/>
      <c r="E450" s="189"/>
      <c r="F450" s="189"/>
      <c r="G450" s="189"/>
      <c r="H450" s="189"/>
      <c r="I450" s="189"/>
      <c r="J450" s="189"/>
      <c r="K450" s="189"/>
      <c r="L450" s="189"/>
      <c r="M450" s="189"/>
      <c r="N450" s="189"/>
      <c r="O450" s="189"/>
      <c r="P450" s="189"/>
      <c r="Q450" s="189"/>
      <c r="R450" s="189"/>
    </row>
    <row r="451" spans="1:18" x14ac:dyDescent="0.35">
      <c r="A451" s="189"/>
      <c r="B451" s="189"/>
      <c r="C451" s="189"/>
      <c r="D451" s="189"/>
      <c r="E451" s="189"/>
      <c r="F451" s="189"/>
      <c r="G451" s="189"/>
      <c r="H451" s="189"/>
      <c r="I451" s="189"/>
      <c r="J451" s="189"/>
      <c r="K451" s="189"/>
      <c r="L451" s="189"/>
      <c r="M451" s="189"/>
      <c r="N451" s="189"/>
      <c r="O451" s="189"/>
      <c r="P451" s="189"/>
      <c r="Q451" s="189"/>
      <c r="R451" s="189"/>
    </row>
    <row r="452" spans="1:18" x14ac:dyDescent="0.35">
      <c r="A452" s="189"/>
      <c r="B452" s="189"/>
      <c r="C452" s="189"/>
      <c r="D452" s="189"/>
      <c r="E452" s="189"/>
      <c r="F452" s="189"/>
      <c r="G452" s="189"/>
      <c r="H452" s="189"/>
      <c r="I452" s="189"/>
      <c r="J452" s="189"/>
      <c r="K452" s="189"/>
      <c r="L452" s="189"/>
      <c r="M452" s="189"/>
      <c r="N452" s="189"/>
      <c r="O452" s="189"/>
      <c r="P452" s="189"/>
      <c r="Q452" s="189"/>
      <c r="R452" s="189"/>
    </row>
    <row r="453" spans="1:18" x14ac:dyDescent="0.35">
      <c r="A453" s="189"/>
      <c r="B453" s="189"/>
      <c r="C453" s="189"/>
      <c r="D453" s="189"/>
      <c r="E453" s="189"/>
      <c r="F453" s="189"/>
      <c r="G453" s="189"/>
      <c r="H453" s="189"/>
      <c r="I453" s="189"/>
      <c r="J453" s="189"/>
      <c r="K453" s="189"/>
      <c r="L453" s="189"/>
      <c r="M453" s="189"/>
      <c r="N453" s="189"/>
      <c r="O453" s="189"/>
      <c r="P453" s="189"/>
      <c r="Q453" s="189"/>
      <c r="R453" s="189"/>
    </row>
    <row r="454" spans="1:18" x14ac:dyDescent="0.35">
      <c r="A454" s="189"/>
      <c r="B454" s="189"/>
      <c r="C454" s="189"/>
      <c r="D454" s="189"/>
      <c r="E454" s="189"/>
      <c r="F454" s="189"/>
      <c r="G454" s="189"/>
      <c r="H454" s="189"/>
      <c r="I454" s="189"/>
      <c r="J454" s="189"/>
      <c r="K454" s="189"/>
      <c r="L454" s="189"/>
      <c r="M454" s="189"/>
      <c r="N454" s="189"/>
      <c r="O454" s="189"/>
      <c r="P454" s="189"/>
      <c r="Q454" s="189"/>
      <c r="R454" s="189"/>
    </row>
    <row r="455" spans="1:18" x14ac:dyDescent="0.35">
      <c r="A455" s="189"/>
      <c r="B455" s="189"/>
      <c r="C455" s="189"/>
      <c r="D455" s="189"/>
      <c r="E455" s="189"/>
      <c r="F455" s="189"/>
      <c r="G455" s="189"/>
      <c r="H455" s="189"/>
      <c r="I455" s="189"/>
      <c r="J455" s="189"/>
      <c r="K455" s="189"/>
      <c r="L455" s="189"/>
      <c r="M455" s="189"/>
      <c r="N455" s="189"/>
      <c r="O455" s="189"/>
      <c r="P455" s="189"/>
      <c r="Q455" s="189"/>
      <c r="R455" s="189"/>
    </row>
    <row r="456" spans="1:18" x14ac:dyDescent="0.35">
      <c r="A456" s="189"/>
      <c r="B456" s="189"/>
      <c r="C456" s="189"/>
      <c r="D456" s="189"/>
      <c r="E456" s="189"/>
      <c r="F456" s="189"/>
      <c r="G456" s="189"/>
      <c r="H456" s="189"/>
      <c r="I456" s="189"/>
      <c r="J456" s="189"/>
      <c r="K456" s="189"/>
      <c r="L456" s="189"/>
      <c r="M456" s="189"/>
      <c r="N456" s="189"/>
      <c r="O456" s="189"/>
      <c r="P456" s="189"/>
      <c r="Q456" s="189"/>
      <c r="R456" s="189"/>
    </row>
    <row r="457" spans="1:18" x14ac:dyDescent="0.35">
      <c r="A457" s="189"/>
      <c r="B457" s="189"/>
      <c r="C457" s="189"/>
      <c r="D457" s="189"/>
      <c r="E457" s="189"/>
      <c r="F457" s="189"/>
      <c r="G457" s="189"/>
      <c r="H457" s="189"/>
      <c r="I457" s="189"/>
      <c r="J457" s="189"/>
      <c r="K457" s="189"/>
      <c r="L457" s="189"/>
      <c r="M457" s="189"/>
      <c r="N457" s="189"/>
      <c r="O457" s="189"/>
      <c r="P457" s="189"/>
      <c r="Q457" s="189"/>
      <c r="R457" s="189"/>
    </row>
    <row r="458" spans="1:18" x14ac:dyDescent="0.35">
      <c r="A458" s="189"/>
      <c r="B458" s="189"/>
      <c r="C458" s="189"/>
      <c r="D458" s="189"/>
      <c r="E458" s="189"/>
      <c r="F458" s="189"/>
      <c r="G458" s="189"/>
      <c r="H458" s="189"/>
      <c r="I458" s="189"/>
      <c r="J458" s="189"/>
      <c r="K458" s="189"/>
      <c r="L458" s="189"/>
      <c r="M458" s="189"/>
      <c r="N458" s="189"/>
      <c r="O458" s="189"/>
      <c r="P458" s="189"/>
      <c r="Q458" s="189"/>
      <c r="R458" s="189"/>
    </row>
    <row r="459" spans="1:18" x14ac:dyDescent="0.35">
      <c r="A459" s="189"/>
      <c r="B459" s="189"/>
      <c r="C459" s="189"/>
      <c r="D459" s="189"/>
      <c r="E459" s="189"/>
      <c r="F459" s="189"/>
      <c r="G459" s="189"/>
      <c r="H459" s="189"/>
      <c r="I459" s="189"/>
      <c r="J459" s="189"/>
      <c r="K459" s="189"/>
      <c r="L459" s="189"/>
      <c r="M459" s="189"/>
      <c r="N459" s="189"/>
      <c r="O459" s="189"/>
      <c r="P459" s="189"/>
      <c r="Q459" s="189"/>
      <c r="R459" s="189"/>
    </row>
    <row r="460" spans="1:18" x14ac:dyDescent="0.35">
      <c r="A460" s="189"/>
      <c r="B460" s="189"/>
      <c r="C460" s="189"/>
      <c r="D460" s="189"/>
      <c r="E460" s="189"/>
      <c r="F460" s="189"/>
      <c r="G460" s="189"/>
      <c r="H460" s="189"/>
      <c r="I460" s="189"/>
      <c r="J460" s="189"/>
      <c r="K460" s="189"/>
      <c r="L460" s="189"/>
      <c r="M460" s="189"/>
      <c r="N460" s="189"/>
      <c r="O460" s="189"/>
      <c r="P460" s="189"/>
      <c r="Q460" s="189"/>
      <c r="R460" s="189"/>
    </row>
    <row r="461" spans="1:18" x14ac:dyDescent="0.35">
      <c r="A461" s="189"/>
      <c r="B461" s="189"/>
      <c r="C461" s="189"/>
      <c r="D461" s="189"/>
      <c r="E461" s="189"/>
      <c r="F461" s="189"/>
      <c r="G461" s="189"/>
      <c r="H461" s="189"/>
      <c r="I461" s="189"/>
      <c r="J461" s="189"/>
      <c r="K461" s="189"/>
      <c r="L461" s="189"/>
      <c r="M461" s="189"/>
      <c r="N461" s="189"/>
      <c r="O461" s="189"/>
      <c r="P461" s="189"/>
      <c r="Q461" s="189"/>
      <c r="R461" s="189"/>
    </row>
    <row r="462" spans="1:18" x14ac:dyDescent="0.35">
      <c r="A462" s="189"/>
      <c r="B462" s="189"/>
      <c r="C462" s="189"/>
      <c r="D462" s="189"/>
      <c r="E462" s="189"/>
      <c r="F462" s="189"/>
      <c r="G462" s="189"/>
      <c r="H462" s="189"/>
      <c r="I462" s="189"/>
      <c r="J462" s="189"/>
      <c r="K462" s="189"/>
      <c r="L462" s="189"/>
      <c r="M462" s="189"/>
      <c r="N462" s="189"/>
      <c r="O462" s="189"/>
      <c r="P462" s="189"/>
      <c r="Q462" s="189"/>
      <c r="R462" s="189"/>
    </row>
    <row r="463" spans="1:18" x14ac:dyDescent="0.35">
      <c r="A463" s="189"/>
      <c r="B463" s="189"/>
      <c r="C463" s="189"/>
      <c r="D463" s="189"/>
      <c r="E463" s="189"/>
      <c r="F463" s="189"/>
      <c r="G463" s="189"/>
      <c r="H463" s="189"/>
      <c r="I463" s="189"/>
      <c r="J463" s="189"/>
      <c r="K463" s="189"/>
      <c r="L463" s="189"/>
      <c r="M463" s="189"/>
      <c r="N463" s="189"/>
      <c r="O463" s="189"/>
      <c r="P463" s="189"/>
      <c r="Q463" s="189"/>
      <c r="R463" s="189"/>
    </row>
    <row r="464" spans="1:18" x14ac:dyDescent="0.35">
      <c r="A464" s="189"/>
      <c r="B464" s="189"/>
      <c r="C464" s="189"/>
      <c r="D464" s="189"/>
      <c r="E464" s="189"/>
      <c r="F464" s="189"/>
      <c r="G464" s="189"/>
      <c r="H464" s="189"/>
      <c r="I464" s="189"/>
      <c r="J464" s="189"/>
      <c r="K464" s="189"/>
      <c r="L464" s="189"/>
      <c r="M464" s="189"/>
      <c r="N464" s="189"/>
      <c r="O464" s="189"/>
      <c r="P464" s="189"/>
      <c r="Q464" s="189"/>
      <c r="R464" s="189"/>
    </row>
    <row r="465" spans="1:18" x14ac:dyDescent="0.35">
      <c r="A465" s="189"/>
      <c r="B465" s="189"/>
      <c r="C465" s="189"/>
      <c r="D465" s="189"/>
      <c r="E465" s="189"/>
      <c r="F465" s="189"/>
      <c r="G465" s="189"/>
      <c r="H465" s="189"/>
      <c r="I465" s="189"/>
      <c r="J465" s="189"/>
      <c r="K465" s="189"/>
      <c r="L465" s="189"/>
      <c r="M465" s="189"/>
      <c r="N465" s="189"/>
      <c r="O465" s="189"/>
      <c r="P465" s="189"/>
      <c r="Q465" s="189"/>
      <c r="R465" s="189"/>
    </row>
    <row r="466" spans="1:18" x14ac:dyDescent="0.35">
      <c r="A466" s="189"/>
      <c r="B466" s="189"/>
      <c r="C466" s="189"/>
      <c r="D466" s="189"/>
      <c r="E466" s="189"/>
      <c r="F466" s="189"/>
      <c r="G466" s="189"/>
      <c r="H466" s="189"/>
      <c r="I466" s="189"/>
      <c r="J466" s="189"/>
      <c r="K466" s="189"/>
      <c r="L466" s="189"/>
      <c r="M466" s="189"/>
      <c r="N466" s="189"/>
      <c r="O466" s="189"/>
      <c r="P466" s="189"/>
      <c r="Q466" s="189"/>
      <c r="R466" s="189"/>
    </row>
    <row r="467" spans="1:18" x14ac:dyDescent="0.35">
      <c r="A467" s="189"/>
      <c r="B467" s="189"/>
      <c r="C467" s="189"/>
      <c r="D467" s="189"/>
      <c r="E467" s="189"/>
      <c r="F467" s="189"/>
      <c r="G467" s="189"/>
      <c r="H467" s="189"/>
      <c r="I467" s="189"/>
      <c r="J467" s="189"/>
      <c r="K467" s="189"/>
      <c r="L467" s="189"/>
      <c r="M467" s="189"/>
      <c r="N467" s="189"/>
      <c r="O467" s="189"/>
      <c r="P467" s="189"/>
      <c r="Q467" s="189"/>
      <c r="R467" s="189"/>
    </row>
    <row r="468" spans="1:18" x14ac:dyDescent="0.35">
      <c r="A468" s="189"/>
      <c r="B468" s="189"/>
      <c r="C468" s="189"/>
      <c r="D468" s="189"/>
      <c r="E468" s="189"/>
      <c r="F468" s="189"/>
      <c r="G468" s="189"/>
      <c r="H468" s="189"/>
      <c r="I468" s="189"/>
      <c r="J468" s="189"/>
      <c r="K468" s="189"/>
      <c r="L468" s="189"/>
      <c r="M468" s="189"/>
      <c r="N468" s="189"/>
      <c r="O468" s="189"/>
      <c r="P468" s="189"/>
      <c r="Q468" s="189"/>
      <c r="R468" s="189"/>
    </row>
    <row r="469" spans="1:18" x14ac:dyDescent="0.35">
      <c r="A469" s="189"/>
      <c r="B469" s="189"/>
      <c r="C469" s="189"/>
      <c r="D469" s="189"/>
      <c r="E469" s="189"/>
      <c r="F469" s="189"/>
      <c r="G469" s="189"/>
      <c r="H469" s="189"/>
      <c r="I469" s="189"/>
      <c r="J469" s="189"/>
      <c r="K469" s="189"/>
      <c r="L469" s="189"/>
      <c r="M469" s="189"/>
      <c r="N469" s="189"/>
      <c r="O469" s="189"/>
      <c r="P469" s="189"/>
      <c r="Q469" s="189"/>
      <c r="R469" s="189"/>
    </row>
    <row r="470" spans="1:18" x14ac:dyDescent="0.35">
      <c r="A470" s="189"/>
      <c r="B470" s="189"/>
      <c r="C470" s="189"/>
      <c r="D470" s="189"/>
      <c r="E470" s="189"/>
      <c r="F470" s="189"/>
      <c r="G470" s="189"/>
      <c r="H470" s="189"/>
      <c r="I470" s="189"/>
      <c r="J470" s="189"/>
      <c r="K470" s="189"/>
      <c r="L470" s="189"/>
      <c r="M470" s="189"/>
      <c r="N470" s="189"/>
      <c r="O470" s="189"/>
      <c r="P470" s="189"/>
      <c r="Q470" s="189"/>
      <c r="R470" s="189"/>
    </row>
    <row r="471" spans="1:18" x14ac:dyDescent="0.35">
      <c r="A471" s="189"/>
      <c r="B471" s="189"/>
      <c r="C471" s="189"/>
      <c r="D471" s="189"/>
      <c r="E471" s="189"/>
      <c r="F471" s="189"/>
      <c r="G471" s="189"/>
      <c r="H471" s="189"/>
      <c r="I471" s="189"/>
      <c r="J471" s="189"/>
      <c r="K471" s="189"/>
      <c r="L471" s="189"/>
      <c r="M471" s="189"/>
      <c r="N471" s="189"/>
      <c r="O471" s="189"/>
      <c r="P471" s="189"/>
      <c r="Q471" s="189"/>
      <c r="R471" s="189"/>
    </row>
    <row r="472" spans="1:18" x14ac:dyDescent="0.35">
      <c r="A472" s="189"/>
      <c r="B472" s="189"/>
      <c r="C472" s="189"/>
      <c r="D472" s="189"/>
      <c r="E472" s="189"/>
      <c r="F472" s="189"/>
      <c r="G472" s="189"/>
      <c r="H472" s="189"/>
      <c r="I472" s="189"/>
      <c r="J472" s="189"/>
      <c r="K472" s="189"/>
      <c r="L472" s="189"/>
      <c r="M472" s="189"/>
      <c r="N472" s="189"/>
      <c r="O472" s="189"/>
      <c r="P472" s="189"/>
      <c r="Q472" s="189"/>
      <c r="R472" s="189"/>
    </row>
    <row r="473" spans="1:18" x14ac:dyDescent="0.35">
      <c r="A473" s="189"/>
      <c r="B473" s="189"/>
      <c r="C473" s="189"/>
      <c r="D473" s="189"/>
      <c r="E473" s="189"/>
      <c r="F473" s="189"/>
      <c r="G473" s="189"/>
      <c r="H473" s="189"/>
      <c r="I473" s="189"/>
      <c r="J473" s="189"/>
      <c r="K473" s="189"/>
      <c r="L473" s="189"/>
      <c r="M473" s="189"/>
      <c r="N473" s="189"/>
      <c r="O473" s="189"/>
      <c r="P473" s="189"/>
      <c r="Q473" s="189"/>
      <c r="R473" s="189"/>
    </row>
    <row r="474" spans="1:18" x14ac:dyDescent="0.35">
      <c r="A474" s="189"/>
      <c r="B474" s="189"/>
      <c r="C474" s="189"/>
      <c r="D474" s="189"/>
      <c r="E474" s="189"/>
      <c r="F474" s="189"/>
      <c r="G474" s="189"/>
      <c r="H474" s="189"/>
      <c r="I474" s="189"/>
      <c r="J474" s="189"/>
      <c r="K474" s="189"/>
      <c r="L474" s="189"/>
      <c r="M474" s="189"/>
      <c r="N474" s="189"/>
      <c r="O474" s="189"/>
      <c r="P474" s="189"/>
      <c r="Q474" s="189"/>
      <c r="R474" s="189"/>
    </row>
    <row r="475" spans="1:18" x14ac:dyDescent="0.35">
      <c r="A475" s="189"/>
      <c r="B475" s="189"/>
      <c r="C475" s="189"/>
      <c r="D475" s="189"/>
      <c r="E475" s="189"/>
      <c r="F475" s="189"/>
      <c r="G475" s="189"/>
      <c r="H475" s="189"/>
      <c r="I475" s="189"/>
      <c r="J475" s="189"/>
      <c r="K475" s="189"/>
      <c r="L475" s="189"/>
      <c r="M475" s="189"/>
      <c r="N475" s="189"/>
      <c r="O475" s="189"/>
      <c r="P475" s="189"/>
      <c r="Q475" s="189"/>
      <c r="R475" s="189"/>
    </row>
    <row r="476" spans="1:18" x14ac:dyDescent="0.35">
      <c r="A476" s="189"/>
      <c r="B476" s="189"/>
      <c r="C476" s="189"/>
      <c r="D476" s="189"/>
      <c r="E476" s="189"/>
      <c r="F476" s="189"/>
      <c r="G476" s="189"/>
      <c r="H476" s="189"/>
      <c r="I476" s="189"/>
      <c r="J476" s="189"/>
      <c r="K476" s="189"/>
      <c r="L476" s="189"/>
      <c r="M476" s="189"/>
      <c r="N476" s="189"/>
      <c r="O476" s="189"/>
      <c r="P476" s="189"/>
      <c r="Q476" s="189"/>
      <c r="R476" s="189"/>
    </row>
    <row r="477" spans="1:18" x14ac:dyDescent="0.35">
      <c r="A477" s="189"/>
      <c r="B477" s="189"/>
      <c r="C477" s="189"/>
      <c r="D477" s="189"/>
      <c r="E477" s="189"/>
      <c r="F477" s="189"/>
      <c r="G477" s="189"/>
      <c r="H477" s="189"/>
      <c r="I477" s="189"/>
      <c r="J477" s="189"/>
      <c r="K477" s="189"/>
      <c r="L477" s="189"/>
      <c r="M477" s="189"/>
      <c r="N477" s="189"/>
      <c r="O477" s="189"/>
      <c r="P477" s="189"/>
      <c r="Q477" s="189"/>
      <c r="R477" s="189"/>
    </row>
    <row r="478" spans="1:18" x14ac:dyDescent="0.35">
      <c r="A478" s="189"/>
      <c r="B478" s="189"/>
      <c r="C478" s="189"/>
      <c r="D478" s="189"/>
      <c r="E478" s="189"/>
      <c r="F478" s="189"/>
      <c r="G478" s="189"/>
      <c r="H478" s="189"/>
      <c r="I478" s="189"/>
      <c r="J478" s="189"/>
      <c r="K478" s="189"/>
      <c r="L478" s="189"/>
      <c r="M478" s="189"/>
      <c r="N478" s="189"/>
      <c r="O478" s="189"/>
      <c r="P478" s="189"/>
      <c r="Q478" s="189"/>
      <c r="R478" s="189"/>
    </row>
    <row r="479" spans="1:18" x14ac:dyDescent="0.35">
      <c r="A479" s="189"/>
      <c r="B479" s="189"/>
      <c r="C479" s="189"/>
      <c r="D479" s="189"/>
      <c r="E479" s="189"/>
      <c r="F479" s="189"/>
      <c r="G479" s="189"/>
      <c r="H479" s="189"/>
      <c r="I479" s="189"/>
      <c r="J479" s="189"/>
      <c r="K479" s="189"/>
      <c r="L479" s="189"/>
      <c r="M479" s="189"/>
      <c r="N479" s="189"/>
      <c r="O479" s="189"/>
      <c r="P479" s="189"/>
      <c r="Q479" s="189"/>
      <c r="R479" s="189"/>
    </row>
    <row r="480" spans="1:18" x14ac:dyDescent="0.35">
      <c r="A480" s="189"/>
      <c r="B480" s="189"/>
      <c r="C480" s="189"/>
      <c r="D480" s="189"/>
      <c r="E480" s="189"/>
      <c r="F480" s="189"/>
      <c r="G480" s="189"/>
      <c r="H480" s="189"/>
      <c r="I480" s="189"/>
      <c r="J480" s="189"/>
      <c r="K480" s="189"/>
      <c r="L480" s="189"/>
      <c r="M480" s="189"/>
      <c r="N480" s="189"/>
      <c r="O480" s="189"/>
      <c r="P480" s="189"/>
      <c r="Q480" s="189"/>
      <c r="R480" s="189"/>
    </row>
    <row r="481" spans="1:18" x14ac:dyDescent="0.35">
      <c r="A481" s="189"/>
      <c r="B481" s="189"/>
      <c r="C481" s="189"/>
      <c r="D481" s="189"/>
      <c r="E481" s="189"/>
      <c r="F481" s="189"/>
      <c r="G481" s="189"/>
      <c r="H481" s="189"/>
      <c r="I481" s="189"/>
      <c r="J481" s="189"/>
      <c r="K481" s="189"/>
      <c r="L481" s="189"/>
      <c r="M481" s="189"/>
      <c r="N481" s="189"/>
      <c r="O481" s="189"/>
      <c r="P481" s="189"/>
      <c r="Q481" s="189"/>
      <c r="R481" s="189"/>
    </row>
    <row r="482" spans="1:18" x14ac:dyDescent="0.35">
      <c r="A482" s="189"/>
      <c r="B482" s="189"/>
      <c r="C482" s="189"/>
      <c r="D482" s="189"/>
      <c r="E482" s="189"/>
      <c r="F482" s="189"/>
      <c r="G482" s="189"/>
      <c r="H482" s="189"/>
      <c r="I482" s="189"/>
      <c r="J482" s="189"/>
      <c r="K482" s="189"/>
      <c r="L482" s="189"/>
      <c r="M482" s="189"/>
      <c r="N482" s="189"/>
      <c r="O482" s="189"/>
      <c r="P482" s="189"/>
      <c r="Q482" s="189"/>
      <c r="R482" s="189"/>
    </row>
    <row r="483" spans="1:18" x14ac:dyDescent="0.35">
      <c r="A483" s="189"/>
      <c r="B483" s="189"/>
      <c r="C483" s="189"/>
      <c r="D483" s="189"/>
      <c r="E483" s="189"/>
      <c r="F483" s="189"/>
      <c r="G483" s="189"/>
      <c r="H483" s="189"/>
      <c r="I483" s="189"/>
      <c r="J483" s="189"/>
      <c r="K483" s="189"/>
      <c r="L483" s="189"/>
      <c r="M483" s="189"/>
      <c r="N483" s="189"/>
      <c r="O483" s="189"/>
      <c r="P483" s="189"/>
      <c r="Q483" s="189"/>
      <c r="R483" s="189"/>
    </row>
    <row r="484" spans="1:18" x14ac:dyDescent="0.35">
      <c r="A484" s="189"/>
      <c r="B484" s="189"/>
      <c r="C484" s="189"/>
      <c r="D484" s="189"/>
      <c r="E484" s="189"/>
      <c r="F484" s="189"/>
      <c r="G484" s="189"/>
      <c r="H484" s="189"/>
      <c r="I484" s="189"/>
      <c r="J484" s="189"/>
      <c r="K484" s="189"/>
      <c r="L484" s="189"/>
      <c r="M484" s="189"/>
      <c r="N484" s="189"/>
      <c r="O484" s="189"/>
      <c r="P484" s="189"/>
      <c r="Q484" s="189"/>
      <c r="R484" s="189"/>
    </row>
    <row r="485" spans="1:18" x14ac:dyDescent="0.35">
      <c r="A485" s="189"/>
      <c r="B485" s="189"/>
      <c r="C485" s="189"/>
      <c r="D485" s="189"/>
      <c r="E485" s="189"/>
      <c r="F485" s="189"/>
      <c r="G485" s="189"/>
      <c r="H485" s="189"/>
      <c r="I485" s="189"/>
      <c r="J485" s="189"/>
      <c r="K485" s="189"/>
      <c r="L485" s="189"/>
      <c r="M485" s="189"/>
      <c r="N485" s="189"/>
      <c r="O485" s="189"/>
      <c r="P485" s="189"/>
      <c r="Q485" s="189"/>
      <c r="R485" s="189"/>
    </row>
    <row r="486" spans="1:18" x14ac:dyDescent="0.35">
      <c r="A486" s="189"/>
      <c r="B486" s="189"/>
      <c r="C486" s="189"/>
      <c r="D486" s="189"/>
      <c r="E486" s="189"/>
      <c r="F486" s="189"/>
      <c r="G486" s="189"/>
      <c r="H486" s="189"/>
      <c r="I486" s="189"/>
      <c r="J486" s="189"/>
      <c r="K486" s="189"/>
      <c r="L486" s="189"/>
      <c r="M486" s="189"/>
      <c r="N486" s="189"/>
      <c r="O486" s="189"/>
      <c r="P486" s="189"/>
      <c r="Q486" s="189"/>
      <c r="R486" s="189"/>
    </row>
    <row r="487" spans="1:18" x14ac:dyDescent="0.35">
      <c r="A487" s="189"/>
      <c r="B487" s="189"/>
      <c r="C487" s="189"/>
      <c r="D487" s="189"/>
      <c r="E487" s="189"/>
      <c r="F487" s="189"/>
      <c r="G487" s="189"/>
      <c r="H487" s="189"/>
      <c r="I487" s="189"/>
      <c r="J487" s="189"/>
      <c r="K487" s="189"/>
      <c r="L487" s="189"/>
      <c r="M487" s="189"/>
      <c r="N487" s="189"/>
      <c r="O487" s="189"/>
      <c r="P487" s="189"/>
      <c r="Q487" s="189"/>
      <c r="R487" s="189"/>
    </row>
    <row r="488" spans="1:18" x14ac:dyDescent="0.35">
      <c r="A488" s="189"/>
      <c r="B488" s="189"/>
      <c r="C488" s="189"/>
      <c r="D488" s="189"/>
      <c r="E488" s="189"/>
      <c r="F488" s="189"/>
      <c r="G488" s="189"/>
      <c r="H488" s="189"/>
      <c r="I488" s="189"/>
      <c r="J488" s="189"/>
      <c r="K488" s="189"/>
      <c r="L488" s="189"/>
      <c r="M488" s="189"/>
      <c r="N488" s="189"/>
      <c r="O488" s="189"/>
      <c r="P488" s="189"/>
      <c r="Q488" s="189"/>
      <c r="R488" s="189"/>
    </row>
    <row r="489" spans="1:18" x14ac:dyDescent="0.35">
      <c r="A489" s="189"/>
      <c r="B489" s="189"/>
      <c r="C489" s="189"/>
      <c r="D489" s="189"/>
      <c r="E489" s="189"/>
      <c r="F489" s="189"/>
      <c r="G489" s="189"/>
      <c r="H489" s="189"/>
      <c r="I489" s="189"/>
      <c r="J489" s="189"/>
      <c r="K489" s="189"/>
      <c r="L489" s="189"/>
      <c r="M489" s="189"/>
      <c r="N489" s="189"/>
      <c r="O489" s="189"/>
      <c r="P489" s="189"/>
      <c r="Q489" s="189"/>
      <c r="R489" s="189"/>
    </row>
    <row r="490" spans="1:18" x14ac:dyDescent="0.35">
      <c r="A490" s="189"/>
      <c r="B490" s="189"/>
      <c r="C490" s="189"/>
      <c r="D490" s="189"/>
      <c r="E490" s="189"/>
      <c r="F490" s="189"/>
      <c r="G490" s="189"/>
      <c r="H490" s="189"/>
      <c r="I490" s="189"/>
      <c r="J490" s="189"/>
      <c r="K490" s="189"/>
      <c r="L490" s="189"/>
      <c r="M490" s="189"/>
      <c r="N490" s="189"/>
      <c r="O490" s="189"/>
      <c r="P490" s="189"/>
      <c r="Q490" s="189"/>
      <c r="R490" s="189"/>
    </row>
    <row r="491" spans="1:18" x14ac:dyDescent="0.35">
      <c r="A491" s="189"/>
      <c r="B491" s="189"/>
      <c r="C491" s="189"/>
      <c r="D491" s="189"/>
      <c r="E491" s="189"/>
      <c r="F491" s="189"/>
      <c r="G491" s="189"/>
      <c r="H491" s="189"/>
      <c r="I491" s="189"/>
      <c r="J491" s="189"/>
      <c r="K491" s="189"/>
      <c r="L491" s="189"/>
      <c r="M491" s="189"/>
      <c r="N491" s="189"/>
      <c r="O491" s="189"/>
      <c r="P491" s="189"/>
      <c r="Q491" s="189"/>
      <c r="R491" s="189"/>
    </row>
    <row r="492" spans="1:18" x14ac:dyDescent="0.35">
      <c r="A492" s="189"/>
      <c r="B492" s="189"/>
      <c r="C492" s="189"/>
      <c r="D492" s="189"/>
      <c r="E492" s="189"/>
      <c r="F492" s="189"/>
      <c r="G492" s="189"/>
      <c r="H492" s="189"/>
      <c r="I492" s="189"/>
      <c r="J492" s="189"/>
      <c r="K492" s="189"/>
      <c r="L492" s="189"/>
      <c r="M492" s="189"/>
      <c r="N492" s="189"/>
      <c r="O492" s="189"/>
      <c r="P492" s="189"/>
      <c r="Q492" s="189"/>
      <c r="R492" s="189"/>
    </row>
    <row r="493" spans="1:18" x14ac:dyDescent="0.35">
      <c r="A493" s="189"/>
      <c r="B493" s="189"/>
      <c r="C493" s="189"/>
      <c r="D493" s="189"/>
      <c r="E493" s="189"/>
      <c r="F493" s="189"/>
      <c r="G493" s="189"/>
      <c r="H493" s="189"/>
      <c r="I493" s="189"/>
      <c r="J493" s="189"/>
      <c r="K493" s="189"/>
      <c r="L493" s="189"/>
      <c r="M493" s="189"/>
      <c r="N493" s="189"/>
      <c r="O493" s="189"/>
      <c r="P493" s="189"/>
      <c r="Q493" s="189"/>
      <c r="R493" s="189"/>
    </row>
    <row r="494" spans="1:18" x14ac:dyDescent="0.35">
      <c r="A494" s="189"/>
      <c r="B494" s="189"/>
      <c r="C494" s="189"/>
      <c r="D494" s="189"/>
      <c r="E494" s="189"/>
      <c r="F494" s="189"/>
      <c r="G494" s="189"/>
      <c r="H494" s="189"/>
      <c r="I494" s="189"/>
      <c r="J494" s="189"/>
      <c r="K494" s="189"/>
      <c r="L494" s="189"/>
      <c r="M494" s="189"/>
      <c r="N494" s="189"/>
      <c r="O494" s="189"/>
      <c r="P494" s="189"/>
      <c r="Q494" s="189"/>
      <c r="R494" s="189"/>
    </row>
    <row r="495" spans="1:18" x14ac:dyDescent="0.35">
      <c r="A495" s="189"/>
      <c r="B495" s="189"/>
      <c r="C495" s="189"/>
      <c r="D495" s="189"/>
      <c r="E495" s="189"/>
      <c r="F495" s="189"/>
      <c r="G495" s="189"/>
      <c r="H495" s="189"/>
      <c r="I495" s="189"/>
      <c r="J495" s="189"/>
      <c r="K495" s="189"/>
      <c r="L495" s="189"/>
      <c r="M495" s="189"/>
      <c r="N495" s="189"/>
      <c r="O495" s="189"/>
      <c r="P495" s="189"/>
      <c r="Q495" s="189"/>
      <c r="R495" s="189"/>
    </row>
    <row r="496" spans="1:18" x14ac:dyDescent="0.35">
      <c r="A496" s="189"/>
      <c r="B496" s="189"/>
      <c r="C496" s="189"/>
      <c r="D496" s="189"/>
      <c r="E496" s="189"/>
      <c r="F496" s="189"/>
      <c r="G496" s="189"/>
      <c r="H496" s="189"/>
      <c r="I496" s="189"/>
      <c r="J496" s="189"/>
      <c r="K496" s="189"/>
      <c r="L496" s="189"/>
      <c r="M496" s="189"/>
      <c r="N496" s="189"/>
      <c r="O496" s="189"/>
      <c r="P496" s="189"/>
      <c r="Q496" s="189"/>
      <c r="R496" s="189"/>
    </row>
    <row r="497" spans="1:18" x14ac:dyDescent="0.35">
      <c r="A497" s="189"/>
      <c r="B497" s="189"/>
      <c r="C497" s="189"/>
      <c r="D497" s="189"/>
      <c r="E497" s="189"/>
      <c r="F497" s="189"/>
      <c r="G497" s="189"/>
      <c r="H497" s="189"/>
      <c r="I497" s="189"/>
      <c r="J497" s="189"/>
      <c r="K497" s="189"/>
      <c r="L497" s="189"/>
      <c r="M497" s="189"/>
      <c r="N497" s="189"/>
      <c r="O497" s="189"/>
      <c r="P497" s="189"/>
      <c r="Q497" s="189"/>
      <c r="R497" s="189"/>
    </row>
    <row r="498" spans="1:18" x14ac:dyDescent="0.35">
      <c r="A498" s="189"/>
      <c r="B498" s="189"/>
      <c r="C498" s="189"/>
      <c r="D498" s="189"/>
      <c r="E498" s="189"/>
      <c r="F498" s="189"/>
      <c r="G498" s="189"/>
      <c r="H498" s="189"/>
      <c r="I498" s="189"/>
      <c r="J498" s="189"/>
      <c r="K498" s="189"/>
      <c r="L498" s="189"/>
      <c r="M498" s="189"/>
      <c r="N498" s="189"/>
      <c r="O498" s="189"/>
      <c r="P498" s="189"/>
      <c r="Q498" s="189"/>
      <c r="R498" s="189"/>
    </row>
    <row r="499" spans="1:18" x14ac:dyDescent="0.35">
      <c r="A499" s="189"/>
      <c r="B499" s="189"/>
      <c r="C499" s="189"/>
      <c r="D499" s="189"/>
      <c r="E499" s="189"/>
      <c r="F499" s="189"/>
      <c r="G499" s="189"/>
      <c r="H499" s="189"/>
      <c r="I499" s="189"/>
      <c r="J499" s="189"/>
      <c r="K499" s="189"/>
      <c r="L499" s="189"/>
      <c r="M499" s="189"/>
      <c r="N499" s="189"/>
      <c r="O499" s="189"/>
      <c r="P499" s="189"/>
      <c r="Q499" s="189"/>
      <c r="R499" s="189"/>
    </row>
    <row r="500" spans="1:18" x14ac:dyDescent="0.35">
      <c r="A500" s="189"/>
      <c r="B500" s="189"/>
      <c r="C500" s="189"/>
      <c r="D500" s="189"/>
      <c r="E500" s="189"/>
      <c r="F500" s="189"/>
      <c r="G500" s="189"/>
      <c r="H500" s="189"/>
      <c r="I500" s="189"/>
      <c r="J500" s="189"/>
      <c r="K500" s="189"/>
      <c r="L500" s="189"/>
      <c r="M500" s="189"/>
      <c r="N500" s="189"/>
      <c r="O500" s="189"/>
      <c r="P500" s="189"/>
      <c r="Q500" s="189"/>
      <c r="R500" s="189"/>
    </row>
    <row r="501" spans="1:18" x14ac:dyDescent="0.35">
      <c r="A501" s="189"/>
      <c r="B501" s="189"/>
      <c r="C501" s="189"/>
      <c r="D501" s="189"/>
      <c r="E501" s="189"/>
      <c r="F501" s="189"/>
      <c r="G501" s="189"/>
      <c r="H501" s="189"/>
      <c r="I501" s="189"/>
      <c r="J501" s="189"/>
      <c r="K501" s="189"/>
      <c r="L501" s="189"/>
      <c r="M501" s="189"/>
      <c r="N501" s="189"/>
      <c r="O501" s="189"/>
      <c r="P501" s="189"/>
      <c r="Q501" s="189"/>
      <c r="R501" s="189"/>
    </row>
    <row r="502" spans="1:18" x14ac:dyDescent="0.35">
      <c r="A502" s="189"/>
      <c r="B502" s="189"/>
      <c r="C502" s="189"/>
      <c r="D502" s="189"/>
      <c r="E502" s="189"/>
      <c r="F502" s="189"/>
      <c r="G502" s="189"/>
      <c r="H502" s="189"/>
      <c r="I502" s="189"/>
      <c r="J502" s="189"/>
      <c r="K502" s="189"/>
      <c r="L502" s="189"/>
      <c r="M502" s="189"/>
      <c r="N502" s="189"/>
      <c r="O502" s="189"/>
      <c r="P502" s="189"/>
      <c r="Q502" s="189"/>
      <c r="R502" s="189"/>
    </row>
    <row r="503" spans="1:18" x14ac:dyDescent="0.35">
      <c r="A503" s="189"/>
      <c r="B503" s="189"/>
      <c r="C503" s="189"/>
      <c r="D503" s="189"/>
      <c r="E503" s="189"/>
      <c r="F503" s="189"/>
      <c r="G503" s="189"/>
      <c r="H503" s="189"/>
      <c r="I503" s="189"/>
      <c r="J503" s="189"/>
      <c r="K503" s="189"/>
      <c r="L503" s="189"/>
      <c r="M503" s="189"/>
      <c r="N503" s="189"/>
      <c r="O503" s="189"/>
      <c r="P503" s="189"/>
      <c r="Q503" s="189"/>
      <c r="R503" s="189"/>
    </row>
    <row r="504" spans="1:18" x14ac:dyDescent="0.35">
      <c r="A504" s="189"/>
      <c r="B504" s="189"/>
      <c r="C504" s="189"/>
      <c r="D504" s="189"/>
      <c r="E504" s="189"/>
      <c r="F504" s="189"/>
      <c r="G504" s="189"/>
      <c r="H504" s="189"/>
      <c r="I504" s="189"/>
      <c r="J504" s="189"/>
      <c r="K504" s="189"/>
      <c r="L504" s="189"/>
      <c r="M504" s="189"/>
      <c r="N504" s="189"/>
      <c r="O504" s="189"/>
      <c r="P504" s="189"/>
      <c r="Q504" s="189"/>
      <c r="R504" s="189"/>
    </row>
    <row r="505" spans="1:18" x14ac:dyDescent="0.35">
      <c r="A505" s="189"/>
      <c r="B505" s="189"/>
      <c r="C505" s="189"/>
      <c r="D505" s="189"/>
      <c r="E505" s="189"/>
      <c r="F505" s="189"/>
      <c r="G505" s="189"/>
      <c r="H505" s="189"/>
      <c r="I505" s="189"/>
      <c r="J505" s="189"/>
      <c r="K505" s="189"/>
      <c r="L505" s="189"/>
      <c r="M505" s="189"/>
      <c r="N505" s="189"/>
      <c r="O505" s="189"/>
      <c r="P505" s="189"/>
      <c r="Q505" s="189"/>
      <c r="R505" s="189"/>
    </row>
    <row r="506" spans="1:18" x14ac:dyDescent="0.35">
      <c r="A506" s="189"/>
      <c r="B506" s="189"/>
      <c r="C506" s="189"/>
      <c r="D506" s="189"/>
      <c r="E506" s="189"/>
      <c r="F506" s="189"/>
      <c r="G506" s="189"/>
      <c r="H506" s="189"/>
      <c r="I506" s="189"/>
      <c r="J506" s="189"/>
      <c r="K506" s="189"/>
      <c r="L506" s="189"/>
      <c r="M506" s="189"/>
      <c r="N506" s="189"/>
      <c r="O506" s="189"/>
      <c r="P506" s="189"/>
      <c r="Q506" s="189"/>
      <c r="R506" s="189"/>
    </row>
    <row r="507" spans="1:18" x14ac:dyDescent="0.35">
      <c r="A507" s="189"/>
      <c r="B507" s="189"/>
      <c r="C507" s="189"/>
      <c r="D507" s="189"/>
      <c r="E507" s="189"/>
      <c r="F507" s="189"/>
      <c r="G507" s="189"/>
      <c r="H507" s="189"/>
      <c r="I507" s="189"/>
      <c r="J507" s="189"/>
      <c r="K507" s="189"/>
      <c r="L507" s="189"/>
      <c r="M507" s="189"/>
      <c r="N507" s="189"/>
      <c r="O507" s="189"/>
      <c r="P507" s="189"/>
      <c r="Q507" s="189"/>
      <c r="R507" s="189"/>
    </row>
    <row r="508" spans="1:18" x14ac:dyDescent="0.35">
      <c r="A508" s="189"/>
      <c r="B508" s="189"/>
      <c r="C508" s="189"/>
      <c r="D508" s="189"/>
      <c r="E508" s="189"/>
      <c r="F508" s="189"/>
      <c r="G508" s="189"/>
      <c r="H508" s="189"/>
      <c r="I508" s="189"/>
      <c r="J508" s="189"/>
      <c r="K508" s="189"/>
      <c r="L508" s="189"/>
      <c r="M508" s="189"/>
      <c r="N508" s="189"/>
      <c r="O508" s="189"/>
      <c r="P508" s="189"/>
      <c r="Q508" s="189"/>
      <c r="R508" s="189"/>
    </row>
    <row r="509" spans="1:18" x14ac:dyDescent="0.35">
      <c r="A509" s="189"/>
      <c r="B509" s="189"/>
      <c r="C509" s="189"/>
      <c r="D509" s="189"/>
      <c r="E509" s="189"/>
      <c r="F509" s="189"/>
      <c r="G509" s="189"/>
      <c r="H509" s="189"/>
      <c r="I509" s="189"/>
      <c r="J509" s="189"/>
      <c r="K509" s="189"/>
      <c r="L509" s="189"/>
      <c r="M509" s="189"/>
      <c r="N509" s="189"/>
      <c r="O509" s="189"/>
      <c r="P509" s="189"/>
      <c r="Q509" s="189"/>
      <c r="R509" s="189"/>
    </row>
    <row r="510" spans="1:18" x14ac:dyDescent="0.35">
      <c r="A510" s="189"/>
      <c r="B510" s="189"/>
      <c r="C510" s="189"/>
      <c r="D510" s="189"/>
      <c r="E510" s="189"/>
      <c r="F510" s="189"/>
      <c r="G510" s="189"/>
      <c r="H510" s="189"/>
      <c r="I510" s="189"/>
      <c r="J510" s="189"/>
      <c r="K510" s="189"/>
      <c r="L510" s="189"/>
      <c r="M510" s="189"/>
      <c r="N510" s="189"/>
      <c r="O510" s="189"/>
      <c r="P510" s="189"/>
      <c r="Q510" s="189"/>
      <c r="R510" s="189"/>
    </row>
    <row r="511" spans="1:18" x14ac:dyDescent="0.35">
      <c r="A511" s="189"/>
      <c r="B511" s="189"/>
      <c r="C511" s="189"/>
      <c r="D511" s="189"/>
      <c r="E511" s="189"/>
      <c r="F511" s="189"/>
      <c r="G511" s="189"/>
      <c r="H511" s="189"/>
      <c r="I511" s="189"/>
      <c r="J511" s="189"/>
      <c r="K511" s="189"/>
      <c r="L511" s="189"/>
      <c r="M511" s="189"/>
      <c r="N511" s="189"/>
      <c r="O511" s="189"/>
      <c r="P511" s="189"/>
      <c r="Q511" s="189"/>
      <c r="R511" s="189"/>
    </row>
    <row r="512" spans="1:18" x14ac:dyDescent="0.35">
      <c r="A512" s="189"/>
      <c r="B512" s="189"/>
      <c r="C512" s="189"/>
      <c r="D512" s="189"/>
      <c r="E512" s="189"/>
      <c r="F512" s="189"/>
      <c r="G512" s="189"/>
      <c r="H512" s="189"/>
      <c r="I512" s="189"/>
      <c r="J512" s="189"/>
      <c r="K512" s="189"/>
      <c r="L512" s="189"/>
      <c r="M512" s="189"/>
      <c r="N512" s="189"/>
      <c r="O512" s="189"/>
      <c r="P512" s="189"/>
      <c r="Q512" s="189"/>
      <c r="R512" s="189"/>
    </row>
    <row r="513" spans="1:18" x14ac:dyDescent="0.35">
      <c r="A513" s="189"/>
      <c r="B513" s="189"/>
      <c r="C513" s="189"/>
      <c r="D513" s="189"/>
      <c r="E513" s="189"/>
      <c r="F513" s="189"/>
      <c r="G513" s="189"/>
      <c r="H513" s="189"/>
      <c r="I513" s="189"/>
      <c r="J513" s="189"/>
      <c r="K513" s="189"/>
      <c r="L513" s="189"/>
      <c r="M513" s="189"/>
      <c r="N513" s="189"/>
      <c r="O513" s="189"/>
      <c r="P513" s="189"/>
      <c r="Q513" s="189"/>
      <c r="R513" s="189"/>
    </row>
    <row r="514" spans="1:18" x14ac:dyDescent="0.35">
      <c r="A514" s="189"/>
      <c r="B514" s="189"/>
      <c r="C514" s="189"/>
      <c r="D514" s="189"/>
      <c r="E514" s="189"/>
      <c r="F514" s="189"/>
      <c r="G514" s="189"/>
      <c r="H514" s="189"/>
      <c r="I514" s="189"/>
      <c r="J514" s="189"/>
      <c r="K514" s="189"/>
      <c r="L514" s="189"/>
      <c r="M514" s="189"/>
      <c r="N514" s="189"/>
      <c r="O514" s="189"/>
      <c r="P514" s="189"/>
      <c r="Q514" s="189"/>
      <c r="R514" s="189"/>
    </row>
    <row r="515" spans="1:18" x14ac:dyDescent="0.35">
      <c r="A515" s="189"/>
      <c r="B515" s="189"/>
      <c r="C515" s="189"/>
      <c r="D515" s="189"/>
      <c r="E515" s="189"/>
      <c r="F515" s="189"/>
      <c r="G515" s="189"/>
      <c r="H515" s="189"/>
      <c r="I515" s="189"/>
      <c r="J515" s="189"/>
      <c r="K515" s="189"/>
      <c r="L515" s="189"/>
      <c r="M515" s="189"/>
      <c r="N515" s="189"/>
      <c r="O515" s="189"/>
      <c r="P515" s="189"/>
      <c r="Q515" s="189"/>
      <c r="R515" s="189"/>
    </row>
    <row r="516" spans="1:18" x14ac:dyDescent="0.35">
      <c r="A516" s="189"/>
      <c r="B516" s="189"/>
      <c r="C516" s="189"/>
      <c r="D516" s="189"/>
      <c r="E516" s="189"/>
      <c r="F516" s="189"/>
      <c r="G516" s="189"/>
      <c r="H516" s="189"/>
      <c r="I516" s="189"/>
      <c r="J516" s="189"/>
      <c r="K516" s="189"/>
      <c r="L516" s="189"/>
      <c r="M516" s="189"/>
      <c r="N516" s="189"/>
      <c r="O516" s="189"/>
      <c r="P516" s="189"/>
      <c r="Q516" s="189"/>
      <c r="R516" s="189"/>
    </row>
    <row r="517" spans="1:18" x14ac:dyDescent="0.35">
      <c r="A517" s="189"/>
      <c r="B517" s="189"/>
      <c r="C517" s="189"/>
      <c r="D517" s="189"/>
      <c r="E517" s="189"/>
      <c r="F517" s="189"/>
      <c r="G517" s="189"/>
      <c r="H517" s="189"/>
      <c r="I517" s="189"/>
      <c r="J517" s="189"/>
      <c r="K517" s="189"/>
      <c r="L517" s="189"/>
      <c r="M517" s="189"/>
      <c r="N517" s="189"/>
      <c r="O517" s="189"/>
      <c r="P517" s="189"/>
      <c r="Q517" s="189"/>
      <c r="R517" s="189"/>
    </row>
    <row r="518" spans="1:18" x14ac:dyDescent="0.35">
      <c r="A518" s="189"/>
      <c r="B518" s="189"/>
      <c r="C518" s="189"/>
      <c r="D518" s="189"/>
      <c r="E518" s="189"/>
      <c r="F518" s="189"/>
      <c r="G518" s="189"/>
      <c r="H518" s="189"/>
      <c r="I518" s="189"/>
      <c r="J518" s="189"/>
      <c r="K518" s="189"/>
      <c r="L518" s="189"/>
      <c r="M518" s="189"/>
      <c r="N518" s="189"/>
      <c r="O518" s="189"/>
      <c r="P518" s="189"/>
      <c r="Q518" s="189"/>
      <c r="R518" s="189"/>
    </row>
    <row r="519" spans="1:18" x14ac:dyDescent="0.35">
      <c r="A519" s="189"/>
      <c r="B519" s="189"/>
      <c r="C519" s="189"/>
      <c r="D519" s="189"/>
      <c r="E519" s="189"/>
      <c r="F519" s="189"/>
      <c r="G519" s="189"/>
      <c r="H519" s="189"/>
      <c r="I519" s="189"/>
      <c r="J519" s="189"/>
      <c r="K519" s="189"/>
      <c r="L519" s="189"/>
      <c r="M519" s="189"/>
      <c r="N519" s="189"/>
      <c r="O519" s="189"/>
      <c r="P519" s="189"/>
      <c r="Q519" s="189"/>
      <c r="R519" s="189"/>
    </row>
    <row r="520" spans="1:18" x14ac:dyDescent="0.35">
      <c r="A520" s="189"/>
      <c r="B520" s="189"/>
      <c r="C520" s="189"/>
      <c r="D520" s="189"/>
      <c r="E520" s="189"/>
      <c r="F520" s="189"/>
      <c r="G520" s="189"/>
      <c r="H520" s="189"/>
      <c r="I520" s="189"/>
      <c r="J520" s="189"/>
      <c r="K520" s="189"/>
      <c r="L520" s="189"/>
      <c r="M520" s="189"/>
      <c r="N520" s="189"/>
      <c r="O520" s="189"/>
      <c r="P520" s="189"/>
      <c r="Q520" s="189"/>
      <c r="R520" s="189"/>
    </row>
    <row r="521" spans="1:18" x14ac:dyDescent="0.35">
      <c r="A521" s="189"/>
      <c r="B521" s="189"/>
      <c r="C521" s="189"/>
      <c r="D521" s="189"/>
      <c r="E521" s="189"/>
      <c r="F521" s="189"/>
      <c r="G521" s="189"/>
      <c r="H521" s="189"/>
      <c r="I521" s="189"/>
      <c r="J521" s="189"/>
      <c r="K521" s="189"/>
      <c r="L521" s="189"/>
      <c r="M521" s="189"/>
      <c r="N521" s="189"/>
      <c r="O521" s="189"/>
      <c r="P521" s="189"/>
      <c r="Q521" s="189"/>
      <c r="R521" s="189"/>
    </row>
    <row r="522" spans="1:18" x14ac:dyDescent="0.35">
      <c r="A522" s="189"/>
      <c r="B522" s="189"/>
      <c r="C522" s="189"/>
      <c r="D522" s="189"/>
      <c r="E522" s="189"/>
      <c r="F522" s="189"/>
      <c r="G522" s="189"/>
      <c r="H522" s="189"/>
      <c r="I522" s="189"/>
      <c r="J522" s="189"/>
      <c r="K522" s="189"/>
      <c r="L522" s="189"/>
      <c r="M522" s="189"/>
      <c r="N522" s="189"/>
      <c r="O522" s="189"/>
      <c r="P522" s="189"/>
      <c r="Q522" s="189"/>
      <c r="R522" s="189"/>
    </row>
    <row r="523" spans="1:18" x14ac:dyDescent="0.35">
      <c r="A523" s="189"/>
      <c r="B523" s="189"/>
      <c r="C523" s="189"/>
      <c r="D523" s="189"/>
      <c r="E523" s="189"/>
      <c r="F523" s="189"/>
      <c r="G523" s="189"/>
      <c r="H523" s="189"/>
      <c r="I523" s="189"/>
      <c r="J523" s="189"/>
      <c r="K523" s="189"/>
      <c r="L523" s="189"/>
      <c r="M523" s="189"/>
      <c r="N523" s="189"/>
      <c r="O523" s="189"/>
      <c r="P523" s="189"/>
      <c r="Q523" s="189"/>
      <c r="R523" s="189"/>
    </row>
    <row r="524" spans="1:18" x14ac:dyDescent="0.35">
      <c r="A524" s="189"/>
      <c r="B524" s="189"/>
      <c r="C524" s="189"/>
      <c r="D524" s="189"/>
      <c r="E524" s="189"/>
      <c r="F524" s="189"/>
      <c r="G524" s="189"/>
      <c r="H524" s="189"/>
      <c r="I524" s="189"/>
      <c r="J524" s="189"/>
      <c r="K524" s="189"/>
      <c r="L524" s="189"/>
      <c r="M524" s="189"/>
      <c r="N524" s="189"/>
      <c r="O524" s="189"/>
      <c r="P524" s="189"/>
      <c r="Q524" s="189"/>
      <c r="R524" s="189"/>
    </row>
    <row r="525" spans="1:18" x14ac:dyDescent="0.35">
      <c r="A525" s="189"/>
      <c r="B525" s="189"/>
      <c r="C525" s="189"/>
      <c r="D525" s="189"/>
      <c r="E525" s="189"/>
      <c r="F525" s="189"/>
      <c r="G525" s="189"/>
      <c r="H525" s="189"/>
      <c r="I525" s="189"/>
      <c r="J525" s="189"/>
      <c r="K525" s="189"/>
      <c r="L525" s="189"/>
      <c r="M525" s="189"/>
      <c r="N525" s="189"/>
      <c r="O525" s="189"/>
      <c r="P525" s="189"/>
      <c r="Q525" s="189"/>
      <c r="R525" s="189"/>
    </row>
    <row r="526" spans="1:18" x14ac:dyDescent="0.35">
      <c r="A526" s="189"/>
      <c r="B526" s="189"/>
      <c r="C526" s="189"/>
      <c r="D526" s="189"/>
      <c r="E526" s="189"/>
      <c r="F526" s="189"/>
      <c r="G526" s="189"/>
      <c r="H526" s="189"/>
      <c r="I526" s="189"/>
      <c r="J526" s="189"/>
      <c r="K526" s="189"/>
      <c r="L526" s="189"/>
      <c r="M526" s="189"/>
      <c r="N526" s="189"/>
      <c r="O526" s="189"/>
      <c r="P526" s="189"/>
      <c r="Q526" s="189"/>
      <c r="R526" s="189"/>
    </row>
    <row r="527" spans="1:18" x14ac:dyDescent="0.35">
      <c r="A527" s="189"/>
      <c r="B527" s="189"/>
      <c r="C527" s="189"/>
      <c r="D527" s="189"/>
      <c r="E527" s="189"/>
      <c r="F527" s="189"/>
      <c r="G527" s="189"/>
      <c r="H527" s="189"/>
      <c r="I527" s="189"/>
      <c r="J527" s="189"/>
      <c r="K527" s="189"/>
      <c r="L527" s="189"/>
      <c r="M527" s="189"/>
      <c r="N527" s="189"/>
      <c r="O527" s="189"/>
      <c r="P527" s="189"/>
      <c r="Q527" s="189"/>
      <c r="R527" s="189"/>
    </row>
    <row r="528" spans="1:18" x14ac:dyDescent="0.35">
      <c r="A528" s="189"/>
      <c r="B528" s="189"/>
      <c r="C528" s="189"/>
      <c r="D528" s="189"/>
      <c r="E528" s="189"/>
      <c r="F528" s="189"/>
      <c r="G528" s="189"/>
      <c r="H528" s="189"/>
      <c r="I528" s="189"/>
      <c r="J528" s="189"/>
      <c r="K528" s="189"/>
      <c r="L528" s="189"/>
      <c r="M528" s="189"/>
      <c r="N528" s="189"/>
      <c r="O528" s="189"/>
      <c r="P528" s="189"/>
      <c r="Q528" s="189"/>
      <c r="R528" s="189"/>
    </row>
    <row r="529" spans="1:18" x14ac:dyDescent="0.35">
      <c r="A529" s="189"/>
      <c r="B529" s="189"/>
      <c r="C529" s="189"/>
      <c r="D529" s="189"/>
      <c r="E529" s="189"/>
      <c r="F529" s="189"/>
      <c r="G529" s="189"/>
      <c r="H529" s="189"/>
      <c r="I529" s="189"/>
      <c r="J529" s="189"/>
      <c r="K529" s="189"/>
      <c r="L529" s="189"/>
      <c r="M529" s="189"/>
      <c r="N529" s="189"/>
      <c r="O529" s="189"/>
      <c r="P529" s="189"/>
      <c r="Q529" s="189"/>
      <c r="R529" s="189"/>
    </row>
    <row r="530" spans="1:18" x14ac:dyDescent="0.35">
      <c r="A530" s="189"/>
      <c r="B530" s="189"/>
      <c r="C530" s="189"/>
      <c r="D530" s="189"/>
      <c r="E530" s="189"/>
      <c r="F530" s="189"/>
      <c r="G530" s="189"/>
      <c r="H530" s="189"/>
      <c r="I530" s="189"/>
      <c r="J530" s="189"/>
      <c r="K530" s="189"/>
      <c r="L530" s="189"/>
      <c r="M530" s="189"/>
      <c r="N530" s="189"/>
      <c r="O530" s="189"/>
      <c r="P530" s="189"/>
      <c r="Q530" s="189"/>
      <c r="R530" s="189"/>
    </row>
    <row r="531" spans="1:18" x14ac:dyDescent="0.35">
      <c r="A531" s="189"/>
      <c r="B531" s="189"/>
      <c r="C531" s="189"/>
      <c r="D531" s="189"/>
      <c r="E531" s="189"/>
      <c r="F531" s="189"/>
      <c r="G531" s="189"/>
      <c r="H531" s="189"/>
      <c r="I531" s="189"/>
      <c r="J531" s="189"/>
      <c r="K531" s="189"/>
      <c r="L531" s="189"/>
      <c r="M531" s="189"/>
      <c r="N531" s="189"/>
      <c r="O531" s="189"/>
      <c r="P531" s="189"/>
      <c r="Q531" s="189"/>
      <c r="R531" s="189"/>
    </row>
    <row r="532" spans="1:18" x14ac:dyDescent="0.35">
      <c r="A532" s="189"/>
      <c r="B532" s="189"/>
      <c r="C532" s="189"/>
      <c r="D532" s="189"/>
      <c r="E532" s="189"/>
      <c r="F532" s="189"/>
      <c r="G532" s="189"/>
      <c r="H532" s="189"/>
      <c r="I532" s="189"/>
      <c r="J532" s="189"/>
      <c r="K532" s="189"/>
      <c r="L532" s="189"/>
      <c r="M532" s="189"/>
      <c r="N532" s="189"/>
      <c r="O532" s="189"/>
      <c r="P532" s="189"/>
      <c r="Q532" s="189"/>
      <c r="R532" s="189"/>
    </row>
    <row r="533" spans="1:18" x14ac:dyDescent="0.35">
      <c r="A533" s="189"/>
      <c r="B533" s="189"/>
      <c r="C533" s="189"/>
      <c r="D533" s="189"/>
      <c r="E533" s="189"/>
      <c r="F533" s="189"/>
      <c r="G533" s="189"/>
      <c r="H533" s="189"/>
      <c r="I533" s="189"/>
      <c r="J533" s="189"/>
      <c r="K533" s="189"/>
      <c r="L533" s="189"/>
      <c r="M533" s="189"/>
      <c r="N533" s="189"/>
      <c r="O533" s="189"/>
      <c r="P533" s="189"/>
      <c r="Q533" s="189"/>
      <c r="R533" s="189"/>
    </row>
    <row r="534" spans="1:18" x14ac:dyDescent="0.35">
      <c r="A534" s="189"/>
      <c r="B534" s="189"/>
      <c r="C534" s="189"/>
      <c r="D534" s="189"/>
      <c r="E534" s="189"/>
      <c r="F534" s="189"/>
      <c r="G534" s="189"/>
      <c r="H534" s="189"/>
      <c r="I534" s="189"/>
      <c r="J534" s="189"/>
      <c r="K534" s="189"/>
      <c r="L534" s="189"/>
      <c r="M534" s="189"/>
      <c r="N534" s="189"/>
      <c r="O534" s="189"/>
      <c r="P534" s="189"/>
      <c r="Q534" s="189"/>
      <c r="R534" s="189"/>
    </row>
    <row r="535" spans="1:18" x14ac:dyDescent="0.35">
      <c r="A535" s="189"/>
      <c r="B535" s="189"/>
      <c r="C535" s="189"/>
      <c r="D535" s="189"/>
      <c r="E535" s="189"/>
      <c r="F535" s="189"/>
      <c r="G535" s="189"/>
      <c r="H535" s="189"/>
      <c r="I535" s="189"/>
      <c r="J535" s="189"/>
      <c r="K535" s="189"/>
      <c r="L535" s="189"/>
      <c r="M535" s="189"/>
      <c r="N535" s="189"/>
      <c r="O535" s="189"/>
      <c r="P535" s="189"/>
      <c r="Q535" s="189"/>
      <c r="R535" s="189"/>
    </row>
    <row r="536" spans="1:18" x14ac:dyDescent="0.35">
      <c r="A536" s="189"/>
      <c r="B536" s="189"/>
      <c r="C536" s="189"/>
      <c r="D536" s="189"/>
      <c r="E536" s="189"/>
      <c r="F536" s="189"/>
      <c r="G536" s="189"/>
      <c r="H536" s="189"/>
      <c r="I536" s="189"/>
      <c r="J536" s="189"/>
      <c r="K536" s="189"/>
      <c r="L536" s="189"/>
      <c r="M536" s="189"/>
      <c r="N536" s="189"/>
      <c r="O536" s="189"/>
      <c r="P536" s="189"/>
      <c r="Q536" s="189"/>
      <c r="R536" s="189"/>
    </row>
    <row r="537" spans="1:18" x14ac:dyDescent="0.35">
      <c r="A537" s="189"/>
      <c r="B537" s="189"/>
      <c r="C537" s="189"/>
      <c r="D537" s="189"/>
      <c r="E537" s="189"/>
      <c r="F537" s="189"/>
      <c r="G537" s="189"/>
      <c r="H537" s="189"/>
      <c r="I537" s="189"/>
      <c r="J537" s="189"/>
      <c r="K537" s="189"/>
      <c r="L537" s="189"/>
      <c r="M537" s="189"/>
      <c r="N537" s="189"/>
      <c r="O537" s="189"/>
      <c r="P537" s="189"/>
      <c r="Q537" s="189"/>
      <c r="R537" s="189"/>
    </row>
    <row r="538" spans="1:18" x14ac:dyDescent="0.35">
      <c r="A538" s="189"/>
      <c r="B538" s="189"/>
      <c r="C538" s="189"/>
      <c r="D538" s="189"/>
      <c r="E538" s="189"/>
      <c r="F538" s="189"/>
      <c r="G538" s="189"/>
      <c r="H538" s="189"/>
      <c r="I538" s="189"/>
      <c r="J538" s="189"/>
      <c r="K538" s="189"/>
      <c r="L538" s="189"/>
      <c r="M538" s="189"/>
      <c r="N538" s="189"/>
      <c r="O538" s="189"/>
      <c r="P538" s="189"/>
      <c r="Q538" s="189"/>
      <c r="R538" s="189"/>
    </row>
    <row r="539" spans="1:18" x14ac:dyDescent="0.35">
      <c r="A539" s="189"/>
      <c r="B539" s="189"/>
      <c r="C539" s="189"/>
      <c r="D539" s="189"/>
      <c r="E539" s="189"/>
      <c r="F539" s="189"/>
      <c r="G539" s="189"/>
      <c r="H539" s="189"/>
      <c r="I539" s="189"/>
      <c r="J539" s="189"/>
      <c r="K539" s="189"/>
      <c r="L539" s="189"/>
      <c r="M539" s="189"/>
      <c r="N539" s="189"/>
      <c r="O539" s="189"/>
      <c r="P539" s="189"/>
      <c r="Q539" s="189"/>
      <c r="R539" s="189"/>
    </row>
    <row r="540" spans="1:18" x14ac:dyDescent="0.35">
      <c r="A540" s="189"/>
      <c r="B540" s="189"/>
      <c r="C540" s="189"/>
      <c r="D540" s="189"/>
      <c r="E540" s="189"/>
      <c r="F540" s="189"/>
      <c r="G540" s="189"/>
      <c r="H540" s="189"/>
      <c r="I540" s="189"/>
      <c r="J540" s="189"/>
      <c r="K540" s="189"/>
      <c r="L540" s="189"/>
      <c r="M540" s="189"/>
      <c r="N540" s="189"/>
      <c r="O540" s="189"/>
      <c r="P540" s="189"/>
      <c r="Q540" s="189"/>
      <c r="R540" s="189"/>
    </row>
    <row r="541" spans="1:18" x14ac:dyDescent="0.35">
      <c r="A541" s="189"/>
      <c r="B541" s="189"/>
      <c r="C541" s="189"/>
      <c r="D541" s="189"/>
      <c r="E541" s="189"/>
      <c r="F541" s="189"/>
      <c r="G541" s="189"/>
      <c r="H541" s="189"/>
      <c r="I541" s="189"/>
      <c r="J541" s="189"/>
      <c r="K541" s="189"/>
      <c r="L541" s="189"/>
      <c r="M541" s="189"/>
      <c r="N541" s="189"/>
      <c r="O541" s="189"/>
      <c r="P541" s="189"/>
      <c r="Q541" s="189"/>
      <c r="R541" s="189"/>
    </row>
    <row r="542" spans="1:18" x14ac:dyDescent="0.35">
      <c r="A542" s="189"/>
      <c r="B542" s="189"/>
      <c r="C542" s="189"/>
      <c r="D542" s="189"/>
      <c r="E542" s="189"/>
      <c r="F542" s="189"/>
      <c r="G542" s="189"/>
      <c r="H542" s="189"/>
      <c r="I542" s="189"/>
      <c r="J542" s="189"/>
      <c r="K542" s="189"/>
      <c r="L542" s="189"/>
      <c r="M542" s="189"/>
      <c r="N542" s="189"/>
      <c r="O542" s="189"/>
      <c r="P542" s="189"/>
      <c r="Q542" s="189"/>
      <c r="R542" s="189"/>
    </row>
    <row r="543" spans="1:18" x14ac:dyDescent="0.35">
      <c r="A543" s="189"/>
      <c r="B543" s="189"/>
      <c r="C543" s="189"/>
      <c r="D543" s="189"/>
      <c r="E543" s="189"/>
      <c r="F543" s="189"/>
      <c r="G543" s="189"/>
      <c r="H543" s="189"/>
      <c r="I543" s="189"/>
      <c r="J543" s="189"/>
      <c r="K543" s="189"/>
      <c r="L543" s="189"/>
      <c r="M543" s="189"/>
      <c r="N543" s="189"/>
      <c r="O543" s="189"/>
      <c r="P543" s="189"/>
      <c r="Q543" s="189"/>
      <c r="R543" s="189"/>
    </row>
    <row r="544" spans="1:18" x14ac:dyDescent="0.35">
      <c r="A544" s="189"/>
      <c r="B544" s="189"/>
      <c r="C544" s="189"/>
      <c r="D544" s="189"/>
      <c r="E544" s="189"/>
      <c r="F544" s="189"/>
      <c r="G544" s="189"/>
      <c r="H544" s="189"/>
      <c r="I544" s="189"/>
      <c r="J544" s="189"/>
      <c r="K544" s="189"/>
      <c r="L544" s="189"/>
      <c r="M544" s="189"/>
      <c r="N544" s="189"/>
      <c r="O544" s="189"/>
      <c r="P544" s="189"/>
      <c r="Q544" s="189"/>
      <c r="R544" s="189"/>
    </row>
    <row r="545" spans="1:18" x14ac:dyDescent="0.35">
      <c r="A545" s="189"/>
      <c r="B545" s="189"/>
      <c r="C545" s="189"/>
      <c r="D545" s="189"/>
      <c r="E545" s="189"/>
      <c r="F545" s="189"/>
      <c r="G545" s="189"/>
      <c r="H545" s="189"/>
      <c r="I545" s="189"/>
      <c r="J545" s="189"/>
      <c r="K545" s="189"/>
      <c r="L545" s="189"/>
      <c r="M545" s="189"/>
      <c r="N545" s="189"/>
      <c r="O545" s="189"/>
      <c r="P545" s="189"/>
      <c r="Q545" s="189"/>
      <c r="R545" s="189"/>
    </row>
    <row r="546" spans="1:18" x14ac:dyDescent="0.35">
      <c r="A546" s="189"/>
      <c r="B546" s="189"/>
      <c r="C546" s="189"/>
      <c r="D546" s="189"/>
      <c r="E546" s="189"/>
      <c r="F546" s="189"/>
      <c r="G546" s="189"/>
      <c r="H546" s="189"/>
      <c r="I546" s="189"/>
      <c r="J546" s="189"/>
      <c r="K546" s="189"/>
      <c r="L546" s="189"/>
      <c r="M546" s="189"/>
      <c r="N546" s="189"/>
      <c r="O546" s="189"/>
      <c r="P546" s="189"/>
      <c r="Q546" s="189"/>
      <c r="R546" s="189"/>
    </row>
    <row r="547" spans="1:18" x14ac:dyDescent="0.35">
      <c r="A547" s="189"/>
      <c r="B547" s="189"/>
      <c r="C547" s="189"/>
      <c r="D547" s="189"/>
      <c r="E547" s="189"/>
      <c r="F547" s="189"/>
      <c r="G547" s="189"/>
      <c r="H547" s="189"/>
      <c r="I547" s="189"/>
      <c r="J547" s="189"/>
      <c r="K547" s="189"/>
      <c r="L547" s="189"/>
      <c r="M547" s="189"/>
      <c r="N547" s="189"/>
      <c r="O547" s="189"/>
      <c r="P547" s="189"/>
      <c r="Q547" s="189"/>
      <c r="R547" s="189"/>
    </row>
    <row r="548" spans="1:18" x14ac:dyDescent="0.35">
      <c r="A548" s="189"/>
      <c r="B548" s="189"/>
      <c r="C548" s="189"/>
      <c r="D548" s="189"/>
      <c r="E548" s="189"/>
      <c r="F548" s="189"/>
      <c r="G548" s="189"/>
      <c r="H548" s="189"/>
      <c r="I548" s="189"/>
      <c r="J548" s="189"/>
      <c r="K548" s="189"/>
      <c r="L548" s="189"/>
      <c r="M548" s="189"/>
      <c r="N548" s="189"/>
      <c r="O548" s="189"/>
      <c r="P548" s="189"/>
      <c r="Q548" s="189"/>
      <c r="R548" s="189"/>
    </row>
    <row r="549" spans="1:18" x14ac:dyDescent="0.35">
      <c r="A549" s="189"/>
      <c r="B549" s="189"/>
      <c r="C549" s="189"/>
      <c r="D549" s="189"/>
      <c r="E549" s="189"/>
      <c r="F549" s="189"/>
      <c r="G549" s="189"/>
      <c r="H549" s="189"/>
      <c r="I549" s="189"/>
      <c r="J549" s="189"/>
      <c r="K549" s="189"/>
      <c r="L549" s="189"/>
      <c r="M549" s="189"/>
      <c r="N549" s="189"/>
      <c r="O549" s="189"/>
      <c r="P549" s="189"/>
      <c r="Q549" s="189"/>
      <c r="R549" s="189"/>
    </row>
    <row r="550" spans="1:18" x14ac:dyDescent="0.35">
      <c r="A550" s="189"/>
      <c r="B550" s="189"/>
      <c r="C550" s="189"/>
      <c r="D550" s="189"/>
      <c r="E550" s="189"/>
      <c r="F550" s="189"/>
      <c r="G550" s="189"/>
      <c r="H550" s="189"/>
      <c r="I550" s="189"/>
      <c r="J550" s="189"/>
      <c r="K550" s="189"/>
      <c r="L550" s="189"/>
      <c r="M550" s="189"/>
      <c r="N550" s="189"/>
      <c r="O550" s="189"/>
      <c r="P550" s="189"/>
      <c r="Q550" s="189"/>
      <c r="R550" s="189"/>
    </row>
    <row r="551" spans="1:18" x14ac:dyDescent="0.35">
      <c r="A551" s="189"/>
      <c r="B551" s="189"/>
      <c r="C551" s="189"/>
      <c r="D551" s="189"/>
      <c r="E551" s="189"/>
      <c r="F551" s="189"/>
      <c r="G551" s="189"/>
      <c r="H551" s="189"/>
      <c r="I551" s="189"/>
      <c r="J551" s="189"/>
      <c r="K551" s="189"/>
      <c r="L551" s="189"/>
      <c r="M551" s="189"/>
      <c r="N551" s="189"/>
      <c r="O551" s="189"/>
      <c r="P551" s="189"/>
      <c r="Q551" s="189"/>
      <c r="R551" s="189"/>
    </row>
    <row r="552" spans="1:18" x14ac:dyDescent="0.35">
      <c r="A552" s="189"/>
      <c r="B552" s="189"/>
      <c r="C552" s="189"/>
      <c r="D552" s="189"/>
      <c r="E552" s="189"/>
      <c r="F552" s="189"/>
      <c r="G552" s="189"/>
      <c r="H552" s="189"/>
      <c r="I552" s="189"/>
      <c r="J552" s="189"/>
      <c r="K552" s="189"/>
      <c r="L552" s="189"/>
      <c r="M552" s="189"/>
      <c r="N552" s="189"/>
      <c r="O552" s="189"/>
      <c r="P552" s="189"/>
      <c r="Q552" s="189"/>
      <c r="R552" s="189"/>
    </row>
    <row r="553" spans="1:18" x14ac:dyDescent="0.35">
      <c r="A553" s="189"/>
      <c r="B553" s="189"/>
      <c r="C553" s="189"/>
      <c r="D553" s="189"/>
      <c r="E553" s="189"/>
      <c r="F553" s="189"/>
      <c r="G553" s="189"/>
      <c r="H553" s="189"/>
      <c r="I553" s="189"/>
      <c r="J553" s="189"/>
      <c r="K553" s="189"/>
      <c r="L553" s="189"/>
      <c r="M553" s="189"/>
      <c r="N553" s="189"/>
      <c r="O553" s="189"/>
      <c r="P553" s="189"/>
      <c r="Q553" s="189"/>
      <c r="R553" s="189"/>
    </row>
    <row r="554" spans="1:18" x14ac:dyDescent="0.35">
      <c r="A554" s="189"/>
      <c r="B554" s="189"/>
      <c r="C554" s="189"/>
      <c r="D554" s="189"/>
      <c r="E554" s="189"/>
      <c r="F554" s="189"/>
      <c r="G554" s="189"/>
      <c r="H554" s="189"/>
      <c r="I554" s="189"/>
      <c r="J554" s="189"/>
      <c r="K554" s="189"/>
      <c r="L554" s="189"/>
      <c r="M554" s="189"/>
      <c r="N554" s="189"/>
      <c r="O554" s="189"/>
      <c r="P554" s="189"/>
      <c r="Q554" s="189"/>
      <c r="R554" s="189"/>
    </row>
  </sheetData>
  <autoFilter ref="A8:V263" xr:uid="{00000000-0009-0000-0000-000006000000}"/>
  <mergeCells count="5">
    <mergeCell ref="B2:C2"/>
    <mergeCell ref="G2:L4"/>
    <mergeCell ref="A7:E7"/>
    <mergeCell ref="F7:K7"/>
    <mergeCell ref="L7:M7"/>
  </mergeCells>
  <conditionalFormatting sqref="A9:L10 H11:I18 H19:H37 L11:L54 M11:M114 N11:P146 K11:K244 I19:I105 L56 L59 L61:L62 L67 L69:L198 O147:O192 N147:N202 K247:K259 K262:K265">
    <cfRule type="expression" dxfId="13" priority="7">
      <formula>DAYS360(NOW(), $N9) &lt;= 0</formula>
    </cfRule>
  </conditionalFormatting>
  <conditionalFormatting sqref="A9:L10 H11:I18 L11:L54 M11:M114 N11:P146 K11:K244 H19:H37 I19:I105 L56 L59 L61:L62 L67 L69:L198 O147:O192 N147:N202 K247:K259 K262:K265">
    <cfRule type="expression" dxfId="12" priority="8">
      <formula>DAYS360(NOW(), $N9) &lt;= 30</formula>
    </cfRule>
  </conditionalFormatting>
  <conditionalFormatting sqref="A9:Q10 H11:I18 H19:H37">
    <cfRule type="expression" dxfId="11" priority="5">
      <formula>DAYS360(NOW(), $N9) &lt;= 0</formula>
    </cfRule>
    <cfRule type="expression" dxfId="10" priority="6">
      <formula>DAYS360(NOW(), $N9) &lt;= 30</formula>
    </cfRule>
  </conditionalFormatting>
  <conditionalFormatting sqref="K245:K246">
    <cfRule type="expression" dxfId="9" priority="1">
      <formula>DAYS360(NOW(), $N260) &lt;= 0</formula>
    </cfRule>
    <cfRule type="expression" dxfId="8" priority="2">
      <formula>DAYS360(NOW(), $N260) &lt;= 30</formula>
    </cfRule>
  </conditionalFormatting>
  <conditionalFormatting sqref="R31">
    <cfRule type="expression" dxfId="7" priority="3">
      <formula>DAYS360(NOW(), $N31) &lt;= 0</formula>
    </cfRule>
    <cfRule type="expression" dxfId="6" priority="4">
      <formula>DAYS360(NOW(), $N31) &lt;= 30</formula>
    </cfRule>
  </conditionalFormatting>
  <pageMargins left="0.11811023622047245" right="0.11811023622047245" top="0.19685039370078741" bottom="0.11811023622047245" header="1.0236220472440944" footer="0.19685039370078741"/>
  <pageSetup paperSize="9" scale="85" orientation="landscape" verticalDpi="2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150"/>
  <sheetViews>
    <sheetView zoomScale="70" zoomScaleNormal="70" workbookViewId="0">
      <selection activeCell="E17" sqref="E17"/>
    </sheetView>
  </sheetViews>
  <sheetFormatPr defaultRowHeight="14.5" x14ac:dyDescent="0.35"/>
  <cols>
    <col min="1" max="1" width="27.26953125" bestFit="1" customWidth="1"/>
    <col min="2" max="2" width="13.81640625" bestFit="1" customWidth="1"/>
    <col min="3" max="3" width="0.26953125" hidden="1" customWidth="1"/>
    <col min="4" max="4" width="7.26953125" customWidth="1"/>
    <col min="5" max="5" width="17" bestFit="1" customWidth="1"/>
    <col min="6" max="6" width="17.54296875" customWidth="1"/>
    <col min="7" max="7" width="16.26953125" bestFit="1" customWidth="1"/>
    <col min="8" max="8" width="18.81640625" bestFit="1" customWidth="1"/>
    <col min="9" max="9" width="14.81640625" bestFit="1" customWidth="1"/>
    <col min="10" max="10" width="25.7265625" customWidth="1"/>
    <col min="11" max="11" width="22.1796875" customWidth="1"/>
    <col min="12" max="12" width="5.453125" bestFit="1" customWidth="1"/>
    <col min="13" max="13" width="23.453125" bestFit="1" customWidth="1"/>
    <col min="14" max="14" width="23" bestFit="1" customWidth="1"/>
    <col min="15" max="15" width="24.453125" bestFit="1" customWidth="1"/>
    <col min="16" max="16" width="19.1796875" customWidth="1"/>
    <col min="17" max="17" width="40" customWidth="1"/>
    <col min="18" max="18" width="7.81640625" customWidth="1"/>
  </cols>
  <sheetData>
    <row r="1" spans="1:21" ht="15" thickBot="1" x14ac:dyDescent="0.4">
      <c r="A1" s="3"/>
      <c r="B1" s="3"/>
      <c r="C1" s="3"/>
      <c r="D1" s="3"/>
      <c r="E1" s="3"/>
      <c r="F1" s="67"/>
      <c r="G1" s="67"/>
      <c r="H1" s="67"/>
      <c r="I1" s="67"/>
      <c r="J1" s="67"/>
      <c r="K1" s="67"/>
      <c r="L1" s="3"/>
      <c r="M1" s="3"/>
      <c r="N1" s="3"/>
      <c r="O1" s="3"/>
      <c r="P1" s="3"/>
    </row>
    <row r="2" spans="1:21" ht="23.5" x14ac:dyDescent="0.55000000000000004">
      <c r="A2" s="3"/>
      <c r="B2" s="5"/>
      <c r="C2" s="5"/>
      <c r="D2" s="5"/>
      <c r="E2" s="102"/>
      <c r="F2" s="362" t="s">
        <v>68</v>
      </c>
      <c r="G2" s="363"/>
      <c r="H2" s="363"/>
      <c r="I2" s="363"/>
      <c r="J2" s="363"/>
      <c r="K2" s="364"/>
      <c r="L2" s="104"/>
      <c r="M2" s="3"/>
      <c r="N2" s="3"/>
      <c r="O2" s="3"/>
      <c r="P2" s="3"/>
    </row>
    <row r="3" spans="1:21" x14ac:dyDescent="0.35">
      <c r="A3" s="3"/>
      <c r="B3" s="3"/>
      <c r="C3" s="3"/>
      <c r="D3" s="3"/>
      <c r="E3" s="103"/>
      <c r="F3" s="365"/>
      <c r="G3" s="366"/>
      <c r="H3" s="366"/>
      <c r="I3" s="366"/>
      <c r="J3" s="366"/>
      <c r="K3" s="367"/>
      <c r="L3" s="104"/>
      <c r="M3" s="3"/>
      <c r="N3" s="3"/>
      <c r="O3" s="3"/>
      <c r="P3" s="3"/>
    </row>
    <row r="4" spans="1:21" ht="15" thickBot="1" x14ac:dyDescent="0.4">
      <c r="A4" s="3"/>
      <c r="B4" s="3"/>
      <c r="C4" s="3"/>
      <c r="D4" s="3"/>
      <c r="E4" s="103"/>
      <c r="F4" s="368"/>
      <c r="G4" s="369"/>
      <c r="H4" s="369"/>
      <c r="I4" s="369"/>
      <c r="J4" s="369"/>
      <c r="K4" s="370"/>
      <c r="L4" s="104"/>
      <c r="M4" s="3"/>
      <c r="N4" s="3"/>
      <c r="O4" s="3"/>
      <c r="P4" s="3"/>
    </row>
    <row r="5" spans="1:21" x14ac:dyDescent="0.35">
      <c r="A5" s="3"/>
      <c r="B5" s="3"/>
      <c r="C5" s="3"/>
      <c r="D5" s="3"/>
      <c r="E5" s="3"/>
      <c r="F5" s="105"/>
      <c r="G5" s="105"/>
      <c r="H5" s="105"/>
      <c r="I5" s="105"/>
      <c r="J5" s="105"/>
      <c r="K5" s="105"/>
      <c r="L5" s="3"/>
      <c r="M5" s="3"/>
      <c r="N5" s="3"/>
      <c r="O5" s="3"/>
      <c r="P5" s="3"/>
    </row>
    <row r="6" spans="1:21" x14ac:dyDescent="0.35">
      <c r="A6" s="67"/>
      <c r="B6" s="67"/>
      <c r="C6" s="3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</row>
    <row r="7" spans="1:21" ht="21" x14ac:dyDescent="0.35">
      <c r="A7" s="371" t="s">
        <v>10</v>
      </c>
      <c r="B7" s="371"/>
      <c r="C7" s="372"/>
      <c r="D7" s="371"/>
      <c r="E7" s="358" t="s">
        <v>14</v>
      </c>
      <c r="F7" s="358"/>
      <c r="G7" s="358"/>
      <c r="H7" s="358"/>
      <c r="I7" s="358"/>
      <c r="J7" s="358"/>
      <c r="K7" s="371" t="s">
        <v>9</v>
      </c>
      <c r="L7" s="371"/>
      <c r="M7" s="68"/>
      <c r="N7" s="68"/>
      <c r="O7" s="68"/>
      <c r="P7" s="68"/>
    </row>
    <row r="8" spans="1:21" ht="36" x14ac:dyDescent="0.35">
      <c r="A8" s="69" t="s">
        <v>67</v>
      </c>
      <c r="B8" s="69" t="s">
        <v>13</v>
      </c>
      <c r="C8" s="2" t="s">
        <v>7</v>
      </c>
      <c r="D8" s="69" t="s">
        <v>8</v>
      </c>
      <c r="E8" s="70" t="s">
        <v>15</v>
      </c>
      <c r="F8" s="70" t="s">
        <v>25</v>
      </c>
      <c r="G8" s="70" t="s">
        <v>26</v>
      </c>
      <c r="H8" s="70" t="s">
        <v>27</v>
      </c>
      <c r="I8" s="70" t="s">
        <v>0</v>
      </c>
      <c r="J8" s="70" t="s">
        <v>1</v>
      </c>
      <c r="K8" s="71" t="s">
        <v>2</v>
      </c>
      <c r="L8" s="71" t="s">
        <v>3</v>
      </c>
      <c r="M8" s="69" t="s">
        <v>4</v>
      </c>
      <c r="N8" s="69" t="s">
        <v>5</v>
      </c>
      <c r="O8" s="69" t="s">
        <v>29</v>
      </c>
      <c r="P8" s="69" t="s">
        <v>6</v>
      </c>
    </row>
    <row r="9" spans="1:21" s="11" customFormat="1" ht="18.5" x14ac:dyDescent="0.45">
      <c r="A9" s="129" t="s">
        <v>30</v>
      </c>
      <c r="B9" s="129" t="s">
        <v>78</v>
      </c>
      <c r="C9" s="129"/>
      <c r="D9" s="129"/>
      <c r="E9" s="129" t="str">
        <f>'Membership Level'!A18</f>
        <v>Zumba Month</v>
      </c>
      <c r="F9" s="130">
        <v>1500</v>
      </c>
      <c r="G9" s="130">
        <v>1500</v>
      </c>
      <c r="H9" s="130">
        <f t="shared" ref="H9:H38" si="0">F9-G9</f>
        <v>0</v>
      </c>
      <c r="I9" s="131">
        <v>45711</v>
      </c>
      <c r="J9" s="131">
        <f>I9+30</f>
        <v>45741</v>
      </c>
      <c r="K9" s="129">
        <v>3</v>
      </c>
      <c r="L9" s="132">
        <v>0</v>
      </c>
      <c r="M9" s="131">
        <f t="shared" ref="M9:M47" si="1">IF($J9&lt;&gt;0,DATE(YEAR($J9),MONTH($J9)-$L9,DAY($J9)-$K9),"")</f>
        <v>45738</v>
      </c>
      <c r="N9" s="129" t="str">
        <f t="shared" ref="N9:N36" ca="1" si="2">IF(DAYS360(NOW(), $J9) &gt;= 0, DAYS360(NOW(), $J9), "")</f>
        <v/>
      </c>
      <c r="O9" s="131" t="e">
        <f>G9/F9*VLOOKUP(E9,'Membership Level'!$A$3:$C$10,3,FALSE)+I9</f>
        <v>#N/A</v>
      </c>
      <c r="P9" s="133"/>
      <c r="Q9" s="15"/>
      <c r="R9" s="13"/>
      <c r="S9" s="13"/>
      <c r="T9" s="13"/>
      <c r="U9" s="13"/>
    </row>
    <row r="10" spans="1:21" ht="18.5" x14ac:dyDescent="0.45">
      <c r="A10" s="129"/>
      <c r="B10" s="129" t="s">
        <v>79</v>
      </c>
      <c r="C10" s="129"/>
      <c r="D10" s="134"/>
      <c r="E10" s="129" t="str">
        <f>'Membership Level'!A18</f>
        <v>Zumba Month</v>
      </c>
      <c r="F10" s="135">
        <v>1500</v>
      </c>
      <c r="G10" s="130">
        <v>1500</v>
      </c>
      <c r="H10" s="130">
        <f t="shared" si="0"/>
        <v>0</v>
      </c>
      <c r="I10" s="131">
        <v>45717</v>
      </c>
      <c r="J10" s="131">
        <f>I10+30</f>
        <v>45747</v>
      </c>
      <c r="K10" s="129">
        <v>3</v>
      </c>
      <c r="L10" s="132"/>
      <c r="M10" s="131">
        <f t="shared" si="1"/>
        <v>45744</v>
      </c>
      <c r="N10" s="129" t="str">
        <f t="shared" ca="1" si="2"/>
        <v/>
      </c>
      <c r="O10" s="131" t="e">
        <f>G10/F10*VLOOKUP(E10,'Membership Level'!$A$3:$C$10,3,FALSE)+I10</f>
        <v>#N/A</v>
      </c>
      <c r="P10" s="136"/>
      <c r="Q10" s="14"/>
      <c r="R10" s="14"/>
      <c r="S10" s="14"/>
      <c r="T10" s="14"/>
      <c r="U10" s="14"/>
    </row>
    <row r="11" spans="1:21" s="11" customFormat="1" ht="18.5" x14ac:dyDescent="0.45">
      <c r="A11" s="121"/>
      <c r="B11" s="121" t="s">
        <v>80</v>
      </c>
      <c r="C11" s="121"/>
      <c r="D11" s="121"/>
      <c r="E11" s="121" t="str">
        <f>'Membership Level'!A18</f>
        <v>Zumba Month</v>
      </c>
      <c r="F11" s="125">
        <v>1500</v>
      </c>
      <c r="G11" s="128">
        <v>1500</v>
      </c>
      <c r="H11" s="128">
        <f t="shared" si="0"/>
        <v>0</v>
      </c>
      <c r="I11" s="122">
        <v>45689</v>
      </c>
      <c r="J11" s="122">
        <f t="shared" ref="J11:J16" si="3">I11+30</f>
        <v>45719</v>
      </c>
      <c r="K11" s="121">
        <v>3</v>
      </c>
      <c r="L11" s="123"/>
      <c r="M11" s="122">
        <f t="shared" si="1"/>
        <v>45716</v>
      </c>
      <c r="N11" s="121" t="str">
        <f t="shared" ca="1" si="2"/>
        <v/>
      </c>
      <c r="O11" s="122" t="e">
        <f>G11/F11*VLOOKUP(E11,'Membership Level'!$A$3:$C$10,3,FALSE)+I11</f>
        <v>#N/A</v>
      </c>
      <c r="P11" s="124"/>
      <c r="Q11" s="13"/>
      <c r="R11" s="13"/>
      <c r="S11" s="13"/>
      <c r="T11" s="13"/>
      <c r="U11" s="13"/>
    </row>
    <row r="12" spans="1:21" ht="18.5" x14ac:dyDescent="0.45">
      <c r="A12" s="129" t="s">
        <v>35</v>
      </c>
      <c r="B12" s="129" t="s">
        <v>82</v>
      </c>
      <c r="C12" s="129"/>
      <c r="D12" s="129"/>
      <c r="E12" s="129" t="str">
        <f>'Membership Level'!A18</f>
        <v>Zumba Month</v>
      </c>
      <c r="F12" s="135">
        <v>1500</v>
      </c>
      <c r="G12" s="130">
        <v>1500</v>
      </c>
      <c r="H12" s="130">
        <f t="shared" si="0"/>
        <v>0</v>
      </c>
      <c r="I12" s="131">
        <v>45734</v>
      </c>
      <c r="J12" s="131">
        <f t="shared" si="3"/>
        <v>45764</v>
      </c>
      <c r="K12" s="129">
        <v>3</v>
      </c>
      <c r="L12" s="132"/>
      <c r="M12" s="131">
        <f t="shared" si="1"/>
        <v>45761</v>
      </c>
      <c r="N12" s="129" t="str">
        <f t="shared" ca="1" si="2"/>
        <v/>
      </c>
      <c r="O12" s="131" t="e">
        <f>G12/F12*VLOOKUP(E12,'Membership Level'!$A$3:$C$10,3,FALSE)+I12</f>
        <v>#N/A</v>
      </c>
      <c r="P12" s="133"/>
      <c r="Q12" s="14"/>
      <c r="R12" s="14"/>
      <c r="S12" s="14"/>
      <c r="T12" s="14"/>
      <c r="U12" s="14"/>
    </row>
    <row r="13" spans="1:21" s="11" customFormat="1" ht="18.5" x14ac:dyDescent="0.45">
      <c r="A13" s="121" t="s">
        <v>83</v>
      </c>
      <c r="B13" s="121" t="s">
        <v>84</v>
      </c>
      <c r="C13" s="121"/>
      <c r="D13" s="121"/>
      <c r="E13" s="121" t="str">
        <f>'Membership Level'!A18</f>
        <v>Zumba Month</v>
      </c>
      <c r="F13" s="125">
        <v>1500</v>
      </c>
      <c r="G13" s="128">
        <v>1500</v>
      </c>
      <c r="H13" s="128">
        <f t="shared" si="0"/>
        <v>0</v>
      </c>
      <c r="I13" s="122">
        <v>45707</v>
      </c>
      <c r="J13" s="122">
        <f t="shared" si="3"/>
        <v>45737</v>
      </c>
      <c r="K13" s="121">
        <v>3</v>
      </c>
      <c r="L13" s="123"/>
      <c r="M13" s="122">
        <f t="shared" si="1"/>
        <v>45734</v>
      </c>
      <c r="N13" s="121" t="str">
        <f t="shared" ca="1" si="2"/>
        <v/>
      </c>
      <c r="O13" s="122" t="e">
        <f>G13/F13*VLOOKUP(E13,'Membership Level'!$A$3:$C$10,3,FALSE)+I13</f>
        <v>#N/A</v>
      </c>
      <c r="P13" s="124"/>
      <c r="Q13" s="13"/>
      <c r="R13" s="13"/>
      <c r="S13" s="13"/>
      <c r="T13" s="13"/>
      <c r="U13" s="13"/>
    </row>
    <row r="14" spans="1:21" s="6" customFormat="1" ht="18.5" x14ac:dyDescent="0.45">
      <c r="A14" s="129"/>
      <c r="B14" s="129" t="s">
        <v>73</v>
      </c>
      <c r="C14" s="129"/>
      <c r="D14" s="129"/>
      <c r="E14" s="129" t="str">
        <f>'Membership Level'!A18</f>
        <v>Zumba Month</v>
      </c>
      <c r="F14" s="135">
        <v>1500</v>
      </c>
      <c r="G14" s="130">
        <v>1500</v>
      </c>
      <c r="H14" s="130">
        <f t="shared" si="0"/>
        <v>0</v>
      </c>
      <c r="I14" s="131">
        <v>45709</v>
      </c>
      <c r="J14" s="131">
        <f t="shared" si="3"/>
        <v>45739</v>
      </c>
      <c r="K14" s="129">
        <v>3</v>
      </c>
      <c r="L14" s="132"/>
      <c r="M14" s="131">
        <f t="shared" si="1"/>
        <v>45736</v>
      </c>
      <c r="N14" s="129" t="str">
        <f t="shared" ca="1" si="2"/>
        <v/>
      </c>
      <c r="O14" s="131" t="e">
        <f>G14/F14*VLOOKUP(E14,'Membership Level'!$A$3:$C$10,3,FALSE)+I14</f>
        <v>#N/A</v>
      </c>
      <c r="P14" s="133"/>
      <c r="Q14" s="17"/>
      <c r="R14" s="17"/>
      <c r="S14" s="17"/>
      <c r="T14" s="17"/>
      <c r="U14" s="17"/>
    </row>
    <row r="15" spans="1:21" ht="18.5" x14ac:dyDescent="0.45">
      <c r="A15" s="129"/>
      <c r="B15" s="129" t="s">
        <v>85</v>
      </c>
      <c r="C15" s="129"/>
      <c r="D15" s="129"/>
      <c r="E15" s="129" t="str">
        <f>'Membership Level'!A18</f>
        <v>Zumba Month</v>
      </c>
      <c r="F15" s="135">
        <v>800</v>
      </c>
      <c r="G15" s="130">
        <v>800</v>
      </c>
      <c r="H15" s="130">
        <f t="shared" si="0"/>
        <v>0</v>
      </c>
      <c r="I15" s="131">
        <v>45690</v>
      </c>
      <c r="J15" s="131">
        <f>I15+30</f>
        <v>45720</v>
      </c>
      <c r="K15" s="129">
        <v>3</v>
      </c>
      <c r="L15" s="132"/>
      <c r="M15" s="131">
        <f t="shared" si="1"/>
        <v>45717</v>
      </c>
      <c r="N15" s="129" t="str">
        <f t="shared" ca="1" si="2"/>
        <v/>
      </c>
      <c r="O15" s="131" t="e">
        <f>G15/F15*VLOOKUP(E15,'Membership Level'!$A$3:$C$10,3,FALSE)+I15</f>
        <v>#N/A</v>
      </c>
      <c r="P15" s="133"/>
      <c r="Q15" s="14"/>
      <c r="R15" s="14"/>
      <c r="S15" s="14"/>
      <c r="T15" s="14"/>
      <c r="U15" s="14"/>
    </row>
    <row r="16" spans="1:21" s="11" customFormat="1" ht="18.5" x14ac:dyDescent="0.45">
      <c r="A16" s="121"/>
      <c r="B16" s="121"/>
      <c r="C16" s="121"/>
      <c r="D16" s="121"/>
      <c r="E16" s="121"/>
      <c r="F16" s="125"/>
      <c r="G16" s="128"/>
      <c r="H16" s="128">
        <f t="shared" si="0"/>
        <v>0</v>
      </c>
      <c r="I16" s="122">
        <v>45026</v>
      </c>
      <c r="J16" s="122">
        <f t="shared" si="3"/>
        <v>45056</v>
      </c>
      <c r="K16" s="121">
        <v>3</v>
      </c>
      <c r="L16" s="123"/>
      <c r="M16" s="122">
        <f t="shared" si="1"/>
        <v>45053</v>
      </c>
      <c r="N16" s="121" t="str">
        <f t="shared" ca="1" si="2"/>
        <v/>
      </c>
      <c r="O16" s="122" t="e">
        <f>G16/F16*VLOOKUP(E16,'Membership Level'!$A$3:$C$10,3,FALSE)+I16</f>
        <v>#DIV/0!</v>
      </c>
      <c r="P16" s="124"/>
      <c r="Q16" s="13"/>
      <c r="R16" s="13"/>
      <c r="S16" s="13"/>
      <c r="T16" s="13"/>
      <c r="U16" s="13"/>
    </row>
    <row r="17" spans="1:21" ht="18.5" x14ac:dyDescent="0.45">
      <c r="A17" s="129"/>
      <c r="B17" s="129"/>
      <c r="C17" s="129"/>
      <c r="D17" s="129"/>
      <c r="E17" s="129"/>
      <c r="F17" s="135"/>
      <c r="G17" s="130"/>
      <c r="H17" s="130">
        <f t="shared" si="0"/>
        <v>0</v>
      </c>
      <c r="I17" s="131">
        <v>45296</v>
      </c>
      <c r="J17" s="131">
        <v>45327</v>
      </c>
      <c r="K17" s="129">
        <v>3</v>
      </c>
      <c r="L17" s="132"/>
      <c r="M17" s="131">
        <f t="shared" si="1"/>
        <v>45324</v>
      </c>
      <c r="N17" s="129" t="str">
        <f t="shared" ca="1" si="2"/>
        <v/>
      </c>
      <c r="O17" s="131" t="e">
        <f>G17/F17*VLOOKUP(E17,'Membership Level'!$A$3:$C$10,3,FALSE)+I17</f>
        <v>#DIV/0!</v>
      </c>
      <c r="P17" s="133"/>
      <c r="Q17" s="14"/>
      <c r="R17" s="14"/>
      <c r="S17" s="14"/>
      <c r="T17" s="14"/>
      <c r="U17" s="14"/>
    </row>
    <row r="18" spans="1:21" s="11" customFormat="1" ht="18.5" x14ac:dyDescent="0.45">
      <c r="A18" s="121"/>
      <c r="B18" s="121"/>
      <c r="C18" s="121"/>
      <c r="D18" s="121"/>
      <c r="E18" s="121"/>
      <c r="F18" s="125"/>
      <c r="G18" s="128"/>
      <c r="H18" s="128">
        <f t="shared" si="0"/>
        <v>0</v>
      </c>
      <c r="I18" s="122">
        <v>44986</v>
      </c>
      <c r="J18" s="122">
        <f>I18+90</f>
        <v>45076</v>
      </c>
      <c r="K18" s="121">
        <v>3</v>
      </c>
      <c r="L18" s="123"/>
      <c r="M18" s="122">
        <f t="shared" si="1"/>
        <v>45073</v>
      </c>
      <c r="N18" s="121" t="str">
        <f t="shared" ca="1" si="2"/>
        <v/>
      </c>
      <c r="O18" s="122" t="e">
        <f>G18/F18*VLOOKUP(E18,'Membership Level'!$A$3:$C$10,3,FALSE)+I18</f>
        <v>#DIV/0!</v>
      </c>
      <c r="P18" s="124"/>
      <c r="Q18" s="13"/>
      <c r="R18" s="13"/>
      <c r="S18" s="13"/>
      <c r="T18" s="13"/>
      <c r="U18" s="13"/>
    </row>
    <row r="19" spans="1:21" s="11" customFormat="1" ht="18.5" x14ac:dyDescent="0.45">
      <c r="A19" s="121"/>
      <c r="B19" s="121"/>
      <c r="C19" s="121"/>
      <c r="D19" s="121"/>
      <c r="E19" s="121"/>
      <c r="F19" s="125"/>
      <c r="G19" s="128"/>
      <c r="H19" s="128">
        <f t="shared" si="0"/>
        <v>0</v>
      </c>
      <c r="I19" s="122">
        <v>45292</v>
      </c>
      <c r="J19" s="122">
        <v>45323</v>
      </c>
      <c r="K19" s="121">
        <v>3</v>
      </c>
      <c r="L19" s="123"/>
      <c r="M19" s="122">
        <f t="shared" si="1"/>
        <v>45320</v>
      </c>
      <c r="N19" s="121" t="str">
        <f t="shared" ca="1" si="2"/>
        <v/>
      </c>
      <c r="O19" s="122" t="e">
        <f>G19/F19*VLOOKUP(E19,'Membership Level'!$A$3:$C$10,3,FALSE)+I19</f>
        <v>#DIV/0!</v>
      </c>
      <c r="P19" s="124"/>
      <c r="Q19" s="13"/>
      <c r="R19" s="13"/>
      <c r="S19" s="13"/>
      <c r="T19" s="13"/>
      <c r="U19" s="13"/>
    </row>
    <row r="20" spans="1:21" s="11" customFormat="1" ht="18.5" x14ac:dyDescent="0.45">
      <c r="A20" s="121"/>
      <c r="B20" s="121"/>
      <c r="C20" s="121"/>
      <c r="D20" s="162"/>
      <c r="E20" s="121"/>
      <c r="F20" s="125"/>
      <c r="G20" s="128"/>
      <c r="H20" s="128">
        <f t="shared" si="0"/>
        <v>0</v>
      </c>
      <c r="I20" s="122">
        <v>45034</v>
      </c>
      <c r="J20" s="122">
        <f t="shared" ref="J20:J36" si="4">I20+30</f>
        <v>45064</v>
      </c>
      <c r="K20" s="121">
        <v>3</v>
      </c>
      <c r="L20" s="123"/>
      <c r="M20" s="122">
        <f t="shared" si="1"/>
        <v>45061</v>
      </c>
      <c r="N20" s="121" t="str">
        <f t="shared" ca="1" si="2"/>
        <v/>
      </c>
      <c r="O20" s="122" t="e">
        <f>G20/F20*VLOOKUP(E20,'Membership Level'!$A$3:$C$10,3,FALSE)+I20</f>
        <v>#DIV/0!</v>
      </c>
      <c r="P20" s="124"/>
      <c r="Q20" s="13"/>
      <c r="R20" s="13"/>
      <c r="S20" s="13"/>
      <c r="T20" s="13"/>
      <c r="U20" s="13"/>
    </row>
    <row r="21" spans="1:21" s="11" customFormat="1" ht="18.5" x14ac:dyDescent="0.45">
      <c r="A21" s="121"/>
      <c r="B21" s="121"/>
      <c r="C21" s="121"/>
      <c r="D21" s="121"/>
      <c r="E21" s="121"/>
      <c r="F21" s="125"/>
      <c r="G21" s="128"/>
      <c r="H21" s="128">
        <f t="shared" si="0"/>
        <v>0</v>
      </c>
      <c r="I21" s="122">
        <v>45057</v>
      </c>
      <c r="J21" s="122">
        <f t="shared" si="4"/>
        <v>45087</v>
      </c>
      <c r="K21" s="121">
        <v>3</v>
      </c>
      <c r="L21" s="123"/>
      <c r="M21" s="122">
        <f t="shared" si="1"/>
        <v>45084</v>
      </c>
      <c r="N21" s="121" t="str">
        <f t="shared" ca="1" si="2"/>
        <v/>
      </c>
      <c r="O21" s="122" t="e">
        <f>G21/F21*VLOOKUP(E21,'Membership Level'!$A$3:$C$10,3,FALSE)+I21</f>
        <v>#DIV/0!</v>
      </c>
      <c r="P21" s="124"/>
      <c r="Q21" s="15"/>
      <c r="R21" s="13"/>
      <c r="S21" s="13"/>
      <c r="T21" s="13"/>
      <c r="U21" s="13"/>
    </row>
    <row r="22" spans="1:21" s="11" customFormat="1" ht="18.5" x14ac:dyDescent="0.45">
      <c r="A22" s="121"/>
      <c r="B22" s="121"/>
      <c r="C22" s="121"/>
      <c r="D22" s="121"/>
      <c r="E22" s="121"/>
      <c r="F22" s="125"/>
      <c r="G22" s="128"/>
      <c r="H22" s="128">
        <f t="shared" si="0"/>
        <v>0</v>
      </c>
      <c r="I22" s="122">
        <v>45059</v>
      </c>
      <c r="J22" s="122">
        <f t="shared" si="4"/>
        <v>45089</v>
      </c>
      <c r="K22" s="121">
        <v>3</v>
      </c>
      <c r="L22" s="123"/>
      <c r="M22" s="122">
        <f t="shared" si="1"/>
        <v>45086</v>
      </c>
      <c r="N22" s="121" t="str">
        <f t="shared" ca="1" si="2"/>
        <v/>
      </c>
      <c r="O22" s="122" t="e">
        <f>G22/F22*VLOOKUP(E22,'Membership Level'!$A$3:$C$10,3,FALSE)+I22</f>
        <v>#DIV/0!</v>
      </c>
      <c r="P22" s="124"/>
      <c r="Q22" s="13"/>
      <c r="R22" s="13"/>
      <c r="S22" s="13"/>
      <c r="T22" s="13"/>
      <c r="U22" s="13"/>
    </row>
    <row r="23" spans="1:21" ht="18.5" x14ac:dyDescent="0.45">
      <c r="A23" s="121"/>
      <c r="B23" s="121"/>
      <c r="C23" s="121"/>
      <c r="D23" s="121"/>
      <c r="E23" s="121"/>
      <c r="F23" s="125"/>
      <c r="G23" s="128"/>
      <c r="H23" s="128">
        <f t="shared" si="0"/>
        <v>0</v>
      </c>
      <c r="I23" s="122">
        <v>45225</v>
      </c>
      <c r="J23" s="122">
        <f t="shared" si="4"/>
        <v>45255</v>
      </c>
      <c r="K23" s="121">
        <v>3</v>
      </c>
      <c r="L23" s="123"/>
      <c r="M23" s="122">
        <f t="shared" si="1"/>
        <v>45252</v>
      </c>
      <c r="N23" s="121" t="str">
        <f t="shared" ca="1" si="2"/>
        <v/>
      </c>
      <c r="O23" s="122" t="e">
        <f>G23/F23*VLOOKUP(E23,'Membership Level'!$A$3:$C$10,3,FALSE)+I23</f>
        <v>#DIV/0!</v>
      </c>
      <c r="P23" s="124"/>
      <c r="Q23" s="16"/>
      <c r="R23" s="14"/>
      <c r="S23" s="14"/>
      <c r="T23" s="14"/>
      <c r="U23" s="14"/>
    </row>
    <row r="24" spans="1:21" s="11" customFormat="1" ht="18.5" x14ac:dyDescent="0.45">
      <c r="A24" s="121"/>
      <c r="B24" s="121"/>
      <c r="C24" s="121"/>
      <c r="D24" s="121"/>
      <c r="E24" s="121"/>
      <c r="F24" s="125"/>
      <c r="G24" s="128"/>
      <c r="H24" s="128">
        <f t="shared" si="0"/>
        <v>0</v>
      </c>
      <c r="I24" s="122">
        <v>45097</v>
      </c>
      <c r="J24" s="122">
        <f t="shared" si="4"/>
        <v>45127</v>
      </c>
      <c r="K24" s="121">
        <v>3</v>
      </c>
      <c r="L24" s="123"/>
      <c r="M24" s="122">
        <f t="shared" si="1"/>
        <v>45124</v>
      </c>
      <c r="N24" s="121" t="str">
        <f t="shared" ca="1" si="2"/>
        <v/>
      </c>
      <c r="O24" s="122" t="e">
        <f>G24/F24*VLOOKUP(E24,'Membership Level'!$A$3:$C$10,3,FALSE)+I24</f>
        <v>#DIV/0!</v>
      </c>
      <c r="P24" s="124"/>
      <c r="Q24" s="13"/>
      <c r="R24" s="13"/>
      <c r="S24" s="13"/>
      <c r="T24" s="13"/>
      <c r="U24" s="13"/>
    </row>
    <row r="25" spans="1:21" s="11" customFormat="1" ht="18.5" x14ac:dyDescent="0.45">
      <c r="A25" s="121"/>
      <c r="B25" s="121"/>
      <c r="C25" s="121"/>
      <c r="D25" s="121"/>
      <c r="E25" s="121"/>
      <c r="F25" s="125"/>
      <c r="G25" s="128"/>
      <c r="H25" s="128">
        <f t="shared" si="0"/>
        <v>0</v>
      </c>
      <c r="I25" s="122">
        <v>45076</v>
      </c>
      <c r="J25" s="122">
        <f t="shared" si="4"/>
        <v>45106</v>
      </c>
      <c r="K25" s="121">
        <v>3</v>
      </c>
      <c r="L25" s="123"/>
      <c r="M25" s="122">
        <f t="shared" si="1"/>
        <v>45103</v>
      </c>
      <c r="N25" s="121" t="str">
        <f t="shared" ca="1" si="2"/>
        <v/>
      </c>
      <c r="O25" s="122" t="e">
        <f>G25/F25*VLOOKUP(E25,'Membership Level'!$A$3:$C$10,3,FALSE)+I25</f>
        <v>#DIV/0!</v>
      </c>
      <c r="P25" s="124"/>
      <c r="Q25" s="13"/>
      <c r="R25" s="13"/>
      <c r="S25" s="13"/>
      <c r="T25" s="13"/>
      <c r="U25" s="13"/>
    </row>
    <row r="26" spans="1:21" ht="18.5" x14ac:dyDescent="0.45">
      <c r="A26" s="121"/>
      <c r="B26" s="121"/>
      <c r="C26" s="121"/>
      <c r="D26" s="121"/>
      <c r="E26" s="121"/>
      <c r="F26" s="125"/>
      <c r="G26" s="128"/>
      <c r="H26" s="128">
        <f t="shared" si="0"/>
        <v>0</v>
      </c>
      <c r="I26" s="122">
        <v>45085</v>
      </c>
      <c r="J26" s="122">
        <f t="shared" si="4"/>
        <v>45115</v>
      </c>
      <c r="K26" s="121">
        <v>3</v>
      </c>
      <c r="L26" s="123"/>
      <c r="M26" s="122">
        <f t="shared" si="1"/>
        <v>45112</v>
      </c>
      <c r="N26" s="121" t="str">
        <f t="shared" ca="1" si="2"/>
        <v/>
      </c>
      <c r="O26" s="122" t="e">
        <f>G26/F26*VLOOKUP(E26,'Membership Level'!$A$3:$C$10,3,FALSE)+I26</f>
        <v>#DIV/0!</v>
      </c>
      <c r="P26" s="124"/>
      <c r="Q26" s="14"/>
      <c r="R26" s="14"/>
      <c r="S26" s="14"/>
      <c r="T26" s="14"/>
      <c r="U26" s="14"/>
    </row>
    <row r="27" spans="1:21" ht="18.5" x14ac:dyDescent="0.45">
      <c r="A27" s="121"/>
      <c r="B27" s="121"/>
      <c r="C27" s="121"/>
      <c r="D27" s="121"/>
      <c r="E27" s="121"/>
      <c r="F27" s="125"/>
      <c r="G27" s="128"/>
      <c r="H27" s="128">
        <f t="shared" si="0"/>
        <v>0</v>
      </c>
      <c r="I27" s="122">
        <v>45115</v>
      </c>
      <c r="J27" s="122">
        <f>I27+90</f>
        <v>45205</v>
      </c>
      <c r="K27" s="121">
        <v>3</v>
      </c>
      <c r="L27" s="123"/>
      <c r="M27" s="122">
        <f t="shared" si="1"/>
        <v>45202</v>
      </c>
      <c r="N27" s="121" t="str">
        <f t="shared" ca="1" si="2"/>
        <v/>
      </c>
      <c r="O27" s="122" t="e">
        <f>G27/F27*VLOOKUP(E27,'Membership Level'!$A$3:$C$10,3,FALSE)+I27</f>
        <v>#DIV/0!</v>
      </c>
      <c r="P27" s="124"/>
      <c r="Q27" s="14"/>
      <c r="R27" s="14"/>
      <c r="S27" s="14"/>
      <c r="T27" s="14"/>
      <c r="U27" s="14"/>
    </row>
    <row r="28" spans="1:21" ht="18.5" x14ac:dyDescent="0.45">
      <c r="A28" s="121"/>
      <c r="B28" s="121"/>
      <c r="C28" s="121"/>
      <c r="D28" s="121"/>
      <c r="E28" s="121"/>
      <c r="F28" s="125"/>
      <c r="G28" s="128"/>
      <c r="H28" s="128">
        <f t="shared" si="0"/>
        <v>0</v>
      </c>
      <c r="I28" s="122">
        <v>45274</v>
      </c>
      <c r="J28" s="122">
        <f t="shared" si="4"/>
        <v>45304</v>
      </c>
      <c r="K28" s="121">
        <v>3</v>
      </c>
      <c r="L28" s="123"/>
      <c r="M28" s="122">
        <f t="shared" si="1"/>
        <v>45301</v>
      </c>
      <c r="N28" s="121" t="str">
        <f t="shared" ca="1" si="2"/>
        <v/>
      </c>
      <c r="O28" s="122" t="e">
        <f>G28/F28*VLOOKUP(E28,'Membership Level'!$A$3:$C$10,3,FALSE)+I28</f>
        <v>#DIV/0!</v>
      </c>
      <c r="P28" s="124"/>
      <c r="Q28" s="14"/>
      <c r="R28" s="14"/>
      <c r="S28" s="14"/>
      <c r="T28" s="14"/>
      <c r="U28" s="14"/>
    </row>
    <row r="29" spans="1:21" ht="18.5" x14ac:dyDescent="0.45">
      <c r="A29" s="121"/>
      <c r="B29" s="121"/>
      <c r="C29" s="121"/>
      <c r="D29" s="121"/>
      <c r="E29" s="121"/>
      <c r="F29" s="125"/>
      <c r="G29" s="128"/>
      <c r="H29" s="128">
        <f t="shared" si="0"/>
        <v>0</v>
      </c>
      <c r="I29" s="122">
        <v>45261</v>
      </c>
      <c r="J29" s="122">
        <v>45292</v>
      </c>
      <c r="K29" s="121">
        <v>3</v>
      </c>
      <c r="L29" s="123"/>
      <c r="M29" s="122">
        <f t="shared" si="1"/>
        <v>45289</v>
      </c>
      <c r="N29" s="121" t="str">
        <f t="shared" ca="1" si="2"/>
        <v/>
      </c>
      <c r="O29" s="122" t="e">
        <f>G29/F29*VLOOKUP(E29,'Membership Level'!$A$3:$C$10,3,FALSE)+I29</f>
        <v>#DIV/0!</v>
      </c>
      <c r="P29" s="126"/>
      <c r="Q29" s="14"/>
      <c r="R29" s="14"/>
      <c r="S29" s="14"/>
      <c r="T29" s="14"/>
      <c r="U29" s="14"/>
    </row>
    <row r="30" spans="1:21" s="11" customFormat="1" ht="18.5" x14ac:dyDescent="0.45">
      <c r="A30" s="121"/>
      <c r="B30" s="121"/>
      <c r="C30" s="121"/>
      <c r="D30" s="121"/>
      <c r="E30" s="121"/>
      <c r="F30" s="125"/>
      <c r="G30" s="128"/>
      <c r="H30" s="128">
        <f t="shared" si="0"/>
        <v>0</v>
      </c>
      <c r="I30" s="122">
        <v>45110</v>
      </c>
      <c r="J30" s="122">
        <f t="shared" si="4"/>
        <v>45140</v>
      </c>
      <c r="K30" s="121">
        <v>3</v>
      </c>
      <c r="L30" s="123"/>
      <c r="M30" s="122">
        <f t="shared" si="1"/>
        <v>45137</v>
      </c>
      <c r="N30" s="121" t="str">
        <f t="shared" ca="1" si="2"/>
        <v/>
      </c>
      <c r="O30" s="122" t="e">
        <f>G30/F30*VLOOKUP(E30,'Membership Level'!$A$3:$C$10,3,FALSE)+I30</f>
        <v>#DIV/0!</v>
      </c>
      <c r="P30" s="127"/>
      <c r="R30" s="13"/>
      <c r="S30" s="13"/>
      <c r="T30" s="13"/>
      <c r="U30" s="13"/>
    </row>
    <row r="31" spans="1:21" s="11" customFormat="1" ht="18.5" x14ac:dyDescent="0.45">
      <c r="A31" s="121"/>
      <c r="B31" s="121"/>
      <c r="C31" s="121"/>
      <c r="D31" s="121"/>
      <c r="E31" s="121"/>
      <c r="F31" s="125"/>
      <c r="G31" s="128"/>
      <c r="H31" s="128">
        <f t="shared" si="0"/>
        <v>0</v>
      </c>
      <c r="I31" s="122">
        <v>45111</v>
      </c>
      <c r="J31" s="122">
        <f t="shared" si="4"/>
        <v>45141</v>
      </c>
      <c r="K31" s="121">
        <v>3</v>
      </c>
      <c r="L31" s="123"/>
      <c r="M31" s="122">
        <f t="shared" si="1"/>
        <v>45138</v>
      </c>
      <c r="N31" s="121" t="str">
        <f t="shared" ca="1" si="2"/>
        <v/>
      </c>
      <c r="O31" s="122" t="e">
        <f>G31/F31*VLOOKUP(E31,'Membership Level'!$A$3:$C$10,3,FALSE)+I31</f>
        <v>#DIV/0!</v>
      </c>
      <c r="P31" s="124"/>
      <c r="Q31" s="13"/>
      <c r="R31" s="13"/>
      <c r="S31" s="13"/>
      <c r="T31" s="13"/>
      <c r="U31" s="13"/>
    </row>
    <row r="32" spans="1:21" ht="18.5" x14ac:dyDescent="0.45">
      <c r="A32" s="121"/>
      <c r="B32" s="121"/>
      <c r="C32" s="121"/>
      <c r="D32" s="121"/>
      <c r="E32" s="121"/>
      <c r="F32" s="125"/>
      <c r="G32" s="128"/>
      <c r="H32" s="128">
        <f t="shared" si="0"/>
        <v>0</v>
      </c>
      <c r="I32" s="122">
        <v>45173</v>
      </c>
      <c r="J32" s="122">
        <f t="shared" si="4"/>
        <v>45203</v>
      </c>
      <c r="K32" s="121">
        <v>3</v>
      </c>
      <c r="L32" s="123"/>
      <c r="M32" s="122">
        <f t="shared" si="1"/>
        <v>45200</v>
      </c>
      <c r="N32" s="121" t="str">
        <f t="shared" ca="1" si="2"/>
        <v/>
      </c>
      <c r="O32" s="122" t="e">
        <f>G32/F32*VLOOKUP(E32,'Membership Level'!$A$3:$C$10,3,FALSE)+I32</f>
        <v>#DIV/0!</v>
      </c>
      <c r="P32" s="124"/>
      <c r="Q32" s="14"/>
      <c r="R32" s="14"/>
      <c r="S32" s="14"/>
      <c r="T32" s="14"/>
      <c r="U32" s="14"/>
    </row>
    <row r="33" spans="1:21" ht="18.5" x14ac:dyDescent="0.45">
      <c r="A33" s="121"/>
      <c r="B33" s="121"/>
      <c r="C33" s="121"/>
      <c r="D33" s="121"/>
      <c r="E33" s="121"/>
      <c r="F33" s="125"/>
      <c r="G33" s="128"/>
      <c r="H33" s="128">
        <f t="shared" si="0"/>
        <v>0</v>
      </c>
      <c r="I33" s="122">
        <v>45200</v>
      </c>
      <c r="J33" s="122">
        <f t="shared" si="4"/>
        <v>45230</v>
      </c>
      <c r="K33" s="121">
        <v>3</v>
      </c>
      <c r="L33" s="123"/>
      <c r="M33" s="122">
        <f t="shared" si="1"/>
        <v>45227</v>
      </c>
      <c r="N33" s="121" t="str">
        <f t="shared" ca="1" si="2"/>
        <v/>
      </c>
      <c r="O33" s="122" t="e">
        <f>G33/F33*VLOOKUP(E33,'Membership Level'!$A$3:$C$10,3,FALSE)+I33</f>
        <v>#DIV/0!</v>
      </c>
      <c r="P33" s="124"/>
      <c r="Q33" s="14"/>
      <c r="R33" s="14"/>
      <c r="S33" s="14"/>
      <c r="T33" s="14"/>
      <c r="U33" s="14"/>
    </row>
    <row r="34" spans="1:21" ht="18.5" x14ac:dyDescent="0.45">
      <c r="A34" s="121"/>
      <c r="B34" s="121"/>
      <c r="C34" s="121"/>
      <c r="D34" s="122"/>
      <c r="E34" s="121"/>
      <c r="F34" s="125"/>
      <c r="G34" s="128"/>
      <c r="H34" s="128">
        <f t="shared" si="0"/>
        <v>0</v>
      </c>
      <c r="I34" s="122">
        <v>45143</v>
      </c>
      <c r="J34" s="122">
        <f t="shared" si="4"/>
        <v>45173</v>
      </c>
      <c r="K34" s="121">
        <v>3</v>
      </c>
      <c r="L34" s="123"/>
      <c r="M34" s="122">
        <f t="shared" si="1"/>
        <v>45170</v>
      </c>
      <c r="N34" s="121" t="str">
        <f t="shared" ca="1" si="2"/>
        <v/>
      </c>
      <c r="O34" s="122" t="e">
        <f>G34/F34*VLOOKUP(E34,'Membership Level'!$A$3:$C$10,3,FALSE)+I34</f>
        <v>#DIV/0!</v>
      </c>
      <c r="P34" s="124"/>
      <c r="Q34" s="14"/>
      <c r="R34" s="14"/>
      <c r="S34" s="14"/>
      <c r="T34" s="14"/>
      <c r="U34" s="14"/>
    </row>
    <row r="35" spans="1:21" s="6" customFormat="1" ht="18.5" x14ac:dyDescent="0.45">
      <c r="A35" s="31"/>
      <c r="B35" s="31"/>
      <c r="C35" s="31"/>
      <c r="D35" s="31"/>
      <c r="E35" s="31"/>
      <c r="F35" s="110"/>
      <c r="G35" s="32"/>
      <c r="H35" s="128">
        <f t="shared" si="0"/>
        <v>0</v>
      </c>
      <c r="I35" s="33">
        <v>45273</v>
      </c>
      <c r="J35" s="28">
        <f t="shared" si="4"/>
        <v>45303</v>
      </c>
      <c r="K35" s="121">
        <v>3</v>
      </c>
      <c r="L35" s="34"/>
      <c r="M35" s="122">
        <f t="shared" si="1"/>
        <v>45300</v>
      </c>
      <c r="N35" s="31" t="str">
        <f t="shared" ca="1" si="2"/>
        <v/>
      </c>
      <c r="O35" s="122" t="e">
        <f>G35/F35*VLOOKUP(E35,'Membership Level'!$A$3:$C$10,3,FALSE)+I35</f>
        <v>#DIV/0!</v>
      </c>
      <c r="P35" s="17"/>
      <c r="Q35" s="17"/>
      <c r="R35" s="17"/>
      <c r="S35" s="17"/>
      <c r="T35" s="17"/>
      <c r="U35" s="17"/>
    </row>
    <row r="36" spans="1:21" s="57" customFormat="1" ht="18.5" x14ac:dyDescent="0.45">
      <c r="A36" s="54"/>
      <c r="B36" s="54"/>
      <c r="C36" s="54"/>
      <c r="D36" s="54"/>
      <c r="E36" s="54"/>
      <c r="F36" s="76"/>
      <c r="G36" s="23"/>
      <c r="H36" s="128">
        <f t="shared" si="0"/>
        <v>0</v>
      </c>
      <c r="I36" s="26">
        <v>45294</v>
      </c>
      <c r="J36" s="26">
        <f t="shared" si="4"/>
        <v>45324</v>
      </c>
      <c r="K36" s="121">
        <v>3</v>
      </c>
      <c r="L36" s="55"/>
      <c r="M36" s="122">
        <f t="shared" si="1"/>
        <v>45321</v>
      </c>
      <c r="N36" s="54" t="str">
        <f t="shared" ca="1" si="2"/>
        <v/>
      </c>
      <c r="O36" s="122" t="e">
        <f>G36/F36*VLOOKUP(E36,'Membership Level'!$A$3:$C$10,3,FALSE)+I36</f>
        <v>#DIV/0!</v>
      </c>
      <c r="P36" s="56"/>
      <c r="Q36" s="56"/>
      <c r="R36" s="56"/>
      <c r="S36" s="56"/>
      <c r="T36" s="56"/>
      <c r="U36" s="56"/>
    </row>
    <row r="37" spans="1:21" ht="18.5" x14ac:dyDescent="0.45">
      <c r="A37" s="22"/>
      <c r="B37" s="22"/>
      <c r="C37" s="22"/>
      <c r="D37" s="22"/>
      <c r="E37" s="22"/>
      <c r="F37" s="22"/>
      <c r="G37" s="37"/>
      <c r="H37" s="128">
        <f t="shared" si="0"/>
        <v>0</v>
      </c>
      <c r="I37" s="28"/>
      <c r="J37" s="28"/>
      <c r="K37" s="121">
        <v>3</v>
      </c>
      <c r="L37" s="29"/>
      <c r="M37" s="122" t="str">
        <f t="shared" si="1"/>
        <v/>
      </c>
      <c r="N37" s="22"/>
      <c r="O37" s="122" t="e">
        <f>G37/F37*VLOOKUP(E37,'Membership Level'!$A$3:$C$10,3,FALSE)+I37</f>
        <v>#DIV/0!</v>
      </c>
      <c r="P37" s="14"/>
      <c r="Q37" s="14"/>
      <c r="R37" s="14"/>
      <c r="S37" s="14"/>
      <c r="T37" s="14"/>
      <c r="U37" s="14"/>
    </row>
    <row r="38" spans="1:21" ht="18.5" x14ac:dyDescent="0.45">
      <c r="A38" s="22"/>
      <c r="B38" s="22"/>
      <c r="C38" s="22"/>
      <c r="D38" s="22"/>
      <c r="E38" s="22"/>
      <c r="F38" s="22"/>
      <c r="G38" s="38"/>
      <c r="H38" s="128">
        <f t="shared" si="0"/>
        <v>0</v>
      </c>
      <c r="I38" s="28"/>
      <c r="J38" s="28"/>
      <c r="K38" s="121">
        <v>3</v>
      </c>
      <c r="L38" s="29"/>
      <c r="M38" s="122" t="str">
        <f t="shared" si="1"/>
        <v/>
      </c>
      <c r="N38" s="22"/>
      <c r="O38" s="122" t="e">
        <f>G38/F38*VLOOKUP(E38,'Membership Level'!$A$3:$C$10,3,FALSE)+I38</f>
        <v>#DIV/0!</v>
      </c>
      <c r="P38" s="14"/>
      <c r="Q38" s="14"/>
      <c r="R38" s="14"/>
      <c r="S38" s="14"/>
      <c r="T38" s="14"/>
      <c r="U38" s="14"/>
    </row>
    <row r="39" spans="1:21" s="6" customFormat="1" ht="18.5" x14ac:dyDescent="0.45">
      <c r="A39" s="31"/>
      <c r="B39" s="31"/>
      <c r="C39" s="31"/>
      <c r="D39" s="114"/>
      <c r="E39" s="31"/>
      <c r="F39" s="110"/>
      <c r="G39" s="110"/>
      <c r="H39" s="36"/>
      <c r="I39" s="33"/>
      <c r="J39" s="33"/>
      <c r="K39" s="121">
        <v>3</v>
      </c>
      <c r="L39" s="34"/>
      <c r="M39" s="122" t="str">
        <f t="shared" si="1"/>
        <v/>
      </c>
      <c r="N39" s="31"/>
      <c r="O39" s="122" t="e">
        <f>G39/F39*VLOOKUP(E39,'Membership Level'!$A$3:$C$10,3,FALSE)+I39</f>
        <v>#DIV/0!</v>
      </c>
      <c r="P39" s="17"/>
      <c r="Q39" s="17"/>
      <c r="R39" s="17"/>
      <c r="S39" s="17"/>
      <c r="T39" s="17"/>
      <c r="U39" s="17"/>
    </row>
    <row r="40" spans="1:21" ht="18.5" x14ac:dyDescent="0.45">
      <c r="A40" s="22"/>
      <c r="B40" s="22"/>
      <c r="C40" s="22"/>
      <c r="D40" s="22"/>
      <c r="E40" s="22"/>
      <c r="F40" s="22"/>
      <c r="G40" s="38"/>
      <c r="H40" s="27"/>
      <c r="I40" s="28"/>
      <c r="J40" s="28"/>
      <c r="K40" s="121">
        <v>3</v>
      </c>
      <c r="L40" s="29"/>
      <c r="M40" s="122" t="str">
        <f t="shared" si="1"/>
        <v/>
      </c>
      <c r="N40" s="22"/>
      <c r="O40" s="122" t="e">
        <f>G40/F40*VLOOKUP(E40,'Membership Level'!$A$3:$C$10,3,FALSE)+I40</f>
        <v>#DIV/0!</v>
      </c>
      <c r="P40" s="14"/>
      <c r="Q40" s="14"/>
      <c r="R40" s="14"/>
      <c r="S40" s="14"/>
      <c r="T40" s="14"/>
      <c r="U40" s="14"/>
    </row>
    <row r="41" spans="1:21" s="12" customFormat="1" ht="18.5" x14ac:dyDescent="0.45">
      <c r="A41" s="40"/>
      <c r="B41" s="40"/>
      <c r="C41" s="40"/>
      <c r="D41" s="40"/>
      <c r="E41" s="40"/>
      <c r="F41" s="40"/>
      <c r="G41" s="41"/>
      <c r="H41" s="42"/>
      <c r="I41" s="43"/>
      <c r="J41" s="43"/>
      <c r="K41" s="121">
        <v>3</v>
      </c>
      <c r="L41" s="44"/>
      <c r="M41" s="122" t="str">
        <f t="shared" si="1"/>
        <v/>
      </c>
      <c r="N41" s="40"/>
      <c r="O41" s="122" t="e">
        <f>G41/F41*VLOOKUP(E41,'Membership Level'!$A$3:$C$10,3,FALSE)+I41</f>
        <v>#DIV/0!</v>
      </c>
      <c r="P41" s="19"/>
      <c r="Q41" s="19"/>
      <c r="R41" s="19"/>
      <c r="S41" s="19"/>
      <c r="T41" s="19"/>
      <c r="U41" s="19"/>
    </row>
    <row r="42" spans="1:21" ht="18.5" x14ac:dyDescent="0.45">
      <c r="A42" s="22"/>
      <c r="B42" s="22"/>
      <c r="C42" s="22"/>
      <c r="D42" s="22"/>
      <c r="E42" s="22"/>
      <c r="F42" s="45"/>
      <c r="G42" s="45"/>
      <c r="H42" s="27"/>
      <c r="I42" s="28"/>
      <c r="J42" s="28"/>
      <c r="K42" s="121">
        <v>3</v>
      </c>
      <c r="L42" s="29"/>
      <c r="M42" s="122" t="str">
        <f t="shared" si="1"/>
        <v/>
      </c>
      <c r="N42" s="22"/>
      <c r="O42" s="30"/>
      <c r="P42" s="14"/>
      <c r="Q42" s="14"/>
      <c r="R42" s="14"/>
      <c r="S42" s="14"/>
      <c r="T42" s="14"/>
      <c r="U42" s="14"/>
    </row>
    <row r="43" spans="1:21" ht="18.5" x14ac:dyDescent="0.45">
      <c r="A43" s="22"/>
      <c r="B43" s="22"/>
      <c r="C43" s="22"/>
      <c r="D43" s="22"/>
      <c r="E43" s="22"/>
      <c r="F43" s="22"/>
      <c r="G43" s="38"/>
      <c r="H43" s="27"/>
      <c r="I43" s="28"/>
      <c r="J43" s="28"/>
      <c r="K43" s="121">
        <v>3</v>
      </c>
      <c r="L43" s="29"/>
      <c r="M43" s="122" t="str">
        <f t="shared" si="1"/>
        <v/>
      </c>
      <c r="N43" s="22"/>
      <c r="O43" s="30"/>
      <c r="P43" s="14"/>
      <c r="Q43" s="14"/>
      <c r="R43" s="14"/>
      <c r="S43" s="14"/>
      <c r="T43" s="14"/>
      <c r="U43" s="14"/>
    </row>
    <row r="44" spans="1:21" s="11" customFormat="1" ht="18.5" x14ac:dyDescent="0.45">
      <c r="A44" s="77"/>
      <c r="B44" s="21"/>
      <c r="C44" s="21"/>
      <c r="D44" s="21"/>
      <c r="E44" s="21"/>
      <c r="F44" s="39"/>
      <c r="G44" s="39"/>
      <c r="H44" s="23"/>
      <c r="I44" s="24"/>
      <c r="J44" s="24"/>
      <c r="K44" s="21"/>
      <c r="L44" s="25"/>
      <c r="M44" s="122" t="str">
        <f t="shared" si="1"/>
        <v/>
      </c>
      <c r="N44" s="21"/>
      <c r="O44" s="26"/>
      <c r="P44" s="13"/>
      <c r="Q44" s="13"/>
      <c r="R44" s="13"/>
      <c r="S44" s="13"/>
      <c r="T44" s="13"/>
      <c r="U44" s="13"/>
    </row>
    <row r="45" spans="1:21" s="10" customFormat="1" ht="18.5" x14ac:dyDescent="0.45">
      <c r="A45" s="46"/>
      <c r="B45" s="46"/>
      <c r="C45" s="46"/>
      <c r="D45" s="46"/>
      <c r="E45" s="46"/>
      <c r="F45" s="46"/>
      <c r="G45" s="47"/>
      <c r="H45" s="48"/>
      <c r="I45" s="49"/>
      <c r="J45" s="49"/>
      <c r="K45" s="46"/>
      <c r="L45" s="50"/>
      <c r="M45" s="122" t="str">
        <f t="shared" si="1"/>
        <v/>
      </c>
      <c r="N45" s="46"/>
      <c r="O45" s="51"/>
      <c r="P45" s="20"/>
      <c r="Q45" s="20"/>
      <c r="R45" s="20"/>
      <c r="S45" s="20"/>
      <c r="T45" s="20"/>
      <c r="U45" s="20"/>
    </row>
    <row r="46" spans="1:21" s="4" customFormat="1" ht="18.5" x14ac:dyDescent="0.45">
      <c r="A46" s="53"/>
      <c r="B46" s="53"/>
      <c r="C46" s="53"/>
      <c r="D46" s="116"/>
      <c r="E46" s="53"/>
      <c r="F46" s="117"/>
      <c r="G46" s="117"/>
      <c r="H46" s="27"/>
      <c r="I46" s="30"/>
      <c r="J46" s="30"/>
      <c r="K46" s="53"/>
      <c r="L46" s="118"/>
      <c r="M46" s="122" t="str">
        <f t="shared" si="1"/>
        <v/>
      </c>
      <c r="N46" s="53"/>
      <c r="O46" s="30"/>
      <c r="P46" s="119"/>
      <c r="Q46" s="119"/>
      <c r="R46" s="119"/>
      <c r="S46" s="119"/>
      <c r="T46" s="119"/>
      <c r="U46" s="119"/>
    </row>
    <row r="47" spans="1:21" ht="18.5" x14ac:dyDescent="0.45">
      <c r="A47" s="31"/>
      <c r="B47" s="31"/>
      <c r="C47" s="31"/>
      <c r="D47" s="31"/>
      <c r="E47" s="31"/>
      <c r="F47" s="31"/>
      <c r="G47" s="52"/>
      <c r="H47" s="36"/>
      <c r="I47" s="33"/>
      <c r="J47" s="33"/>
      <c r="K47" s="31"/>
      <c r="L47" s="34"/>
      <c r="M47" s="122" t="str">
        <f t="shared" si="1"/>
        <v/>
      </c>
      <c r="N47" s="31"/>
      <c r="O47" s="35"/>
      <c r="P47" s="14"/>
      <c r="Q47" s="14"/>
      <c r="R47" s="14"/>
      <c r="S47" s="14"/>
      <c r="T47" s="14"/>
      <c r="U47" s="14"/>
    </row>
    <row r="48" spans="1:21" ht="18.5" x14ac:dyDescent="0.45">
      <c r="A48" s="31"/>
      <c r="B48" s="31"/>
      <c r="C48" s="31"/>
      <c r="D48" s="31"/>
      <c r="E48" s="31"/>
      <c r="F48" s="31"/>
      <c r="G48" s="52"/>
      <c r="H48" s="36"/>
      <c r="I48" s="33"/>
      <c r="J48" s="33"/>
      <c r="K48" s="31"/>
      <c r="L48" s="34"/>
      <c r="M48" s="35"/>
      <c r="N48" s="31"/>
      <c r="O48" s="35"/>
      <c r="P48" s="14"/>
      <c r="Q48" s="14"/>
      <c r="R48" s="14"/>
      <c r="S48" s="14"/>
      <c r="T48" s="14"/>
      <c r="U48" s="14"/>
    </row>
    <row r="49" spans="1:21" ht="18.5" x14ac:dyDescent="0.45">
      <c r="A49" s="22"/>
      <c r="B49" s="22"/>
      <c r="C49" s="22"/>
      <c r="D49" s="22"/>
      <c r="E49" s="22"/>
      <c r="F49" s="22"/>
      <c r="G49" s="38"/>
      <c r="H49" s="27"/>
      <c r="I49" s="28"/>
      <c r="J49" s="28"/>
      <c r="K49" s="22"/>
      <c r="L49" s="29"/>
      <c r="M49" s="30"/>
      <c r="N49" s="22"/>
      <c r="O49" s="30"/>
      <c r="P49" s="14"/>
      <c r="Q49" s="14"/>
      <c r="R49" s="14"/>
      <c r="S49" s="14"/>
      <c r="T49" s="14"/>
      <c r="U49" s="14"/>
    </row>
    <row r="50" spans="1:21" ht="18.5" x14ac:dyDescent="0.45">
      <c r="A50" s="22"/>
      <c r="B50" s="22"/>
      <c r="C50" s="22"/>
      <c r="D50" s="22"/>
      <c r="E50" s="22"/>
      <c r="F50" s="22"/>
      <c r="G50" s="45"/>
      <c r="H50" s="27"/>
      <c r="I50" s="28"/>
      <c r="J50" s="28"/>
      <c r="K50" s="22"/>
      <c r="L50" s="29"/>
      <c r="M50" s="30"/>
      <c r="N50" s="22"/>
      <c r="O50" s="30"/>
      <c r="P50" s="14"/>
      <c r="Q50" s="14"/>
      <c r="R50" s="14"/>
      <c r="S50" s="14"/>
      <c r="T50" s="14"/>
      <c r="U50" s="14"/>
    </row>
    <row r="51" spans="1:21" ht="18.5" x14ac:dyDescent="0.45">
      <c r="A51" s="22"/>
      <c r="B51" s="22"/>
      <c r="C51" s="22"/>
      <c r="D51" s="22"/>
      <c r="E51" s="22"/>
      <c r="F51" s="45"/>
      <c r="G51" s="45"/>
      <c r="H51" s="27"/>
      <c r="I51" s="28"/>
      <c r="J51" s="28"/>
      <c r="K51" s="22"/>
      <c r="L51" s="29"/>
      <c r="M51" s="30"/>
      <c r="N51" s="22"/>
      <c r="O51" s="30"/>
      <c r="P51" s="14"/>
      <c r="Q51" s="14"/>
      <c r="R51" s="14"/>
      <c r="S51" s="14"/>
      <c r="T51" s="14"/>
      <c r="U51" s="14"/>
    </row>
    <row r="52" spans="1:21" ht="18.5" x14ac:dyDescent="0.45">
      <c r="A52" s="22"/>
      <c r="B52" s="22"/>
      <c r="C52" s="22"/>
      <c r="D52" s="22"/>
      <c r="E52" s="22"/>
      <c r="F52" s="22"/>
      <c r="G52" s="38"/>
      <c r="H52" s="27"/>
      <c r="I52" s="28"/>
      <c r="J52" s="28"/>
      <c r="K52" s="22"/>
      <c r="L52" s="29"/>
      <c r="M52" s="30"/>
      <c r="N52" s="22"/>
      <c r="O52" s="30"/>
      <c r="P52" s="14"/>
      <c r="Q52" s="14"/>
      <c r="R52" s="14"/>
      <c r="S52" s="14"/>
      <c r="T52" s="14"/>
      <c r="U52" s="14"/>
    </row>
    <row r="53" spans="1:21" ht="18.5" x14ac:dyDescent="0.45">
      <c r="A53" s="22"/>
      <c r="B53" s="22"/>
      <c r="C53" s="22"/>
      <c r="D53" s="22"/>
      <c r="E53" s="22"/>
      <c r="F53" s="45"/>
      <c r="G53" s="45"/>
      <c r="H53" s="27"/>
      <c r="I53" s="28"/>
      <c r="J53" s="28"/>
      <c r="K53" s="22"/>
      <c r="L53" s="29"/>
      <c r="M53" s="30"/>
      <c r="N53" s="22"/>
      <c r="O53" s="30"/>
      <c r="P53" s="14"/>
      <c r="Q53" s="14"/>
      <c r="R53" s="14"/>
      <c r="S53" s="14"/>
      <c r="T53" s="14"/>
      <c r="U53" s="14"/>
    </row>
    <row r="54" spans="1:21" ht="18.5" x14ac:dyDescent="0.45">
      <c r="A54" s="22"/>
      <c r="B54" s="22"/>
      <c r="C54" s="22"/>
      <c r="D54" s="22"/>
      <c r="E54" s="22"/>
      <c r="F54" s="22"/>
      <c r="G54" s="45"/>
      <c r="H54" s="27"/>
      <c r="I54" s="28"/>
      <c r="J54" s="28"/>
      <c r="K54" s="22"/>
      <c r="L54" s="29"/>
      <c r="M54" s="30"/>
      <c r="N54" s="22"/>
      <c r="O54" s="30"/>
      <c r="P54" s="14"/>
      <c r="Q54" s="14"/>
      <c r="R54" s="14"/>
      <c r="S54" s="14"/>
      <c r="T54" s="14"/>
      <c r="U54" s="14"/>
    </row>
    <row r="55" spans="1:21" ht="18.5" x14ac:dyDescent="0.45">
      <c r="A55" s="22"/>
      <c r="B55" s="22"/>
      <c r="C55" s="22"/>
      <c r="D55" s="22"/>
      <c r="E55" s="22"/>
      <c r="F55" s="45"/>
      <c r="G55" s="45"/>
      <c r="H55" s="27"/>
      <c r="I55" s="28"/>
      <c r="J55" s="28"/>
      <c r="K55" s="22"/>
      <c r="L55" s="29"/>
      <c r="M55" s="30"/>
      <c r="N55" s="22"/>
      <c r="O55" s="30"/>
      <c r="P55" s="14"/>
      <c r="Q55" s="14"/>
      <c r="R55" s="14"/>
      <c r="S55" s="14"/>
      <c r="T55" s="14"/>
      <c r="U55" s="14"/>
    </row>
    <row r="56" spans="1:21" ht="18.5" x14ac:dyDescent="0.45">
      <c r="A56" s="22"/>
      <c r="B56" s="22"/>
      <c r="C56" s="22"/>
      <c r="D56" s="22"/>
      <c r="E56" s="22"/>
      <c r="F56" s="22"/>
      <c r="G56" s="45"/>
      <c r="H56" s="27"/>
      <c r="I56" s="28"/>
      <c r="J56" s="28"/>
      <c r="K56" s="22"/>
      <c r="L56" s="29"/>
      <c r="M56" s="30"/>
      <c r="N56" s="22"/>
      <c r="O56" s="30"/>
      <c r="P56" s="14"/>
      <c r="Q56" s="14"/>
      <c r="R56" s="14"/>
      <c r="S56" s="14"/>
      <c r="T56" s="14"/>
      <c r="U56" s="14"/>
    </row>
    <row r="57" spans="1:21" ht="18.5" x14ac:dyDescent="0.45">
      <c r="A57" s="22"/>
      <c r="B57" s="22"/>
      <c r="C57" s="22"/>
      <c r="D57" s="22"/>
      <c r="E57" s="22"/>
      <c r="F57" s="22"/>
      <c r="G57" s="45"/>
      <c r="H57" s="27"/>
      <c r="I57" s="28"/>
      <c r="J57" s="28"/>
      <c r="K57" s="22"/>
      <c r="L57" s="29"/>
      <c r="M57" s="30"/>
      <c r="N57" s="22"/>
      <c r="O57" s="30"/>
      <c r="P57" s="14"/>
      <c r="Q57" s="14"/>
      <c r="R57" s="14"/>
      <c r="S57" s="14"/>
      <c r="T57" s="14"/>
      <c r="U57" s="14"/>
    </row>
    <row r="58" spans="1:21" ht="18.5" x14ac:dyDescent="0.45">
      <c r="A58" s="22"/>
      <c r="B58" s="22"/>
      <c r="C58" s="22"/>
      <c r="D58" s="22"/>
      <c r="E58" s="22"/>
      <c r="F58" s="45"/>
      <c r="G58" s="45"/>
      <c r="H58" s="27"/>
      <c r="I58" s="28"/>
      <c r="J58" s="28"/>
      <c r="K58" s="22"/>
      <c r="L58" s="29"/>
      <c r="M58" s="30"/>
      <c r="N58" s="22"/>
      <c r="O58" s="30"/>
      <c r="P58" s="14"/>
      <c r="Q58" s="14"/>
      <c r="R58" s="14"/>
      <c r="S58" s="14"/>
      <c r="T58" s="14"/>
      <c r="U58" s="14"/>
    </row>
    <row r="59" spans="1:21" ht="18.5" x14ac:dyDescent="0.45">
      <c r="A59" s="22"/>
      <c r="B59" s="22"/>
      <c r="C59" s="22"/>
      <c r="D59" s="22"/>
      <c r="E59" s="22"/>
      <c r="F59" s="22"/>
      <c r="G59" s="45"/>
      <c r="H59" s="27"/>
      <c r="I59" s="28"/>
      <c r="J59" s="28"/>
      <c r="K59" s="22"/>
      <c r="L59" s="29"/>
      <c r="M59" s="30"/>
      <c r="N59" s="22"/>
      <c r="O59" s="30"/>
      <c r="P59" s="14"/>
      <c r="Q59" s="14"/>
      <c r="R59" s="14"/>
      <c r="S59" s="14"/>
      <c r="T59" s="14"/>
      <c r="U59" s="14"/>
    </row>
    <row r="60" spans="1:21" ht="18.5" x14ac:dyDescent="0.45">
      <c r="A60" s="53"/>
      <c r="B60" s="22"/>
      <c r="C60" s="22"/>
      <c r="D60" s="22"/>
      <c r="E60" s="22"/>
      <c r="F60" s="45"/>
      <c r="G60" s="45"/>
      <c r="H60" s="27"/>
      <c r="I60" s="28"/>
      <c r="J60" s="28"/>
      <c r="K60" s="22"/>
      <c r="L60" s="29"/>
      <c r="M60" s="30"/>
      <c r="N60" s="22"/>
      <c r="O60" s="30"/>
      <c r="P60" s="14"/>
      <c r="Q60" s="14"/>
      <c r="R60" s="14"/>
      <c r="S60" s="14"/>
      <c r="T60" s="14"/>
      <c r="U60" s="14"/>
    </row>
    <row r="61" spans="1:21" ht="18.5" x14ac:dyDescent="0.45">
      <c r="A61" s="53"/>
      <c r="B61" s="22"/>
      <c r="C61" s="22"/>
      <c r="D61" s="22"/>
      <c r="E61" s="22"/>
      <c r="F61" s="45"/>
      <c r="G61" s="45"/>
      <c r="H61" s="27"/>
      <c r="I61" s="28"/>
      <c r="J61" s="28"/>
      <c r="K61" s="22"/>
      <c r="L61" s="29"/>
      <c r="M61" s="30"/>
      <c r="N61" s="22"/>
      <c r="O61" s="30"/>
      <c r="P61" s="14"/>
      <c r="Q61" s="14"/>
      <c r="R61" s="14"/>
      <c r="S61" s="14"/>
      <c r="T61" s="14"/>
      <c r="U61" s="14"/>
    </row>
    <row r="62" spans="1:21" ht="18.5" x14ac:dyDescent="0.45">
      <c r="A62" s="22"/>
      <c r="B62" s="22"/>
      <c r="C62" s="22"/>
      <c r="D62" s="22"/>
      <c r="E62" s="22"/>
      <c r="F62" s="22"/>
      <c r="G62" s="45"/>
      <c r="H62" s="27"/>
      <c r="I62" s="28"/>
      <c r="J62" s="28"/>
      <c r="K62" s="22"/>
      <c r="L62" s="29"/>
      <c r="M62" s="30"/>
      <c r="N62" s="22"/>
      <c r="O62" s="30"/>
      <c r="P62" s="14"/>
      <c r="Q62" s="14"/>
      <c r="R62" s="14"/>
      <c r="S62" s="14"/>
      <c r="T62" s="14"/>
      <c r="U62" s="14"/>
    </row>
    <row r="63" spans="1:21" ht="18.5" x14ac:dyDescent="0.45">
      <c r="A63" s="22"/>
      <c r="B63" s="22"/>
      <c r="C63" s="22"/>
      <c r="D63" s="22"/>
      <c r="E63" s="22"/>
      <c r="F63" s="22"/>
      <c r="G63" s="45"/>
      <c r="H63" s="27"/>
      <c r="I63" s="28"/>
      <c r="J63" s="28"/>
      <c r="K63" s="22"/>
      <c r="L63" s="29"/>
      <c r="M63" s="30"/>
      <c r="N63" s="22"/>
      <c r="O63" s="30"/>
      <c r="P63" s="14"/>
      <c r="Q63" s="14"/>
      <c r="R63" s="14"/>
      <c r="S63" s="14"/>
      <c r="T63" s="14"/>
      <c r="U63" s="14"/>
    </row>
    <row r="64" spans="1:21" ht="18.5" x14ac:dyDescent="0.45">
      <c r="A64" s="22"/>
      <c r="B64" s="22"/>
      <c r="C64" s="22"/>
      <c r="D64" s="22"/>
      <c r="E64" s="22"/>
      <c r="F64" s="22"/>
      <c r="G64" s="45"/>
      <c r="H64" s="27"/>
      <c r="I64" s="28"/>
      <c r="J64" s="28"/>
      <c r="K64" s="22"/>
      <c r="L64" s="29"/>
      <c r="M64" s="30"/>
      <c r="N64" s="22"/>
      <c r="O64" s="30"/>
      <c r="P64" s="14"/>
      <c r="Q64" s="14"/>
      <c r="R64" s="14"/>
      <c r="S64" s="14"/>
      <c r="T64" s="14"/>
      <c r="U64" s="14"/>
    </row>
    <row r="65" spans="1:21" ht="18.5" x14ac:dyDescent="0.45">
      <c r="A65" s="22"/>
      <c r="B65" s="22"/>
      <c r="C65" s="22"/>
      <c r="D65" s="22"/>
      <c r="E65" s="22"/>
      <c r="F65" s="22"/>
      <c r="G65" s="45"/>
      <c r="H65" s="27"/>
      <c r="I65" s="28"/>
      <c r="J65" s="28"/>
      <c r="K65" s="22"/>
      <c r="L65" s="29"/>
      <c r="M65" s="30"/>
      <c r="N65" s="22"/>
      <c r="O65" s="30"/>
      <c r="P65" s="14"/>
      <c r="Q65" s="14"/>
      <c r="R65" s="14"/>
      <c r="S65" s="14"/>
      <c r="T65" s="14"/>
      <c r="U65" s="14"/>
    </row>
    <row r="66" spans="1:21" ht="18.5" x14ac:dyDescent="0.45">
      <c r="A66" s="53"/>
      <c r="B66" s="22"/>
      <c r="C66" s="22"/>
      <c r="D66" s="22"/>
      <c r="E66" s="22"/>
      <c r="F66" s="45"/>
      <c r="G66" s="45"/>
      <c r="H66" s="27"/>
      <c r="I66" s="28"/>
      <c r="J66" s="28"/>
      <c r="K66" s="22"/>
      <c r="L66" s="29"/>
      <c r="M66" s="30"/>
      <c r="N66" s="22"/>
      <c r="O66" s="30"/>
      <c r="P66" s="14"/>
      <c r="Q66" s="14"/>
      <c r="R66" s="14"/>
      <c r="S66" s="14"/>
      <c r="T66" s="14"/>
      <c r="U66" s="14"/>
    </row>
    <row r="67" spans="1:21" ht="18.5" x14ac:dyDescent="0.45">
      <c r="A67" s="22"/>
      <c r="B67" s="22"/>
      <c r="C67" s="22"/>
      <c r="D67" s="22"/>
      <c r="E67" s="22"/>
      <c r="F67" s="22"/>
      <c r="G67" s="22"/>
      <c r="H67" s="27"/>
      <c r="I67" s="28"/>
      <c r="J67" s="28"/>
      <c r="K67" s="22"/>
      <c r="L67" s="29"/>
      <c r="M67" s="30"/>
      <c r="N67" s="22"/>
      <c r="O67" s="30"/>
      <c r="P67" s="14"/>
      <c r="Q67" s="14"/>
      <c r="R67" s="14"/>
      <c r="S67" s="14"/>
      <c r="T67" s="14"/>
      <c r="U67" s="14"/>
    </row>
    <row r="68" spans="1:21" ht="18.5" x14ac:dyDescent="0.45">
      <c r="A68" s="22"/>
      <c r="B68" s="22"/>
      <c r="C68" s="22"/>
      <c r="D68" s="22"/>
      <c r="E68" s="22"/>
      <c r="F68" s="45"/>
      <c r="G68" s="45"/>
      <c r="H68" s="27"/>
      <c r="I68" s="28"/>
      <c r="J68" s="28"/>
      <c r="K68" s="22"/>
      <c r="L68" s="29"/>
      <c r="M68" s="30"/>
      <c r="N68" s="22"/>
      <c r="O68" s="30"/>
      <c r="P68" s="14"/>
      <c r="Q68" s="14"/>
      <c r="R68" s="14"/>
      <c r="S68" s="14"/>
      <c r="T68" s="14"/>
      <c r="U68" s="14"/>
    </row>
    <row r="69" spans="1:21" ht="18.5" x14ac:dyDescent="0.45">
      <c r="A69" s="22"/>
      <c r="B69" s="22"/>
      <c r="C69" s="22"/>
      <c r="D69" s="109"/>
      <c r="E69" s="22"/>
      <c r="F69" s="45"/>
      <c r="G69" s="45"/>
      <c r="H69" s="27"/>
      <c r="I69" s="28"/>
      <c r="J69" s="28"/>
      <c r="K69" s="22"/>
      <c r="L69" s="29"/>
      <c r="M69" s="30"/>
      <c r="N69" s="22"/>
      <c r="O69" s="30"/>
      <c r="P69" s="14"/>
      <c r="Q69" s="14"/>
      <c r="R69" s="14"/>
      <c r="S69" s="14"/>
      <c r="T69" s="14"/>
      <c r="U69" s="14"/>
    </row>
    <row r="70" spans="1:21" ht="18.5" x14ac:dyDescent="0.45">
      <c r="A70" s="22"/>
      <c r="B70" s="22"/>
      <c r="C70" s="22"/>
      <c r="D70" s="22"/>
      <c r="E70" s="22"/>
      <c r="F70" s="45"/>
      <c r="G70" s="45"/>
      <c r="H70" s="27"/>
      <c r="I70" s="28"/>
      <c r="J70" s="28"/>
      <c r="K70" s="22"/>
      <c r="L70" s="29"/>
      <c r="M70" s="30"/>
      <c r="N70" s="22"/>
      <c r="O70" s="30"/>
      <c r="P70" s="14"/>
      <c r="Q70" s="14"/>
      <c r="R70" s="14"/>
      <c r="S70" s="14"/>
      <c r="T70" s="14"/>
      <c r="U70" s="14"/>
    </row>
    <row r="71" spans="1:21" ht="18.5" x14ac:dyDescent="0.45">
      <c r="A71" s="21"/>
      <c r="B71" s="22"/>
      <c r="C71" s="22"/>
      <c r="D71" s="109"/>
      <c r="E71" s="22"/>
      <c r="F71" s="45"/>
      <c r="G71" s="45"/>
      <c r="H71" s="27"/>
      <c r="I71" s="28"/>
      <c r="J71" s="28"/>
      <c r="K71" s="22"/>
      <c r="L71" s="29"/>
      <c r="M71" s="30"/>
      <c r="N71" s="22"/>
      <c r="O71" s="30"/>
      <c r="P71" s="14"/>
      <c r="Q71" s="14"/>
      <c r="R71" s="14"/>
      <c r="S71" s="14"/>
      <c r="T71" s="14"/>
      <c r="U71" s="14"/>
    </row>
    <row r="72" spans="1:21" ht="18.5" x14ac:dyDescent="0.45">
      <c r="A72" s="22"/>
      <c r="B72" s="22"/>
      <c r="C72" s="22"/>
      <c r="D72" s="22"/>
      <c r="E72" s="22"/>
      <c r="F72" s="45"/>
      <c r="G72" s="45"/>
      <c r="H72" s="27"/>
      <c r="I72" s="28"/>
      <c r="J72" s="28"/>
      <c r="K72" s="22"/>
      <c r="L72" s="29"/>
      <c r="M72" s="30"/>
      <c r="N72" s="22"/>
      <c r="O72" s="30"/>
      <c r="P72" s="14"/>
      <c r="Q72" s="14"/>
      <c r="R72" s="14"/>
      <c r="S72" s="14"/>
      <c r="T72" s="14"/>
      <c r="U72" s="14"/>
    </row>
    <row r="73" spans="1:21" ht="18.5" x14ac:dyDescent="0.45">
      <c r="A73" s="22"/>
      <c r="B73" s="22"/>
      <c r="C73" s="22"/>
      <c r="D73" s="22"/>
      <c r="E73" s="22"/>
      <c r="F73" s="45"/>
      <c r="G73" s="45"/>
      <c r="H73" s="27"/>
      <c r="I73" s="28"/>
      <c r="J73" s="28"/>
      <c r="K73" s="22"/>
      <c r="L73" s="29"/>
      <c r="M73" s="30"/>
      <c r="N73" s="22"/>
      <c r="O73" s="30"/>
      <c r="P73" s="14"/>
      <c r="Q73" s="14"/>
      <c r="R73" s="14"/>
      <c r="S73" s="14"/>
      <c r="T73" s="14"/>
      <c r="U73" s="14"/>
    </row>
    <row r="74" spans="1:21" ht="18.5" x14ac:dyDescent="0.45">
      <c r="A74" s="22"/>
      <c r="B74" s="22"/>
      <c r="C74" s="22"/>
      <c r="D74" s="22"/>
      <c r="E74" s="22"/>
      <c r="F74" s="45"/>
      <c r="G74" s="45"/>
      <c r="H74" s="27"/>
      <c r="I74" s="28"/>
      <c r="J74" s="28"/>
      <c r="K74" s="22"/>
      <c r="L74" s="29"/>
      <c r="M74" s="30"/>
      <c r="N74" s="22"/>
      <c r="O74" s="30"/>
      <c r="P74" s="14"/>
      <c r="Q74" s="14"/>
      <c r="R74" s="14"/>
      <c r="S74" s="14"/>
      <c r="T74" s="14"/>
      <c r="U74" s="14"/>
    </row>
    <row r="75" spans="1:21" ht="18.5" x14ac:dyDescent="0.45">
      <c r="A75" s="22"/>
      <c r="B75" s="22"/>
      <c r="C75" s="22"/>
      <c r="D75" s="22"/>
      <c r="E75" s="22"/>
      <c r="F75" s="45"/>
      <c r="G75" s="45"/>
      <c r="H75" s="27"/>
      <c r="I75" s="28"/>
      <c r="J75" s="28"/>
      <c r="K75" s="22"/>
      <c r="L75" s="29"/>
      <c r="M75" s="30"/>
      <c r="N75" s="22"/>
      <c r="O75" s="30"/>
      <c r="P75" s="14"/>
      <c r="Q75" s="14"/>
      <c r="R75" s="14"/>
      <c r="S75" s="14"/>
      <c r="T75" s="14"/>
      <c r="U75" s="14"/>
    </row>
    <row r="76" spans="1:21" s="10" customFormat="1" ht="18.5" x14ac:dyDescent="0.45">
      <c r="A76" s="46"/>
      <c r="B76" s="113"/>
      <c r="C76" s="46"/>
      <c r="D76" s="113"/>
      <c r="E76" s="46"/>
      <c r="F76" s="111"/>
      <c r="G76" s="111"/>
      <c r="H76" s="48"/>
      <c r="I76" s="49"/>
      <c r="J76" s="49"/>
      <c r="K76" s="46"/>
      <c r="L76" s="50"/>
      <c r="M76" s="51"/>
      <c r="N76" s="46"/>
      <c r="O76" s="51"/>
      <c r="P76" s="20"/>
      <c r="Q76" s="20"/>
      <c r="R76" s="20"/>
      <c r="S76" s="20"/>
      <c r="T76" s="20"/>
      <c r="U76" s="20"/>
    </row>
    <row r="77" spans="1:21" ht="18.5" x14ac:dyDescent="0.45">
      <c r="A77" s="22"/>
      <c r="B77" s="22"/>
      <c r="C77" s="22"/>
      <c r="D77" s="22"/>
      <c r="E77" s="22"/>
      <c r="F77" s="45"/>
      <c r="G77" s="45"/>
      <c r="H77" s="27"/>
      <c r="I77" s="28"/>
      <c r="J77" s="28"/>
      <c r="K77" s="22"/>
      <c r="L77" s="29"/>
      <c r="M77" s="30"/>
      <c r="N77" s="22"/>
      <c r="O77" s="30"/>
      <c r="P77" s="14"/>
      <c r="Q77" s="14"/>
      <c r="R77" s="14"/>
      <c r="S77" s="14"/>
      <c r="T77" s="14"/>
      <c r="U77" s="14"/>
    </row>
    <row r="78" spans="1:21" ht="18.5" x14ac:dyDescent="0.45">
      <c r="A78" s="22"/>
      <c r="B78" s="22"/>
      <c r="C78" s="22"/>
      <c r="D78" s="22"/>
      <c r="E78" s="22"/>
      <c r="F78" s="45"/>
      <c r="G78" s="45"/>
      <c r="H78" s="27"/>
      <c r="I78" s="28"/>
      <c r="J78" s="28"/>
      <c r="K78" s="22"/>
      <c r="L78" s="29"/>
      <c r="M78" s="30"/>
      <c r="N78" s="22"/>
      <c r="O78" s="30"/>
      <c r="P78" s="14"/>
      <c r="Q78" s="14"/>
      <c r="R78" s="14"/>
      <c r="S78" s="14"/>
      <c r="T78" s="14"/>
      <c r="U78" s="14"/>
    </row>
    <row r="79" spans="1:21" ht="18.5" x14ac:dyDescent="0.45">
      <c r="A79" s="22"/>
      <c r="B79" s="22"/>
      <c r="C79" s="22"/>
      <c r="D79" s="22"/>
      <c r="E79" s="22"/>
      <c r="F79" s="45"/>
      <c r="G79" s="45"/>
      <c r="H79" s="27"/>
      <c r="I79" s="28"/>
      <c r="J79" s="28"/>
      <c r="K79" s="22"/>
      <c r="L79" s="29"/>
      <c r="M79" s="30"/>
      <c r="N79" s="22"/>
      <c r="O79" s="30"/>
      <c r="P79" s="14"/>
      <c r="Q79" s="14"/>
      <c r="R79" s="14"/>
      <c r="S79" s="14"/>
      <c r="T79" s="14"/>
      <c r="U79" s="14"/>
    </row>
    <row r="80" spans="1:21" ht="18.5" x14ac:dyDescent="0.45">
      <c r="A80" s="22"/>
      <c r="B80" s="22"/>
      <c r="C80" s="22"/>
      <c r="D80" s="109"/>
      <c r="E80" s="22"/>
      <c r="F80" s="45"/>
      <c r="G80" s="45"/>
      <c r="H80" s="27"/>
      <c r="I80" s="28"/>
      <c r="J80" s="28"/>
      <c r="K80" s="22"/>
      <c r="L80" s="29"/>
      <c r="M80" s="30"/>
      <c r="N80" s="22"/>
      <c r="O80" s="30"/>
      <c r="P80" s="14"/>
      <c r="Q80" s="14"/>
      <c r="R80" s="14"/>
      <c r="S80" s="14"/>
      <c r="T80" s="14"/>
      <c r="U80" s="14"/>
    </row>
    <row r="81" spans="1:21" ht="18.5" x14ac:dyDescent="0.45">
      <c r="A81" s="22"/>
      <c r="B81" s="22"/>
      <c r="C81" s="22"/>
      <c r="D81" s="109"/>
      <c r="E81" s="22"/>
      <c r="F81" s="45"/>
      <c r="G81" s="45"/>
      <c r="H81" s="27"/>
      <c r="I81" s="28"/>
      <c r="J81" s="28"/>
      <c r="K81" s="22"/>
      <c r="L81" s="29"/>
      <c r="M81" s="30"/>
      <c r="N81" s="22"/>
      <c r="O81" s="30"/>
      <c r="P81" s="14"/>
      <c r="Q81" s="14"/>
      <c r="R81" s="14"/>
      <c r="S81" s="14"/>
      <c r="T81" s="14"/>
      <c r="U81" s="14"/>
    </row>
    <row r="82" spans="1:21" ht="18.5" x14ac:dyDescent="0.45">
      <c r="A82" s="22"/>
      <c r="B82" s="22"/>
      <c r="C82" s="22"/>
      <c r="D82" s="109"/>
      <c r="E82" s="22"/>
      <c r="F82" s="45"/>
      <c r="G82" s="45"/>
      <c r="H82" s="27"/>
      <c r="I82" s="28"/>
      <c r="J82" s="28"/>
      <c r="K82" s="22"/>
      <c r="L82" s="29"/>
      <c r="M82" s="30"/>
      <c r="N82" s="22"/>
      <c r="O82" s="30"/>
      <c r="P82" s="14"/>
      <c r="Q82" s="14"/>
      <c r="R82" s="14"/>
      <c r="S82" s="14"/>
      <c r="T82" s="14"/>
      <c r="U82" s="14"/>
    </row>
    <row r="83" spans="1:21" ht="18.5" x14ac:dyDescent="0.45">
      <c r="A83" s="22"/>
      <c r="B83" s="22"/>
      <c r="C83" s="22"/>
      <c r="D83" s="109"/>
      <c r="E83" s="22"/>
      <c r="F83" s="45"/>
      <c r="G83" s="45"/>
      <c r="H83" s="27"/>
      <c r="I83" s="28"/>
      <c r="J83" s="28"/>
      <c r="K83" s="22"/>
      <c r="L83" s="29"/>
      <c r="M83" s="30"/>
      <c r="N83" s="22"/>
      <c r="O83" s="30"/>
      <c r="P83" s="14"/>
      <c r="Q83" s="14"/>
      <c r="R83" s="14"/>
      <c r="S83" s="14"/>
      <c r="T83" s="14"/>
      <c r="U83" s="14"/>
    </row>
    <row r="84" spans="1:21" s="11" customFormat="1" ht="18.5" x14ac:dyDescent="0.45">
      <c r="A84" s="21"/>
      <c r="B84" s="21"/>
      <c r="C84" s="21"/>
      <c r="D84" s="115"/>
      <c r="E84" s="21"/>
      <c r="F84" s="39"/>
      <c r="G84" s="39"/>
      <c r="H84" s="23"/>
      <c r="I84" s="24"/>
      <c r="J84" s="24"/>
      <c r="K84" s="21"/>
      <c r="L84" s="25"/>
      <c r="M84" s="26"/>
      <c r="N84" s="21"/>
      <c r="O84" s="26"/>
      <c r="P84" s="13"/>
      <c r="Q84" s="13"/>
      <c r="R84" s="13"/>
      <c r="S84" s="13"/>
      <c r="T84" s="13"/>
      <c r="U84" s="13"/>
    </row>
    <row r="85" spans="1:21" ht="18.5" x14ac:dyDescent="0.45">
      <c r="A85" s="22"/>
      <c r="B85" s="22"/>
      <c r="C85" s="22"/>
      <c r="D85" s="112"/>
      <c r="E85" s="22"/>
      <c r="F85" s="45"/>
      <c r="G85" s="45"/>
      <c r="H85" s="27"/>
      <c r="I85" s="28"/>
      <c r="J85" s="28"/>
      <c r="K85" s="22"/>
      <c r="L85" s="29"/>
      <c r="M85" s="30"/>
      <c r="N85" s="22"/>
      <c r="O85" s="30"/>
      <c r="P85" s="14"/>
      <c r="Q85" s="14"/>
      <c r="R85" s="14"/>
      <c r="S85" s="14"/>
      <c r="T85" s="14"/>
      <c r="U85" s="14"/>
    </row>
    <row r="86" spans="1:21" ht="18.5" x14ac:dyDescent="0.45">
      <c r="A86" s="95"/>
      <c r="B86" s="22"/>
      <c r="C86" s="22"/>
      <c r="D86" s="22"/>
      <c r="E86" s="22"/>
      <c r="F86" s="45"/>
      <c r="G86" s="45"/>
      <c r="H86" s="27"/>
      <c r="I86" s="28"/>
      <c r="J86" s="28"/>
      <c r="K86" s="22"/>
      <c r="L86" s="29"/>
      <c r="M86" s="30"/>
      <c r="N86" s="22"/>
      <c r="O86" s="30"/>
      <c r="P86" s="14"/>
      <c r="Q86" s="14"/>
      <c r="R86" s="14"/>
      <c r="S86" s="14"/>
      <c r="T86" s="14"/>
      <c r="U86" s="14"/>
    </row>
    <row r="87" spans="1:21" ht="18.5" x14ac:dyDescent="0.45">
      <c r="A87" s="22"/>
      <c r="B87" s="22"/>
      <c r="C87" s="22"/>
      <c r="D87" s="22"/>
      <c r="E87" s="22"/>
      <c r="F87" s="45"/>
      <c r="G87" s="45"/>
      <c r="H87" s="27"/>
      <c r="I87" s="28"/>
      <c r="J87" s="28"/>
      <c r="K87" s="22"/>
      <c r="L87" s="29"/>
      <c r="M87" s="30"/>
      <c r="N87" s="22"/>
      <c r="O87" s="30"/>
      <c r="P87" s="14"/>
      <c r="Q87" s="14"/>
      <c r="R87" s="14"/>
      <c r="S87" s="14"/>
      <c r="T87" s="14"/>
      <c r="U87" s="14"/>
    </row>
    <row r="88" spans="1:21" ht="18.5" x14ac:dyDescent="0.45">
      <c r="A88" s="22"/>
      <c r="B88" s="22"/>
      <c r="C88" s="22"/>
      <c r="D88" s="22"/>
      <c r="E88" s="22"/>
      <c r="F88" s="45"/>
      <c r="G88" s="45"/>
      <c r="H88" s="27"/>
      <c r="I88" s="28"/>
      <c r="J88" s="28"/>
      <c r="K88" s="22"/>
      <c r="L88" s="29"/>
      <c r="M88" s="30"/>
      <c r="N88" s="22"/>
      <c r="O88" s="30"/>
      <c r="P88" s="14"/>
      <c r="Q88" s="14"/>
      <c r="R88" s="14"/>
      <c r="S88" s="14"/>
      <c r="T88" s="14"/>
      <c r="U88" s="14"/>
    </row>
    <row r="89" spans="1:21" ht="18.5" x14ac:dyDescent="0.45">
      <c r="A89" s="22"/>
      <c r="B89" s="22"/>
      <c r="C89" s="22"/>
      <c r="D89" s="109"/>
      <c r="E89" s="22"/>
      <c r="F89" s="45"/>
      <c r="G89" s="45"/>
      <c r="H89" s="27"/>
      <c r="I89" s="28"/>
      <c r="J89" s="28"/>
      <c r="K89" s="22"/>
      <c r="L89" s="29"/>
      <c r="M89" s="30"/>
      <c r="N89" s="22"/>
      <c r="O89" s="30"/>
      <c r="P89" s="14"/>
      <c r="Q89" s="14"/>
      <c r="R89" s="14"/>
      <c r="S89" s="14"/>
      <c r="T89" s="14"/>
      <c r="U89" s="14"/>
    </row>
    <row r="90" spans="1:21" s="4" customFormat="1" ht="18.5" x14ac:dyDescent="0.45">
      <c r="A90" s="53"/>
      <c r="B90" s="53"/>
      <c r="C90" s="53"/>
      <c r="D90" s="53"/>
      <c r="E90" s="53"/>
      <c r="F90" s="117"/>
      <c r="G90" s="117"/>
      <c r="H90" s="27"/>
      <c r="I90" s="30"/>
      <c r="J90" s="30"/>
      <c r="K90" s="53"/>
      <c r="L90" s="118"/>
      <c r="M90" s="30"/>
      <c r="N90" s="53"/>
      <c r="O90" s="30"/>
      <c r="P90" s="119"/>
      <c r="Q90" s="119"/>
      <c r="R90" s="119"/>
      <c r="S90" s="119"/>
      <c r="T90" s="119"/>
      <c r="U90" s="119"/>
    </row>
    <row r="91" spans="1:21" ht="18.5" x14ac:dyDescent="0.45">
      <c r="A91" s="22"/>
      <c r="B91" s="22"/>
      <c r="C91" s="22"/>
      <c r="D91" s="28"/>
      <c r="E91" s="22"/>
      <c r="F91" s="45"/>
      <c r="G91" s="45"/>
      <c r="H91" s="27"/>
      <c r="I91" s="28"/>
      <c r="J91" s="28"/>
      <c r="K91" s="22"/>
      <c r="L91" s="29"/>
      <c r="M91" s="30"/>
      <c r="N91" s="22"/>
      <c r="O91" s="30"/>
      <c r="P91" s="14"/>
      <c r="Q91" s="14"/>
      <c r="R91" s="14"/>
      <c r="S91" s="14"/>
      <c r="T91" s="14"/>
      <c r="U91" s="14"/>
    </row>
    <row r="92" spans="1:21" ht="18.5" x14ac:dyDescent="0.45">
      <c r="A92" s="22"/>
      <c r="B92" s="22"/>
      <c r="C92" s="22"/>
      <c r="D92" s="22"/>
      <c r="E92" s="22"/>
      <c r="F92" s="45"/>
      <c r="G92" s="45"/>
      <c r="H92" s="27"/>
      <c r="I92" s="28"/>
      <c r="J92" s="28"/>
      <c r="K92" s="22"/>
      <c r="L92" s="29"/>
      <c r="M92" s="30"/>
      <c r="N92" s="22"/>
      <c r="O92" s="30"/>
      <c r="P92" s="14"/>
      <c r="Q92" s="14"/>
      <c r="R92" s="14"/>
      <c r="S92" s="14"/>
      <c r="T92" s="14"/>
      <c r="U92" s="14"/>
    </row>
    <row r="93" spans="1:21" ht="18.5" x14ac:dyDescent="0.45">
      <c r="A93" s="22"/>
      <c r="B93" s="22"/>
      <c r="C93" s="22"/>
      <c r="D93" s="22"/>
      <c r="E93" s="22"/>
      <c r="F93" s="45"/>
      <c r="G93" s="45"/>
      <c r="H93" s="27"/>
      <c r="I93" s="28"/>
      <c r="J93" s="28"/>
      <c r="K93" s="22"/>
      <c r="L93" s="29"/>
      <c r="M93" s="30"/>
      <c r="N93" s="22"/>
      <c r="O93" s="30"/>
      <c r="P93" s="14"/>
      <c r="Q93" s="14"/>
      <c r="R93" s="14"/>
      <c r="S93" s="14"/>
      <c r="T93" s="14"/>
      <c r="U93" s="14"/>
    </row>
    <row r="94" spans="1:21" ht="18.5" x14ac:dyDescent="0.45">
      <c r="A94" s="22"/>
      <c r="B94" s="22"/>
      <c r="C94" s="22"/>
      <c r="D94" s="22"/>
      <c r="E94" s="22"/>
      <c r="F94" s="45"/>
      <c r="G94" s="45"/>
      <c r="H94" s="27"/>
      <c r="I94" s="28"/>
      <c r="J94" s="28"/>
      <c r="K94" s="22"/>
      <c r="L94" s="29"/>
      <c r="M94" s="30"/>
      <c r="N94" s="22"/>
      <c r="O94" s="30"/>
      <c r="P94" s="14"/>
      <c r="Q94" s="14"/>
      <c r="R94" s="14"/>
      <c r="S94" s="14"/>
      <c r="T94" s="14"/>
      <c r="U94" s="14"/>
    </row>
    <row r="95" spans="1:21" ht="18.5" x14ac:dyDescent="0.45">
      <c r="A95" s="22"/>
      <c r="B95" s="22"/>
      <c r="C95" s="22"/>
      <c r="D95" s="22"/>
      <c r="E95" s="22"/>
      <c r="F95" s="45"/>
      <c r="G95" s="45"/>
      <c r="H95" s="27"/>
      <c r="I95" s="28"/>
      <c r="J95" s="28"/>
      <c r="K95" s="22"/>
      <c r="L95" s="29"/>
      <c r="M95" s="30"/>
      <c r="N95" s="22"/>
      <c r="O95" s="30"/>
      <c r="P95" s="14"/>
      <c r="Q95" s="14"/>
      <c r="R95" s="14"/>
      <c r="S95" s="14"/>
      <c r="T95" s="14"/>
      <c r="U95" s="14"/>
    </row>
    <row r="96" spans="1:21" ht="18.5" x14ac:dyDescent="0.45">
      <c r="A96" s="22"/>
      <c r="B96" s="109"/>
      <c r="C96" s="22"/>
      <c r="D96" s="109"/>
      <c r="E96" s="22"/>
      <c r="F96" s="45"/>
      <c r="G96" s="45"/>
      <c r="H96" s="27"/>
      <c r="I96" s="28"/>
      <c r="J96" s="28"/>
      <c r="K96" s="22"/>
      <c r="L96" s="29"/>
      <c r="M96" s="30"/>
      <c r="N96" s="22"/>
      <c r="O96" s="30"/>
      <c r="P96" s="14"/>
      <c r="Q96" s="14"/>
      <c r="R96" s="14"/>
      <c r="S96" s="14"/>
      <c r="T96" s="14"/>
      <c r="U96" s="14"/>
    </row>
    <row r="97" spans="1:21" ht="18.5" x14ac:dyDescent="0.45">
      <c r="A97" s="22"/>
      <c r="B97" s="22"/>
      <c r="C97" s="22"/>
      <c r="D97" s="22"/>
      <c r="E97" s="22"/>
      <c r="F97" s="45"/>
      <c r="G97" s="45"/>
      <c r="H97" s="27"/>
      <c r="I97" s="28"/>
      <c r="J97" s="28"/>
      <c r="K97" s="22"/>
      <c r="L97" s="29"/>
      <c r="M97" s="30"/>
      <c r="N97" s="22"/>
      <c r="O97" s="30"/>
      <c r="P97" s="14"/>
      <c r="Q97" s="14"/>
      <c r="R97" s="14"/>
      <c r="S97" s="14"/>
      <c r="T97" s="14"/>
      <c r="U97" s="14"/>
    </row>
    <row r="98" spans="1:21" ht="18.5" x14ac:dyDescent="0.45">
      <c r="A98" s="22"/>
      <c r="B98" s="22"/>
      <c r="C98" s="22"/>
      <c r="D98" s="109"/>
      <c r="E98" s="22"/>
      <c r="F98" s="45"/>
      <c r="G98" s="45"/>
      <c r="H98" s="27"/>
      <c r="I98" s="28"/>
      <c r="J98" s="28"/>
      <c r="K98" s="22"/>
      <c r="L98" s="29"/>
      <c r="M98" s="30"/>
      <c r="N98" s="22"/>
      <c r="O98" s="30"/>
      <c r="P98" s="14"/>
      <c r="Q98" s="14"/>
      <c r="R98" s="14"/>
      <c r="S98" s="14"/>
      <c r="T98" s="14"/>
      <c r="U98" s="14"/>
    </row>
    <row r="99" spans="1:21" ht="18.5" x14ac:dyDescent="0.45">
      <c r="A99" s="22"/>
      <c r="B99" s="109"/>
      <c r="C99" s="22"/>
      <c r="D99" s="109"/>
      <c r="E99" s="22"/>
      <c r="F99" s="45"/>
      <c r="G99" s="45"/>
      <c r="H99" s="27"/>
      <c r="I99" s="28"/>
      <c r="J99" s="28"/>
      <c r="K99" s="22"/>
      <c r="L99" s="29"/>
      <c r="M99" s="30"/>
      <c r="N99" s="22"/>
      <c r="O99" s="30"/>
      <c r="P99" s="14"/>
      <c r="Q99" s="14"/>
      <c r="R99" s="14"/>
      <c r="S99" s="14"/>
      <c r="T99" s="14"/>
      <c r="U99" s="14"/>
    </row>
    <row r="100" spans="1:21" ht="18.5" x14ac:dyDescent="0.45">
      <c r="A100" s="22"/>
      <c r="B100" s="109"/>
      <c r="C100" s="22"/>
      <c r="D100" s="109"/>
      <c r="E100" s="22"/>
      <c r="F100" s="45"/>
      <c r="G100" s="45"/>
      <c r="H100" s="27"/>
      <c r="I100" s="28"/>
      <c r="J100" s="28"/>
      <c r="K100" s="22"/>
      <c r="L100" s="29"/>
      <c r="M100" s="30"/>
      <c r="N100" s="22"/>
      <c r="O100" s="30"/>
      <c r="P100" s="14"/>
      <c r="Q100" s="14"/>
      <c r="R100" s="14"/>
      <c r="S100" s="14"/>
      <c r="T100" s="14"/>
      <c r="U100" s="14"/>
    </row>
    <row r="101" spans="1:21" ht="18.5" x14ac:dyDescent="0.45">
      <c r="A101" s="22"/>
      <c r="B101" s="22"/>
      <c r="C101" s="22"/>
      <c r="D101" s="22"/>
      <c r="E101" s="22"/>
      <c r="F101" s="45"/>
      <c r="G101" s="45"/>
      <c r="H101" s="27"/>
      <c r="I101" s="28"/>
      <c r="J101" s="28"/>
      <c r="K101" s="22"/>
      <c r="L101" s="29"/>
      <c r="M101" s="30"/>
      <c r="N101" s="22"/>
      <c r="O101" s="30"/>
      <c r="P101" s="14"/>
      <c r="Q101" s="14"/>
      <c r="R101" s="14"/>
      <c r="S101" s="14"/>
      <c r="T101" s="14"/>
      <c r="U101" s="14"/>
    </row>
    <row r="102" spans="1:21" ht="18.5" x14ac:dyDescent="0.45">
      <c r="A102" s="22"/>
      <c r="B102" s="22"/>
      <c r="C102" s="22"/>
      <c r="D102" s="22"/>
      <c r="E102" s="22"/>
      <c r="F102" s="45"/>
      <c r="G102" s="45"/>
      <c r="H102" s="27"/>
      <c r="I102" s="28"/>
      <c r="J102" s="28"/>
      <c r="K102" s="22"/>
      <c r="L102" s="29"/>
      <c r="M102" s="30"/>
      <c r="N102" s="22"/>
      <c r="O102" s="30"/>
      <c r="P102" s="14"/>
      <c r="Q102" s="14"/>
      <c r="R102" s="14"/>
      <c r="S102" s="14"/>
      <c r="T102" s="14"/>
      <c r="U102" s="14"/>
    </row>
    <row r="103" spans="1:21" ht="18.5" x14ac:dyDescent="0.45">
      <c r="A103" s="22"/>
      <c r="B103" s="22"/>
      <c r="C103" s="22"/>
      <c r="D103" s="109"/>
      <c r="E103" s="22"/>
      <c r="F103" s="45"/>
      <c r="G103" s="45"/>
      <c r="H103" s="27"/>
      <c r="I103" s="28"/>
      <c r="J103" s="28"/>
      <c r="K103" s="22"/>
      <c r="L103" s="29"/>
      <c r="M103" s="30"/>
      <c r="N103" s="22"/>
      <c r="O103" s="30"/>
      <c r="P103" s="14"/>
      <c r="Q103" s="14"/>
      <c r="R103" s="14"/>
      <c r="S103" s="14"/>
      <c r="T103" s="14"/>
      <c r="U103" s="14"/>
    </row>
    <row r="104" spans="1:21" ht="18.5" x14ac:dyDescent="0.45">
      <c r="A104" s="22"/>
      <c r="B104" s="22"/>
      <c r="C104" s="22"/>
      <c r="D104" s="22"/>
      <c r="E104" s="22"/>
      <c r="F104" s="45"/>
      <c r="G104" s="45"/>
      <c r="H104" s="27"/>
      <c r="I104" s="28"/>
      <c r="J104" s="28"/>
      <c r="K104" s="22"/>
      <c r="L104" s="29"/>
      <c r="M104" s="30"/>
      <c r="N104" s="22"/>
      <c r="O104" s="30"/>
      <c r="P104" s="14"/>
      <c r="Q104" s="14"/>
      <c r="R104" s="14"/>
      <c r="S104" s="14"/>
      <c r="T104" s="14"/>
      <c r="U104" s="14"/>
    </row>
    <row r="105" spans="1:21" ht="18.5" x14ac:dyDescent="0.45">
      <c r="A105" s="22"/>
      <c r="B105" s="22"/>
      <c r="C105" s="22"/>
      <c r="D105" s="22"/>
      <c r="E105" s="22"/>
      <c r="F105" s="45"/>
      <c r="G105" s="45"/>
      <c r="H105" s="45"/>
      <c r="I105" s="28"/>
      <c r="J105" s="28"/>
      <c r="K105" s="22"/>
      <c r="L105" s="29"/>
      <c r="M105" s="30"/>
      <c r="N105" s="22"/>
      <c r="O105" s="30"/>
      <c r="P105" s="14"/>
      <c r="Q105" s="14"/>
      <c r="R105" s="14"/>
      <c r="S105" s="14"/>
      <c r="T105" s="14"/>
      <c r="U105" s="14"/>
    </row>
    <row r="106" spans="1:21" ht="18.5" x14ac:dyDescent="0.45">
      <c r="A106" s="22"/>
      <c r="B106" s="22"/>
      <c r="C106" s="22"/>
      <c r="D106" s="22"/>
      <c r="E106" s="22"/>
      <c r="F106" s="45"/>
      <c r="G106" s="45"/>
      <c r="H106" s="45"/>
      <c r="I106" s="28"/>
      <c r="J106" s="28"/>
      <c r="K106" s="22"/>
      <c r="L106" s="29"/>
      <c r="M106" s="30"/>
      <c r="N106" s="22"/>
      <c r="O106" s="30"/>
      <c r="P106" s="14"/>
      <c r="Q106" s="14"/>
      <c r="R106" s="14"/>
      <c r="S106" s="14"/>
      <c r="T106" s="14"/>
      <c r="U106" s="14"/>
    </row>
    <row r="107" spans="1:21" ht="18.5" x14ac:dyDescent="0.45">
      <c r="A107" s="22"/>
      <c r="B107" s="22"/>
      <c r="C107" s="22"/>
      <c r="D107" s="22"/>
      <c r="E107" s="22"/>
      <c r="F107" s="45"/>
      <c r="G107" s="45"/>
      <c r="H107" s="45"/>
      <c r="I107" s="28"/>
      <c r="J107" s="28"/>
      <c r="K107" s="22"/>
      <c r="L107" s="29"/>
      <c r="M107" s="30"/>
      <c r="N107" s="22"/>
      <c r="O107" s="30"/>
      <c r="P107" s="14"/>
      <c r="Q107" s="14"/>
      <c r="R107" s="14"/>
      <c r="S107" s="14"/>
      <c r="T107" s="14"/>
      <c r="U107" s="14"/>
    </row>
    <row r="108" spans="1:21" ht="18.5" x14ac:dyDescent="0.45">
      <c r="A108" s="22"/>
      <c r="B108" s="22"/>
      <c r="C108" s="22"/>
      <c r="D108" s="22"/>
      <c r="E108" s="22"/>
      <c r="F108" s="45"/>
      <c r="G108" s="45"/>
      <c r="H108" s="45"/>
      <c r="I108" s="28"/>
      <c r="J108" s="28"/>
      <c r="K108" s="22"/>
      <c r="L108" s="29"/>
      <c r="M108" s="30"/>
      <c r="N108" s="22"/>
      <c r="O108" s="30"/>
      <c r="P108" s="14"/>
      <c r="Q108" s="14"/>
      <c r="R108" s="14"/>
      <c r="S108" s="14"/>
      <c r="T108" s="14"/>
      <c r="U108" s="14"/>
    </row>
    <row r="109" spans="1:21" ht="18.5" x14ac:dyDescent="0.45">
      <c r="A109" s="22"/>
      <c r="B109" s="22"/>
      <c r="C109" s="22"/>
      <c r="D109" s="109"/>
      <c r="E109" s="22"/>
      <c r="F109" s="45"/>
      <c r="G109" s="45"/>
      <c r="H109" s="45"/>
      <c r="I109" s="28"/>
      <c r="J109" s="28"/>
      <c r="K109" s="22"/>
      <c r="L109" s="29"/>
      <c r="M109" s="30"/>
      <c r="N109" s="22"/>
      <c r="O109" s="30"/>
      <c r="P109" s="14"/>
      <c r="Q109" s="18"/>
      <c r="R109" s="14"/>
      <c r="S109" s="14"/>
      <c r="T109" s="14"/>
      <c r="U109" s="14"/>
    </row>
    <row r="110" spans="1:21" ht="18.5" x14ac:dyDescent="0.45">
      <c r="A110" s="22"/>
      <c r="B110" s="22"/>
      <c r="C110" s="22"/>
      <c r="D110" s="22"/>
      <c r="E110" s="22"/>
      <c r="F110" s="45"/>
      <c r="G110" s="45"/>
      <c r="H110" s="45"/>
      <c r="I110" s="28"/>
      <c r="J110" s="28"/>
      <c r="K110" s="22"/>
      <c r="L110" s="29"/>
      <c r="M110" s="30"/>
      <c r="N110" s="22"/>
      <c r="O110" s="30"/>
      <c r="P110" s="14"/>
      <c r="Q110" s="14"/>
      <c r="R110" s="14"/>
      <c r="S110" s="14"/>
      <c r="T110" s="14"/>
      <c r="U110" s="14"/>
    </row>
    <row r="111" spans="1:21" ht="18.5" x14ac:dyDescent="0.45">
      <c r="A111" s="22"/>
      <c r="B111" s="22"/>
      <c r="C111" s="22"/>
      <c r="D111" s="22"/>
      <c r="E111" s="22"/>
      <c r="F111" s="45"/>
      <c r="G111" s="45"/>
      <c r="H111" s="45"/>
      <c r="I111" s="28"/>
      <c r="J111" s="28"/>
      <c r="K111" s="22"/>
      <c r="L111" s="29"/>
      <c r="M111" s="30"/>
      <c r="N111" s="22"/>
      <c r="O111" s="30"/>
      <c r="P111" s="14"/>
      <c r="Q111" s="14"/>
      <c r="R111" s="14"/>
      <c r="S111" s="14"/>
      <c r="T111" s="14"/>
      <c r="U111" s="14"/>
    </row>
    <row r="112" spans="1:21" ht="18.5" x14ac:dyDescent="0.45">
      <c r="A112" s="22"/>
      <c r="B112" s="22"/>
      <c r="C112" s="22"/>
      <c r="D112" s="22"/>
      <c r="E112" s="22"/>
      <c r="F112" s="45"/>
      <c r="G112" s="45"/>
      <c r="H112" s="45"/>
      <c r="I112" s="28"/>
      <c r="J112" s="28"/>
      <c r="K112" s="22"/>
      <c r="L112" s="29"/>
      <c r="M112" s="30"/>
      <c r="N112" s="22"/>
      <c r="O112" s="30"/>
      <c r="P112" s="14"/>
      <c r="Q112" s="14"/>
      <c r="R112" s="14"/>
      <c r="S112" s="14"/>
      <c r="T112" s="14"/>
      <c r="U112" s="14"/>
    </row>
    <row r="113" spans="1:21" ht="18.5" x14ac:dyDescent="0.45">
      <c r="A113" s="22"/>
      <c r="B113" s="109"/>
      <c r="C113" s="22"/>
      <c r="D113" s="109"/>
      <c r="E113" s="22"/>
      <c r="F113" s="45"/>
      <c r="G113" s="45"/>
      <c r="H113" s="45"/>
      <c r="I113" s="28"/>
      <c r="J113" s="28"/>
      <c r="K113" s="22"/>
      <c r="L113" s="29"/>
      <c r="M113" s="30"/>
      <c r="N113" s="22"/>
      <c r="O113" s="30"/>
      <c r="P113" s="14"/>
      <c r="Q113" s="14"/>
      <c r="R113" s="14"/>
      <c r="S113" s="14"/>
      <c r="T113" s="14"/>
      <c r="U113" s="14"/>
    </row>
    <row r="114" spans="1:21" ht="18.5" x14ac:dyDescent="0.45">
      <c r="A114" s="22"/>
      <c r="B114" s="22"/>
      <c r="C114" s="22"/>
      <c r="D114" s="109"/>
      <c r="E114" s="22"/>
      <c r="F114" s="45"/>
      <c r="G114" s="45"/>
      <c r="H114" s="45"/>
      <c r="I114" s="28"/>
      <c r="J114" s="28"/>
      <c r="K114" s="22"/>
      <c r="L114" s="22"/>
      <c r="M114" s="30"/>
      <c r="N114" s="22"/>
      <c r="O114" s="30"/>
      <c r="P114" s="14"/>
      <c r="Q114" s="14"/>
      <c r="R114" s="14"/>
      <c r="S114" s="14"/>
      <c r="T114" s="14"/>
      <c r="U114" s="14"/>
    </row>
    <row r="115" spans="1:21" s="6" customFormat="1" ht="18.5" x14ac:dyDescent="0.45">
      <c r="A115" s="31"/>
      <c r="B115" s="114"/>
      <c r="C115" s="22"/>
      <c r="D115" s="114"/>
      <c r="E115" s="31"/>
      <c r="F115" s="110"/>
      <c r="G115" s="110"/>
      <c r="H115" s="110"/>
      <c r="I115" s="33"/>
      <c r="J115" s="33"/>
      <c r="K115" s="31"/>
      <c r="L115" s="31"/>
      <c r="M115" s="35"/>
      <c r="N115" s="31"/>
      <c r="O115" s="35"/>
      <c r="P115" s="17"/>
      <c r="Q115" s="17"/>
      <c r="R115" s="17"/>
      <c r="S115" s="17"/>
      <c r="T115" s="17"/>
      <c r="U115" s="17"/>
    </row>
    <row r="116" spans="1:21" ht="18.5" x14ac:dyDescent="0.45">
      <c r="A116" s="22"/>
      <c r="B116" s="22"/>
      <c r="C116" s="22"/>
      <c r="D116" s="22"/>
      <c r="E116" s="22"/>
      <c r="F116" s="45"/>
      <c r="G116" s="45"/>
      <c r="H116" s="45"/>
      <c r="I116" s="28"/>
      <c r="J116" s="28"/>
      <c r="K116" s="22"/>
      <c r="L116" s="22"/>
      <c r="M116" s="30"/>
      <c r="N116" s="22"/>
      <c r="O116" s="30"/>
      <c r="P116" s="14"/>
      <c r="Q116" s="14"/>
      <c r="R116" s="14"/>
      <c r="S116" s="14"/>
      <c r="T116" s="14"/>
      <c r="U116" s="14"/>
    </row>
    <row r="117" spans="1:21" ht="18.5" x14ac:dyDescent="0.45">
      <c r="A117" s="22"/>
      <c r="B117" s="109"/>
      <c r="C117" s="22"/>
      <c r="D117" s="109"/>
      <c r="E117" s="22"/>
      <c r="F117" s="45"/>
      <c r="G117" s="45"/>
      <c r="H117" s="45"/>
      <c r="I117" s="28"/>
      <c r="J117" s="28"/>
      <c r="K117" s="22"/>
      <c r="L117" s="22"/>
      <c r="M117" s="30"/>
      <c r="N117" s="22"/>
      <c r="O117" s="30"/>
      <c r="P117" s="14"/>
      <c r="Q117" s="14"/>
      <c r="R117" s="14"/>
      <c r="S117" s="14"/>
      <c r="T117" s="14"/>
      <c r="U117" s="14"/>
    </row>
    <row r="118" spans="1:21" s="6" customFormat="1" ht="18.5" x14ac:dyDescent="0.45">
      <c r="A118" s="31"/>
      <c r="B118" s="114"/>
      <c r="C118" s="22"/>
      <c r="D118" s="114"/>
      <c r="E118" s="31"/>
      <c r="F118" s="110"/>
      <c r="G118" s="110"/>
      <c r="H118" s="110"/>
      <c r="I118" s="33"/>
      <c r="J118" s="33"/>
      <c r="K118" s="31"/>
      <c r="L118" s="31"/>
      <c r="M118" s="35"/>
      <c r="N118" s="31"/>
      <c r="O118" s="35"/>
      <c r="P118" s="17"/>
      <c r="Q118" s="17"/>
      <c r="R118" s="17"/>
      <c r="S118" s="17"/>
      <c r="T118" s="17"/>
      <c r="U118" s="17"/>
    </row>
    <row r="119" spans="1:21" ht="18.5" x14ac:dyDescent="0.45">
      <c r="A119" s="22"/>
      <c r="B119" s="109"/>
      <c r="C119" s="22"/>
      <c r="D119" s="109"/>
      <c r="E119" s="22"/>
      <c r="F119" s="45"/>
      <c r="G119" s="45"/>
      <c r="H119" s="45"/>
      <c r="I119" s="28"/>
      <c r="J119" s="28"/>
      <c r="K119" s="22"/>
      <c r="L119" s="22"/>
      <c r="M119" s="30"/>
      <c r="N119" s="22"/>
      <c r="O119" s="30"/>
      <c r="P119" s="14"/>
      <c r="Q119" s="14"/>
      <c r="R119" s="14"/>
      <c r="S119" s="14"/>
      <c r="T119" s="14"/>
      <c r="U119" s="14"/>
    </row>
    <row r="120" spans="1:21" ht="18.5" x14ac:dyDescent="0.45">
      <c r="A120" s="7"/>
      <c r="B120" s="109"/>
      <c r="C120" s="7"/>
      <c r="D120" s="109"/>
      <c r="E120" s="22"/>
      <c r="F120" s="45"/>
      <c r="G120" s="45"/>
      <c r="H120" s="45"/>
      <c r="I120" s="28"/>
      <c r="J120" s="28"/>
      <c r="K120" s="22"/>
      <c r="L120" s="7"/>
      <c r="M120" s="30"/>
      <c r="N120" s="22"/>
      <c r="O120" s="30"/>
    </row>
    <row r="121" spans="1:21" ht="18.5" x14ac:dyDescent="0.45">
      <c r="A121" s="22"/>
      <c r="B121" s="109"/>
      <c r="C121" s="7"/>
      <c r="D121" s="109"/>
      <c r="E121" s="22"/>
      <c r="F121" s="45"/>
      <c r="G121" s="45"/>
      <c r="H121" s="45"/>
      <c r="I121" s="28"/>
      <c r="J121" s="28"/>
      <c r="K121" s="22"/>
      <c r="L121" s="22"/>
      <c r="M121" s="30"/>
      <c r="N121" s="22"/>
      <c r="O121" s="30"/>
    </row>
    <row r="122" spans="1:21" ht="18.5" x14ac:dyDescent="0.45">
      <c r="A122" s="120"/>
      <c r="B122" s="22"/>
      <c r="C122" s="7"/>
      <c r="D122" s="22"/>
      <c r="E122" s="22"/>
      <c r="F122" s="45"/>
      <c r="G122" s="45"/>
      <c r="H122" s="45"/>
      <c r="I122" s="28"/>
      <c r="J122" s="28"/>
      <c r="K122" s="22"/>
      <c r="L122" s="22"/>
      <c r="M122" s="30"/>
      <c r="N122" s="22"/>
      <c r="O122" s="30"/>
    </row>
    <row r="123" spans="1:21" ht="18.5" x14ac:dyDescent="0.45">
      <c r="A123" s="22"/>
      <c r="B123" s="22"/>
      <c r="C123" s="7"/>
      <c r="D123" s="22"/>
      <c r="E123" s="22"/>
      <c r="F123" s="45"/>
      <c r="G123" s="45"/>
      <c r="H123" s="45"/>
      <c r="I123" s="28"/>
      <c r="J123" s="28"/>
      <c r="K123" s="22"/>
      <c r="L123" s="22"/>
      <c r="M123" s="30"/>
      <c r="N123" s="22"/>
      <c r="O123" s="30"/>
    </row>
    <row r="124" spans="1:21" ht="18.5" x14ac:dyDescent="0.45">
      <c r="A124" s="22"/>
      <c r="B124" s="109"/>
      <c r="C124" s="7"/>
      <c r="D124" s="109"/>
      <c r="E124" s="22"/>
      <c r="F124" s="45"/>
      <c r="G124" s="45"/>
      <c r="H124" s="45"/>
      <c r="I124" s="28"/>
      <c r="J124" s="28"/>
      <c r="K124" s="22"/>
      <c r="L124" s="22"/>
      <c r="M124" s="28"/>
      <c r="N124" s="22"/>
      <c r="O124" s="28"/>
    </row>
    <row r="125" spans="1:21" ht="18.5" x14ac:dyDescent="0.45">
      <c r="A125" s="22"/>
      <c r="B125" s="22"/>
      <c r="C125" s="7"/>
      <c r="D125" s="109"/>
      <c r="E125" s="22"/>
      <c r="F125" s="45"/>
      <c r="G125" s="45"/>
      <c r="H125" s="45"/>
      <c r="I125" s="28"/>
      <c r="J125" s="28"/>
      <c r="K125" s="22"/>
      <c r="L125" s="22"/>
      <c r="M125" s="30"/>
      <c r="N125" s="22"/>
      <c r="O125" s="30"/>
    </row>
    <row r="126" spans="1:21" ht="18.5" x14ac:dyDescent="0.45">
      <c r="A126" s="22"/>
      <c r="B126" s="22"/>
      <c r="C126" s="7"/>
      <c r="D126" s="109"/>
      <c r="E126" s="22"/>
      <c r="F126" s="45"/>
      <c r="G126" s="45"/>
      <c r="H126" s="45"/>
      <c r="I126" s="28"/>
      <c r="J126" s="28"/>
      <c r="K126" s="22"/>
      <c r="L126" s="22"/>
      <c r="M126" s="30"/>
      <c r="N126" s="22"/>
      <c r="O126" s="30"/>
    </row>
    <row r="127" spans="1:21" ht="18.5" x14ac:dyDescent="0.45">
      <c r="A127" s="22"/>
      <c r="B127" s="7"/>
      <c r="C127" s="7"/>
      <c r="D127" s="7"/>
      <c r="E127" s="7"/>
      <c r="F127" s="45"/>
      <c r="G127" s="45"/>
      <c r="H127" s="45"/>
      <c r="I127" s="7"/>
      <c r="J127" s="28"/>
      <c r="K127" s="22"/>
      <c r="L127" s="7"/>
      <c r="M127" s="30"/>
      <c r="N127" s="22"/>
      <c r="O127" s="30"/>
    </row>
    <row r="128" spans="1:21" ht="18.5" x14ac:dyDescent="0.45">
      <c r="A128" s="22"/>
      <c r="B128" s="22"/>
      <c r="C128" s="22"/>
      <c r="D128" s="22"/>
      <c r="E128" s="22"/>
      <c r="F128" s="45"/>
      <c r="G128" s="45"/>
      <c r="H128" s="45"/>
      <c r="I128" s="28"/>
      <c r="J128" s="28"/>
      <c r="K128" s="22"/>
      <c r="L128" s="22"/>
      <c r="M128" s="30"/>
      <c r="N128" s="22"/>
      <c r="O128" s="30"/>
    </row>
    <row r="129" spans="1:15" ht="18.5" x14ac:dyDescent="0.45">
      <c r="A129" s="22"/>
      <c r="B129" s="22"/>
      <c r="C129" s="22"/>
      <c r="D129" s="109"/>
      <c r="E129" s="22"/>
      <c r="F129" s="45"/>
      <c r="G129" s="45"/>
      <c r="H129" s="45"/>
      <c r="I129" s="28"/>
      <c r="J129" s="28"/>
      <c r="K129" s="22"/>
      <c r="L129" s="22"/>
      <c r="M129" s="30"/>
      <c r="N129" s="22"/>
      <c r="O129" s="30"/>
    </row>
    <row r="130" spans="1:15" ht="18.5" x14ac:dyDescent="0.45">
      <c r="A130" s="22"/>
      <c r="B130" s="22"/>
      <c r="C130" s="22"/>
      <c r="D130" s="22"/>
      <c r="E130" s="22"/>
      <c r="F130" s="45"/>
      <c r="G130" s="45"/>
      <c r="H130" s="45"/>
      <c r="I130" s="28"/>
      <c r="J130" s="28"/>
      <c r="K130" s="22"/>
      <c r="L130" s="22"/>
      <c r="M130" s="30"/>
      <c r="N130" s="22"/>
      <c r="O130" s="30"/>
    </row>
    <row r="131" spans="1:15" ht="18.5" x14ac:dyDescent="0.45">
      <c r="A131" s="22"/>
      <c r="B131" s="22"/>
      <c r="C131" s="22"/>
      <c r="D131" s="109"/>
      <c r="E131" s="22"/>
      <c r="F131" s="45"/>
      <c r="G131" s="45"/>
      <c r="H131" s="45"/>
      <c r="I131" s="28"/>
      <c r="J131" s="28"/>
      <c r="K131" s="22"/>
      <c r="L131" s="22"/>
      <c r="M131" s="30"/>
      <c r="N131" s="22"/>
      <c r="O131" s="30"/>
    </row>
    <row r="132" spans="1:15" ht="18.5" x14ac:dyDescent="0.45">
      <c r="A132" s="22"/>
      <c r="B132" s="22"/>
      <c r="C132" s="22"/>
      <c r="D132" s="22"/>
      <c r="E132" s="22"/>
      <c r="F132" s="45"/>
      <c r="G132" s="45"/>
      <c r="H132" s="45"/>
      <c r="I132" s="28"/>
      <c r="J132" s="28"/>
      <c r="K132" s="22"/>
      <c r="L132" s="22"/>
      <c r="M132" s="30"/>
      <c r="N132" s="22"/>
      <c r="O132" s="30"/>
    </row>
    <row r="133" spans="1:15" ht="18.5" x14ac:dyDescent="0.45">
      <c r="A133" s="22"/>
      <c r="B133" s="22"/>
      <c r="C133" s="22"/>
      <c r="D133" s="22"/>
      <c r="E133" s="22"/>
      <c r="F133" s="45"/>
      <c r="G133" s="45"/>
      <c r="H133" s="45"/>
      <c r="I133" s="28"/>
      <c r="J133" s="28"/>
      <c r="K133" s="22"/>
      <c r="L133" s="22"/>
      <c r="M133" s="30"/>
      <c r="N133" s="22"/>
      <c r="O133" s="30"/>
    </row>
    <row r="134" spans="1:15" ht="18.5" x14ac:dyDescent="0.45">
      <c r="A134" s="22"/>
      <c r="B134" s="22"/>
      <c r="C134" s="22"/>
      <c r="D134" s="22"/>
      <c r="E134" s="22"/>
      <c r="F134" s="45"/>
      <c r="G134" s="45"/>
      <c r="H134" s="45"/>
      <c r="I134" s="28"/>
      <c r="J134" s="28"/>
      <c r="K134" s="22"/>
      <c r="L134" s="22"/>
      <c r="M134" s="30"/>
      <c r="N134" s="22"/>
      <c r="O134" s="30"/>
    </row>
    <row r="135" spans="1:15" ht="18.5" x14ac:dyDescent="0.45">
      <c r="A135" s="22"/>
      <c r="B135" s="22"/>
      <c r="C135" s="22"/>
      <c r="D135" s="22"/>
      <c r="E135" s="22"/>
      <c r="F135" s="45"/>
      <c r="G135" s="45"/>
      <c r="H135" s="45"/>
      <c r="I135" s="28"/>
      <c r="J135" s="28"/>
      <c r="K135" s="22"/>
      <c r="L135" s="22"/>
      <c r="M135" s="30"/>
      <c r="N135" s="22"/>
      <c r="O135" s="30"/>
    </row>
    <row r="136" spans="1:15" ht="18.5" x14ac:dyDescent="0.45">
      <c r="A136" s="22"/>
      <c r="B136" s="22"/>
      <c r="C136" s="22"/>
      <c r="D136" s="22"/>
      <c r="E136" s="22"/>
      <c r="F136" s="45"/>
      <c r="G136" s="45"/>
      <c r="H136" s="45"/>
      <c r="I136" s="28"/>
      <c r="J136" s="28"/>
      <c r="K136" s="22"/>
      <c r="L136" s="22"/>
      <c r="M136" s="30"/>
      <c r="N136" s="22"/>
      <c r="O136" s="30"/>
    </row>
    <row r="137" spans="1:15" ht="18.5" x14ac:dyDescent="0.45">
      <c r="A137" s="22"/>
      <c r="B137" s="22"/>
      <c r="C137" s="22"/>
      <c r="D137" s="22"/>
      <c r="E137" s="22"/>
      <c r="F137" s="45"/>
      <c r="G137" s="45"/>
      <c r="H137" s="45"/>
      <c r="I137" s="28"/>
      <c r="J137" s="28"/>
      <c r="K137" s="22"/>
      <c r="L137" s="22"/>
      <c r="M137" s="30"/>
      <c r="N137" s="22"/>
      <c r="O137" s="30"/>
    </row>
    <row r="138" spans="1:15" ht="18.5" x14ac:dyDescent="0.45">
      <c r="A138" s="22"/>
      <c r="B138" s="22"/>
      <c r="C138" s="22"/>
      <c r="D138" s="22"/>
      <c r="E138" s="22"/>
      <c r="F138" s="45"/>
      <c r="G138" s="45"/>
      <c r="H138" s="45"/>
      <c r="I138" s="28"/>
      <c r="J138" s="28"/>
      <c r="K138" s="22"/>
      <c r="L138" s="22"/>
      <c r="M138" s="30"/>
      <c r="N138" s="22"/>
      <c r="O138" s="30"/>
    </row>
    <row r="139" spans="1:15" ht="18.5" x14ac:dyDescent="0.45">
      <c r="A139" s="22"/>
      <c r="B139" s="22"/>
      <c r="C139" s="22"/>
      <c r="D139" s="22"/>
      <c r="E139" s="22"/>
      <c r="F139" s="45"/>
      <c r="G139" s="45"/>
      <c r="H139" s="45"/>
      <c r="I139" s="28"/>
      <c r="J139" s="28"/>
      <c r="K139" s="22"/>
      <c r="L139" s="22"/>
      <c r="M139" s="30"/>
      <c r="N139" s="22"/>
      <c r="O139" s="30"/>
    </row>
    <row r="140" spans="1:15" ht="18.5" x14ac:dyDescent="0.45">
      <c r="A140" s="22"/>
      <c r="B140" s="22"/>
      <c r="C140" s="22"/>
      <c r="D140" s="22"/>
      <c r="E140" s="22"/>
      <c r="F140" s="45"/>
      <c r="G140" s="45"/>
      <c r="H140" s="45"/>
      <c r="I140" s="22"/>
      <c r="J140" s="28"/>
      <c r="K140" s="22"/>
      <c r="L140" s="22"/>
      <c r="M140" s="30"/>
      <c r="N140" s="22"/>
      <c r="O140" s="30"/>
    </row>
    <row r="141" spans="1:15" ht="18.5" x14ac:dyDescent="0.45">
      <c r="A141" s="22"/>
      <c r="B141" s="22"/>
      <c r="C141" s="22"/>
      <c r="D141" s="22"/>
      <c r="E141" s="22"/>
      <c r="F141" s="45"/>
      <c r="G141" s="45"/>
      <c r="H141" s="45"/>
      <c r="I141" s="22"/>
      <c r="J141" s="28"/>
      <c r="K141" s="22"/>
      <c r="L141" s="22"/>
      <c r="M141" s="30"/>
      <c r="N141" s="22"/>
      <c r="O141" s="30"/>
    </row>
    <row r="142" spans="1:15" ht="18.5" x14ac:dyDescent="0.45">
      <c r="A142" s="22"/>
      <c r="B142" s="22"/>
      <c r="C142" s="22"/>
      <c r="D142" s="22"/>
      <c r="E142" s="22"/>
      <c r="F142" s="45"/>
      <c r="G142" s="45"/>
      <c r="H142" s="45"/>
      <c r="I142" s="22"/>
      <c r="J142" s="28"/>
      <c r="K142" s="22"/>
      <c r="L142" s="22"/>
      <c r="M142" s="30"/>
      <c r="N142" s="22"/>
      <c r="O142" s="30"/>
    </row>
    <row r="143" spans="1:15" ht="18.5" x14ac:dyDescent="0.45">
      <c r="A143" s="22"/>
      <c r="B143" s="22"/>
      <c r="C143" s="22"/>
      <c r="D143" s="22"/>
      <c r="E143" s="22"/>
      <c r="F143" s="45"/>
      <c r="G143" s="45"/>
      <c r="H143" s="45"/>
      <c r="I143" s="22"/>
      <c r="J143" s="28"/>
      <c r="K143" s="22"/>
      <c r="L143" s="22"/>
      <c r="M143" s="30"/>
      <c r="N143" s="22"/>
      <c r="O143" s="30"/>
    </row>
    <row r="144" spans="1:15" ht="18.5" x14ac:dyDescent="0.45">
      <c r="A144" s="22"/>
      <c r="B144" s="22"/>
      <c r="C144" s="22"/>
      <c r="D144" s="22"/>
      <c r="E144" s="22"/>
      <c r="F144" s="45"/>
      <c r="G144" s="45"/>
      <c r="H144" s="45"/>
      <c r="I144" s="22"/>
      <c r="J144" s="28"/>
      <c r="K144" s="22"/>
      <c r="L144" s="22"/>
      <c r="M144" s="30"/>
      <c r="N144" s="22"/>
      <c r="O144" s="30"/>
    </row>
    <row r="145" spans="1:15" ht="18.5" x14ac:dyDescent="0.45">
      <c r="A145" s="22"/>
      <c r="B145" s="22"/>
      <c r="C145" s="22"/>
      <c r="D145" s="22"/>
      <c r="E145" s="22"/>
      <c r="F145" s="45"/>
      <c r="G145" s="45"/>
      <c r="H145" s="45"/>
      <c r="I145" s="22"/>
      <c r="J145" s="28"/>
      <c r="K145" s="22"/>
      <c r="L145" s="22"/>
      <c r="M145" s="30"/>
      <c r="N145" s="22"/>
      <c r="O145" s="30"/>
    </row>
    <row r="146" spans="1:15" ht="18.5" x14ac:dyDescent="0.45">
      <c r="A146" s="22"/>
      <c r="B146" s="22"/>
      <c r="C146" s="22"/>
      <c r="D146" s="22"/>
      <c r="E146" s="22"/>
      <c r="F146" s="45"/>
      <c r="G146" s="45"/>
      <c r="H146" s="45"/>
      <c r="I146" s="22"/>
      <c r="J146" s="28"/>
      <c r="K146" s="22"/>
      <c r="L146" s="22"/>
      <c r="M146" s="30"/>
      <c r="N146" s="22"/>
      <c r="O146" s="30"/>
    </row>
    <row r="147" spans="1:15" ht="18.5" x14ac:dyDescent="0.4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</row>
    <row r="148" spans="1:15" x14ac:dyDescent="0.3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</row>
    <row r="149" spans="1:15" x14ac:dyDescent="0.3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</row>
    <row r="150" spans="1:15" x14ac:dyDescent="0.3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</row>
  </sheetData>
  <autoFilter ref="A8:U47" xr:uid="{00000000-0009-0000-0000-000007000000}"/>
  <mergeCells count="4">
    <mergeCell ref="F2:K4"/>
    <mergeCell ref="A7:D7"/>
    <mergeCell ref="E7:J7"/>
    <mergeCell ref="K7:L7"/>
  </mergeCells>
  <conditionalFormatting sqref="A9:P9 G10:H17 K10:K53 H10:H104 L10:L113 J10:J146 M10:O146 G18:G36 K55 K58 K60:K61 K66 K68:K146">
    <cfRule type="expression" dxfId="5" priority="6">
      <formula>DAYS360(NOW(), $M9) &lt;= 30</formula>
    </cfRule>
  </conditionalFormatting>
  <conditionalFormatting sqref="G18:G36 A9:P9 G10:H17 K10:K53 H10:H104 L10:L113 J10:J146 M10:O146 K55 K58 K60:K61 K66 K68:K146">
    <cfRule type="expression" dxfId="4" priority="5">
      <formula>DAYS360(NOW(), $M9) &lt;= 0</formula>
    </cfRule>
  </conditionalFormatting>
  <conditionalFormatting sqref="G18:G36">
    <cfRule type="expression" dxfId="3" priority="3">
      <formula>DAYS360(NOW(), $M18) &lt;= 0</formula>
    </cfRule>
    <cfRule type="expression" dxfId="2" priority="4">
      <formula>DAYS360(NOW(), $M18) &lt;= 30</formula>
    </cfRule>
  </conditionalFormatting>
  <conditionalFormatting sqref="Q30">
    <cfRule type="expression" dxfId="1" priority="1">
      <formula>DAYS360(NOW(), $M30) &lt;= 0</formula>
    </cfRule>
    <cfRule type="expression" dxfId="0" priority="2">
      <formula>DAYS360(NOW(), $M30) &lt;= 30</formula>
    </cfRule>
  </conditionalFormatting>
  <pageMargins left="0.24" right="0.11811023622047245" top="1.63" bottom="0.11811023622047245" header="0.31496062992125984" footer="0.31496062992125984"/>
  <pageSetup paperSize="9" scale="85" orientation="landscape" verticalDpi="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Membership Level</vt:lpstr>
      <vt:lpstr>SWIMMING 2026</vt:lpstr>
      <vt:lpstr>Sheet4</vt:lpstr>
      <vt:lpstr>Sheet3</vt:lpstr>
      <vt:lpstr>Sheet1</vt:lpstr>
      <vt:lpstr>Sheet2</vt:lpstr>
      <vt:lpstr>CRICKET NIRANJAN</vt:lpstr>
      <vt:lpstr>ZUMBA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Leon</dc:creator>
  <cp:lastModifiedBy>Vikrant Mishra</cp:lastModifiedBy>
  <cp:lastPrinted>2026-03-14T13:49:04Z</cp:lastPrinted>
  <dcterms:created xsi:type="dcterms:W3CDTF">2015-11-14T16:08:58Z</dcterms:created>
  <dcterms:modified xsi:type="dcterms:W3CDTF">2026-05-20T09:22:59Z</dcterms:modified>
</cp:coreProperties>
</file>