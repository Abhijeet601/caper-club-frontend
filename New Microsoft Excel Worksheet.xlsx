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1" autoFilterDateGrouping="1"/>
  </bookViews>
  <sheets>
    <sheet xmlns:r="http://schemas.openxmlformats.org/officeDocument/2006/relationships" name="Membership Level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WIMMING 2026" sheetId="3" state="visible" r:id="rId3"/>
  </sheets>
  <definedNames>
    <definedName name="_xlnm._FilterDatabase" localSheetId="2" hidden="1">'SWIMMING 2026'!$C$8:$Q$1642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;[Red]0"/>
    <numFmt numFmtId="165" formatCode="_-&quot;$&quot;* #,##0.00_-;\-&quot;$&quot;* #,##0.00_-;_-&quot;$&quot;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595959"/>
      <sz val="16"/>
    </font>
    <font>
      <name val="Calibri"/>
      <family val="2"/>
      <b val="1"/>
      <color rgb="FF595959"/>
      <sz val="11"/>
    </font>
    <font>
      <name val="Calibri"/>
      <family val="2"/>
      <sz val="11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2"/>
      <b val="1"/>
      <color theme="1"/>
      <sz val="9"/>
      <scheme val="major"/>
    </font>
    <font>
      <name val="Calibri"/>
      <family val="2"/>
      <color rgb="FFE40A1A"/>
      <sz val="11"/>
      <scheme val="minor"/>
    </font>
  </fonts>
  <fills count="20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rgb="FFEEEEEE"/>
        <bgColor rgb="FFFFFFFF"/>
      </patternFill>
    </fill>
    <fill>
      <patternFill patternType="solid">
        <fgColor theme="0" tint="-0.1499984740745262"/>
        <b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40A1A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5" fontId="1" fillId="0" borderId="0"/>
  </cellStyleXfs>
  <cellXfs count="11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2" pivotButton="0" quotePrefix="0" xfId="0"/>
    <xf numFmtId="0" fontId="4" fillId="3" borderId="0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textRotation="90"/>
    </xf>
    <xf numFmtId="0" fontId="0" fillId="7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/>
    </xf>
    <xf numFmtId="0" fontId="0" fillId="8" borderId="0" pivotButton="0" quotePrefix="0" xfId="0"/>
    <xf numFmtId="0" fontId="0" fillId="7" borderId="0" pivotButton="0" quotePrefix="0" xfId="0"/>
    <xf numFmtId="0" fontId="0" fillId="10" borderId="0" pivotButton="0" quotePrefix="0" xfId="0"/>
    <xf numFmtId="164" fontId="0" fillId="7" borderId="3" applyAlignment="1" pivotButton="0" quotePrefix="0" xfId="0">
      <alignment horizontal="center"/>
    </xf>
    <xf numFmtId="0" fontId="0" fillId="7" borderId="3" applyAlignment="1" pivotButton="0" quotePrefix="0" xfId="0">
      <alignment horizontal="center"/>
    </xf>
    <xf numFmtId="0" fontId="0" fillId="11" borderId="0" pivotButton="0" quotePrefix="0" xfId="0"/>
    <xf numFmtId="0" fontId="0" fillId="12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pivotButton="0" quotePrefix="0" xfId="0"/>
    <xf numFmtId="165" fontId="0" fillId="0" borderId="3" pivotButton="0" quotePrefix="0" xfId="0"/>
    <xf numFmtId="165" fontId="2" fillId="7" borderId="3" pivotButton="0" quotePrefix="0" xfId="1"/>
    <xf numFmtId="14" fontId="0" fillId="7" borderId="3" pivotButton="0" quotePrefix="0" xfId="0"/>
    <xf numFmtId="0" fontId="0" fillId="7" borderId="3" pivotButton="0" quotePrefix="0" xfId="0"/>
    <xf numFmtId="14" fontId="2" fillId="7" borderId="3" pivotButton="0" quotePrefix="0" xfId="0"/>
    <xf numFmtId="16" fontId="0" fillId="0" borderId="3" pivotButton="0" quotePrefix="0" xfId="0"/>
    <xf numFmtId="0" fontId="0" fillId="0" borderId="3" pivotButton="0" quotePrefix="0" xfId="0"/>
    <xf numFmtId="0" fontId="0" fillId="8" borderId="3" pivotButton="0" quotePrefix="0" xfId="0"/>
    <xf numFmtId="165" fontId="0" fillId="8" borderId="3" pivotButton="0" quotePrefix="0" xfId="0"/>
    <xf numFmtId="165" fontId="2" fillId="8" borderId="3" pivotButton="0" quotePrefix="0" xfId="1"/>
    <xf numFmtId="14" fontId="0" fillId="8" borderId="3" pivotButton="0" quotePrefix="0" xfId="0"/>
    <xf numFmtId="14" fontId="2" fillId="8" borderId="3" pivotButton="0" quotePrefix="0" xfId="0"/>
    <xf numFmtId="0" fontId="0" fillId="0" borderId="3" applyAlignment="1" pivotButton="0" quotePrefix="0" xfId="0">
      <alignment horizontal="center"/>
    </xf>
    <xf numFmtId="14" fontId="0" fillId="0" borderId="3" pivotButton="0" quotePrefix="0" xfId="0"/>
    <xf numFmtId="165" fontId="0" fillId="7" borderId="3" pivotButton="0" quotePrefix="0" xfId="0"/>
    <xf numFmtId="0" fontId="0" fillId="12" borderId="3" pivotButton="0" quotePrefix="0" xfId="0"/>
    <xf numFmtId="14" fontId="2" fillId="12" borderId="3" pivotButton="0" quotePrefix="0" xfId="0"/>
    <xf numFmtId="0" fontId="0" fillId="9" borderId="0" pivotButton="0" quotePrefix="0" xfId="0"/>
    <xf numFmtId="0" fontId="0" fillId="14" borderId="0" pivotButton="0" quotePrefix="0" xfId="0"/>
    <xf numFmtId="0" fontId="7" fillId="7" borderId="6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7" fillId="8" borderId="6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/>
    </xf>
    <xf numFmtId="164" fontId="0" fillId="0" borderId="3" pivotButton="0" quotePrefix="0" xfId="0"/>
    <xf numFmtId="164" fontId="0" fillId="7" borderId="3" pivotButton="0" quotePrefix="0" xfId="0"/>
    <xf numFmtId="0" fontId="0" fillId="15" borderId="0" pivotButton="0" quotePrefix="0" xfId="0"/>
    <xf numFmtId="164" fontId="0" fillId="0" borderId="0" pivotButton="0" quotePrefix="0" xfId="0"/>
    <xf numFmtId="0" fontId="0" fillId="0" borderId="5" pivotButton="0" quotePrefix="0" xfId="0"/>
    <xf numFmtId="164" fontId="0" fillId="12" borderId="3" pivotButton="0" quotePrefix="0" xfId="0"/>
    <xf numFmtId="14" fontId="0" fillId="12" borderId="3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165" fontId="0" fillId="12" borderId="3" pivotButton="0" quotePrefix="0" xfId="0"/>
    <xf numFmtId="165" fontId="2" fillId="12" borderId="3" pivotButton="0" quotePrefix="0" xfId="1"/>
    <xf numFmtId="16" fontId="0" fillId="7" borderId="3" pivotButton="0" quotePrefix="0" xfId="0"/>
    <xf numFmtId="16" fontId="0" fillId="12" borderId="3" pivotButton="0" quotePrefix="0" xfId="0"/>
    <xf numFmtId="0" fontId="0" fillId="19" borderId="0" pivotButton="0" quotePrefix="0" xfId="0"/>
    <xf numFmtId="0" fontId="0" fillId="10" borderId="3" pivotButton="0" quotePrefix="0" xfId="0"/>
    <xf numFmtId="16" fontId="0" fillId="10" borderId="3" pivotButton="0" quotePrefix="0" xfId="0"/>
    <xf numFmtId="165" fontId="0" fillId="10" borderId="3" pivotButton="0" quotePrefix="0" xfId="0"/>
    <xf numFmtId="165" fontId="2" fillId="10" borderId="3" pivotButton="0" quotePrefix="0" xfId="1"/>
    <xf numFmtId="14" fontId="0" fillId="10" borderId="3" pivotButton="0" quotePrefix="0" xfId="0"/>
    <xf numFmtId="0" fontId="0" fillId="15" borderId="3" pivotButton="0" quotePrefix="0" xfId="0"/>
    <xf numFmtId="16" fontId="0" fillId="15" borderId="3" pivotButton="0" quotePrefix="0" xfId="0"/>
    <xf numFmtId="165" fontId="0" fillId="15" borderId="3" pivotButton="0" quotePrefix="0" xfId="0"/>
    <xf numFmtId="165" fontId="2" fillId="15" borderId="3" pivotButton="0" quotePrefix="0" xfId="1"/>
    <xf numFmtId="14" fontId="0" fillId="15" borderId="3" pivotButton="0" quotePrefix="0" xfId="0"/>
    <xf numFmtId="16" fontId="9" fillId="7" borderId="3" pivotButton="0" quotePrefix="0" xfId="0"/>
    <xf numFmtId="0" fontId="6" fillId="7" borderId="3" pivotButton="0" quotePrefix="0" xfId="0"/>
    <xf numFmtId="165" fontId="0" fillId="7" borderId="3" pivotButton="0" quotePrefix="0" xfId="1"/>
    <xf numFmtId="165" fontId="6" fillId="7" borderId="3" pivotButton="0" quotePrefix="0" xfId="1"/>
    <xf numFmtId="165" fontId="6" fillId="0" borderId="3" pivotButton="0" quotePrefix="0" xfId="0"/>
    <xf numFmtId="14" fontId="6" fillId="7" borderId="3" pivotButton="0" quotePrefix="0" xfId="0"/>
    <xf numFmtId="0" fontId="0" fillId="13" borderId="3" pivotButton="0" quotePrefix="0" xfId="0"/>
    <xf numFmtId="16" fontId="0" fillId="13" borderId="3" pivotButton="0" quotePrefix="0" xfId="0"/>
    <xf numFmtId="165" fontId="0" fillId="13" borderId="3" pivotButton="0" quotePrefix="0" xfId="0"/>
    <xf numFmtId="165" fontId="2" fillId="13" borderId="3" pivotButton="0" quotePrefix="0" xfId="1"/>
    <xf numFmtId="14" fontId="0" fillId="13" borderId="3" pivotButton="0" quotePrefix="0" xfId="0"/>
    <xf numFmtId="14" fontId="2" fillId="13" borderId="3" pivotButton="0" quotePrefix="0" xfId="0"/>
    <xf numFmtId="0" fontId="0" fillId="7" borderId="8" pivotButton="0" quotePrefix="0" xfId="0"/>
    <xf numFmtId="16" fontId="0" fillId="7" borderId="8" pivotButton="0" quotePrefix="0" xfId="0"/>
    <xf numFmtId="0" fontId="0" fillId="0" borderId="8" applyAlignment="1" pivotButton="0" quotePrefix="0" xfId="0">
      <alignment horizontal="center"/>
    </xf>
    <xf numFmtId="165" fontId="0" fillId="7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center"/>
    </xf>
    <xf numFmtId="165" fontId="0" fillId="0" borderId="9" pivotButton="0" quotePrefix="0" xfId="0"/>
    <xf numFmtId="165" fontId="2" fillId="7" borderId="9" pivotButton="0" quotePrefix="0" xfId="1"/>
    <xf numFmtId="14" fontId="0" fillId="0" borderId="9" pivotButton="0" quotePrefix="0" xfId="0"/>
    <xf numFmtId="14" fontId="0" fillId="7" borderId="9" pivotButton="0" quotePrefix="0" xfId="0"/>
    <xf numFmtId="0" fontId="0" fillId="0" borderId="8" pivotButton="0" quotePrefix="0" xfId="0"/>
    <xf numFmtId="165" fontId="0" fillId="0" borderId="8" pivotButton="0" quotePrefix="0" xfId="0"/>
    <xf numFmtId="165" fontId="2" fillId="7" borderId="8" pivotButton="0" quotePrefix="0" xfId="1"/>
    <xf numFmtId="14" fontId="0" fillId="0" borderId="8" pivotButton="0" quotePrefix="0" xfId="0"/>
    <xf numFmtId="14" fontId="0" fillId="7" borderId="8" pivotButton="0" quotePrefix="0" xfId="0"/>
    <xf numFmtId="14" fontId="2" fillId="7" borderId="8" pivotButton="0" quotePrefix="0" xfId="0"/>
    <xf numFmtId="0" fontId="1" fillId="0" borderId="3" applyAlignment="1" pivotButton="0" quotePrefix="0" xfId="0">
      <alignment horizontal="center"/>
    </xf>
    <xf numFmtId="0" fontId="1" fillId="0" borderId="3" pivotButton="0" quotePrefix="0" xfId="0"/>
    <xf numFmtId="0" fontId="1" fillId="0" borderId="5" pivotButton="0" quotePrefix="0" xfId="0"/>
    <xf numFmtId="0" fontId="0" fillId="0" borderId="12" pivotButton="0" quotePrefix="0" xfId="0"/>
    <xf numFmtId="0" fontId="0" fillId="0" borderId="13" pivotButton="0" quotePrefix="0" xfId="0"/>
  </cellXfs>
  <cellStyles count="2">
    <cellStyle name="Normal" xfId="0" builtinId="0"/>
    <cellStyle name="Currency 2" xfId="1"/>
  </cellStyles>
  <dxfs count="12"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twoCellAnchor editAs="oneCell">
    <from>
      <col>3</col>
      <colOff>742950</colOff>
      <row>2</row>
      <rowOff>123825</rowOff>
    </from>
    <to>
      <col>3</col>
      <colOff>1130427</colOff>
      <row>3</row>
      <rowOff>7212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14725" y="542925"/>
          <a:ext cx="387477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9"/>
  <sheetViews>
    <sheetView workbookViewId="0">
      <selection activeCell="A1" sqref="A1"/>
    </sheetView>
  </sheetViews>
  <sheetFormatPr baseColWidth="8" defaultRowHeight="15"/>
  <cols>
    <col width="26.140625" customWidth="1" min="1" max="1"/>
    <col width="17.5703125" bestFit="1" customWidth="1" min="2" max="2"/>
    <col width="15.5703125" customWidth="1" min="3" max="3"/>
  </cols>
  <sheetData>
    <row r="2">
      <c r="A2" s="12" t="inlineStr">
        <is>
          <t>Levels</t>
        </is>
      </c>
      <c r="B2" s="107" t="inlineStr">
        <is>
          <t>Duration (Months)</t>
        </is>
      </c>
      <c r="C2" s="107" t="inlineStr">
        <is>
          <t>DAYS</t>
        </is>
      </c>
    </row>
    <row r="3">
      <c r="A3" s="108" t="inlineStr">
        <is>
          <t>Cricket Month</t>
        </is>
      </c>
      <c r="B3" s="108" t="n">
        <v>1</v>
      </c>
      <c r="C3" s="108">
        <f>30*B3</f>
        <v/>
      </c>
    </row>
    <row r="4">
      <c r="A4" s="108" t="inlineStr">
        <is>
          <t>Cricket Qty</t>
        </is>
      </c>
      <c r="B4" s="108" t="n">
        <v>3</v>
      </c>
      <c r="C4" s="108">
        <f>30*B4</f>
        <v/>
      </c>
    </row>
    <row r="5">
      <c r="A5" s="108" t="inlineStr">
        <is>
          <t>Cricket HY</t>
        </is>
      </c>
      <c r="B5" s="108" t="n">
        <v>6</v>
      </c>
      <c r="C5" s="108">
        <f>30*B5</f>
        <v/>
      </c>
    </row>
    <row r="6">
      <c r="A6" s="108" t="inlineStr">
        <is>
          <t>Cricket Y</t>
        </is>
      </c>
      <c r="B6" s="108" t="n">
        <v>12</v>
      </c>
      <c r="C6" s="108">
        <f>30*B6</f>
        <v/>
      </c>
    </row>
    <row r="7">
      <c r="A7" s="108" t="inlineStr">
        <is>
          <t>Tennis Moth</t>
        </is>
      </c>
      <c r="B7" s="108" t="n">
        <v>1</v>
      </c>
      <c r="C7" s="108">
        <f>30*B7</f>
        <v/>
      </c>
    </row>
    <row r="8">
      <c r="A8" s="108" t="inlineStr">
        <is>
          <t>Tennis Qty</t>
        </is>
      </c>
      <c r="B8" s="108" t="n">
        <v>3</v>
      </c>
      <c r="C8" s="108">
        <f>30*B8</f>
        <v/>
      </c>
    </row>
    <row r="9">
      <c r="A9" s="108" t="inlineStr">
        <is>
          <t>Tennis HY</t>
        </is>
      </c>
      <c r="B9" s="108" t="n">
        <v>6</v>
      </c>
      <c r="C9" s="108">
        <f>30*B9</f>
        <v/>
      </c>
    </row>
    <row r="10">
      <c r="A10" s="108" t="inlineStr">
        <is>
          <t>Tennis Y</t>
        </is>
      </c>
      <c r="B10" s="108" t="n">
        <v>12</v>
      </c>
      <c r="C10" s="108">
        <f>30*B10</f>
        <v/>
      </c>
    </row>
    <row r="11">
      <c r="A11" s="108" t="inlineStr">
        <is>
          <t>Swimming 2 Moth</t>
        </is>
      </c>
      <c r="B11" s="108" t="n">
        <v>2</v>
      </c>
      <c r="C11" s="108">
        <f>30*B11</f>
        <v/>
      </c>
    </row>
    <row r="12">
      <c r="A12" s="108" t="inlineStr">
        <is>
          <t>Swimming Moth</t>
        </is>
      </c>
      <c r="B12" s="108" t="n">
        <v>1</v>
      </c>
      <c r="C12" s="108">
        <f>30*B12</f>
        <v/>
      </c>
    </row>
    <row r="13">
      <c r="A13" s="108" t="inlineStr">
        <is>
          <t>Swimming Qty</t>
        </is>
      </c>
      <c r="B13" s="108" t="n">
        <v>3</v>
      </c>
      <c r="C13" s="108">
        <f>30*B13</f>
        <v/>
      </c>
    </row>
    <row r="14">
      <c r="A14" s="108" t="inlineStr">
        <is>
          <t>Swimming HY</t>
        </is>
      </c>
      <c r="B14" s="108" t="n">
        <v>6</v>
      </c>
      <c r="C14" s="108">
        <f>30*B14</f>
        <v/>
      </c>
    </row>
    <row r="15">
      <c r="A15" s="108" t="inlineStr">
        <is>
          <t>Swimming y</t>
        </is>
      </c>
      <c r="B15" s="108" t="n">
        <v>12</v>
      </c>
      <c r="C15" s="108">
        <f>30*B15</f>
        <v/>
      </c>
    </row>
    <row r="16">
      <c r="A16" s="108" t="inlineStr">
        <is>
          <t>Swimming Qty (3 days)</t>
        </is>
      </c>
      <c r="B16" s="108" t="n">
        <v>3</v>
      </c>
      <c r="C16" s="108">
        <f>30*B16</f>
        <v/>
      </c>
    </row>
    <row r="17">
      <c r="A17" s="108" t="inlineStr">
        <is>
          <t>Tennis 2 Month</t>
        </is>
      </c>
      <c r="B17" s="108" t="n">
        <v>2</v>
      </c>
      <c r="C17" s="108">
        <f>30*B17</f>
        <v/>
      </c>
    </row>
    <row r="18">
      <c r="A18" s="108" t="inlineStr">
        <is>
          <t>Zumba Month</t>
        </is>
      </c>
      <c r="B18" s="108" t="n">
        <v>1</v>
      </c>
      <c r="C18" s="108">
        <f>30*B18</f>
        <v/>
      </c>
    </row>
    <row r="19">
      <c r="A19" s="108" t="inlineStr">
        <is>
          <t>ZUMBA QTY</t>
        </is>
      </c>
      <c r="B19" s="108" t="n">
        <v>3</v>
      </c>
      <c r="C19" s="108">
        <f>30*B19</f>
        <v/>
      </c>
    </row>
    <row r="20">
      <c r="A20" s="109" t="inlineStr">
        <is>
          <t>SKATING MONTH</t>
        </is>
      </c>
      <c r="B20" s="109" t="n">
        <v>1</v>
      </c>
      <c r="C20" s="109" t="n">
        <v>30</v>
      </c>
    </row>
    <row r="21">
      <c r="A21" s="109" t="inlineStr">
        <is>
          <t>SKATING QTY</t>
        </is>
      </c>
      <c r="B21" s="109" t="n">
        <v>3</v>
      </c>
      <c r="C21" t="n">
        <v>90</v>
      </c>
    </row>
    <row r="39">
      <c r="F39">
        <f>'Membership Level'!A1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11" sqref="C11:C14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75"/>
  <sheetViews>
    <sheetView tabSelected="1" zoomScale="103" zoomScaleNormal="103" workbookViewId="0">
      <pane ySplit="8" topLeftCell="A51" activePane="bottomLeft" state="frozen"/>
      <selection pane="bottomLeft" activeCell="D26" sqref="D26"/>
    </sheetView>
  </sheetViews>
  <sheetFormatPr baseColWidth="8" defaultRowHeight="15"/>
  <cols>
    <col width="13.85546875" customWidth="1" min="1" max="1"/>
    <col width="10.7109375" customWidth="1" min="2" max="2"/>
    <col width="17" bestFit="1" customWidth="1" min="3" max="3"/>
    <col width="37.42578125" customWidth="1" min="4" max="4"/>
    <col width="16.28515625" bestFit="1" customWidth="1" min="5" max="5"/>
    <col width="20.5703125" customWidth="1" min="6" max="6"/>
    <col width="22.5703125" customWidth="1" min="7" max="7"/>
    <col width="17.42578125" bestFit="1" customWidth="1" min="8" max="8"/>
    <col width="12.5703125" customWidth="1" min="9" max="9"/>
    <col width="12.28515625" customWidth="1" min="10" max="10"/>
    <col width="11.5703125" bestFit="1" customWidth="1" min="11" max="11"/>
    <col width="11.140625" customWidth="1" min="12" max="12"/>
    <col hidden="1" width="5.85546875" customWidth="1" min="13" max="13"/>
    <col width="13.5703125" customWidth="1" min="14" max="14"/>
    <col width="9.28515625" bestFit="1" customWidth="1" min="15" max="15"/>
    <col width="13.42578125" customWidth="1" min="16" max="16"/>
    <col width="54.85546875" customWidth="1" min="17" max="17"/>
  </cols>
  <sheetData>
    <row r="1">
      <c r="C1" s="1" t="n"/>
      <c r="D1" s="2" t="n"/>
      <c r="E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8" customHeight="1">
      <c r="C2" s="1" t="n"/>
      <c r="D2" s="3" t="inlineStr">
        <is>
          <t>Club Membership Database</t>
        </is>
      </c>
      <c r="E2" s="3" t="n">
        <v>-2026</v>
      </c>
      <c r="F2" s="4" t="n"/>
      <c r="G2" s="4" t="n"/>
      <c r="H2" s="4" t="n"/>
      <c r="I2" s="4" t="n"/>
      <c r="J2" s="4" t="n"/>
      <c r="K2" s="1" t="n"/>
      <c r="L2" s="1" t="n"/>
      <c r="M2" s="1" t="n"/>
      <c r="N2" s="1" t="n"/>
      <c r="O2" s="1" t="n"/>
      <c r="P2" s="1" t="n"/>
      <c r="Q2" s="1" t="n"/>
    </row>
    <row r="3" ht="9.75" customHeight="1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idden="1"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idden="1">
      <c r="C5" s="1">
        <f>3300*30/100</f>
        <v/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idden="1"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 ht="27.75" customHeight="1">
      <c r="A7" s="6" t="inlineStr">
        <is>
          <t>Contact Information</t>
        </is>
      </c>
      <c r="F7" s="7" t="inlineStr">
        <is>
          <t>Membership</t>
        </is>
      </c>
      <c r="G7" s="110" t="n"/>
      <c r="H7" s="110" t="n"/>
      <c r="I7" s="110" t="n"/>
      <c r="J7" s="110" t="n"/>
      <c r="K7" s="110" t="n"/>
      <c r="L7" s="111" t="n"/>
      <c r="M7" s="8" t="inlineStr">
        <is>
          <t>Notice term</t>
        </is>
      </c>
      <c r="N7" s="9" t="n"/>
      <c r="O7" s="9" t="n"/>
      <c r="P7" s="9" t="n"/>
      <c r="Q7" s="9" t="n"/>
    </row>
    <row r="8" ht="48" customHeight="1">
      <c r="A8" s="10" t="inlineStr">
        <is>
          <t>REG NO</t>
        </is>
      </c>
      <c r="B8" s="10" t="inlineStr">
        <is>
          <t>REG, DATE</t>
        </is>
      </c>
      <c r="C8" s="11" t="inlineStr">
        <is>
          <t>Last Name</t>
        </is>
      </c>
      <c r="D8" s="12" t="inlineStr">
        <is>
          <t>First Name</t>
        </is>
      </c>
      <c r="E8" s="13" t="inlineStr">
        <is>
          <t>MOBILE NO.</t>
        </is>
      </c>
      <c r="F8" s="14" t="inlineStr">
        <is>
          <t>Level</t>
        </is>
      </c>
      <c r="G8" s="12" t="inlineStr">
        <is>
          <t>DAYS</t>
        </is>
      </c>
      <c r="H8" s="14" t="inlineStr">
        <is>
          <t>Membership Fees</t>
        </is>
      </c>
      <c r="I8" s="14" t="inlineStr">
        <is>
          <t>Fees Paid</t>
        </is>
      </c>
      <c r="J8" s="14" t="inlineStr">
        <is>
          <t>Fees Due</t>
        </is>
      </c>
      <c r="K8" s="14" t="inlineStr">
        <is>
          <t>Start</t>
        </is>
      </c>
      <c r="L8" s="14" t="inlineStr">
        <is>
          <t>Expiration</t>
        </is>
      </c>
      <c r="M8" s="15" t="inlineStr">
        <is>
          <t>Days</t>
        </is>
      </c>
      <c r="N8" s="12" t="inlineStr">
        <is>
          <t>Termination Notice</t>
        </is>
      </c>
      <c r="O8" s="12" t="inlineStr">
        <is>
          <t>Days To Expiration</t>
        </is>
      </c>
      <c r="P8" s="12" t="inlineStr">
        <is>
          <t>Pending Fee Notice</t>
        </is>
      </c>
      <c r="Q8" s="12" t="inlineStr">
        <is>
          <t xml:space="preserve">REMARKS </t>
        </is>
      </c>
    </row>
    <row r="9">
      <c r="A9" s="16" t="inlineStr">
        <is>
          <t>CAP/SW/398</t>
        </is>
      </c>
      <c r="B9" s="32" t="n">
        <v>46127</v>
      </c>
      <c r="C9" s="42" t="inlineStr">
        <is>
          <t xml:space="preserve">GAURAV </t>
        </is>
      </c>
      <c r="D9" s="42" t="inlineStr">
        <is>
          <t xml:space="preserve">JEETENDRA </t>
        </is>
      </c>
      <c r="E9" s="17" t="n">
        <v>9122516151</v>
      </c>
      <c r="F9" s="42">
        <f>'Membership Level'!A12</f>
        <v/>
      </c>
      <c r="G9" s="42" t="inlineStr">
        <is>
          <t xml:space="preserve">MONTHLY </t>
        </is>
      </c>
      <c r="H9" s="30" t="n">
        <v>3300</v>
      </c>
      <c r="I9" s="30" t="n">
        <v>3300</v>
      </c>
      <c r="J9" s="31">
        <f>IF(H9="","",H9-I9)</f>
        <v/>
      </c>
      <c r="K9" s="43" t="n">
        <v>46127</v>
      </c>
      <c r="L9" s="32">
        <f>IF(OR(K9="",$F9=""),"",DATE(YEAR(K9),MONTH(K9)+VLOOKUP($F9,'Membership Level'!$A$3:$B$15,2,FALSE),DAY(K9)))</f>
        <v/>
      </c>
      <c r="M9" s="33" t="n">
        <v>3</v>
      </c>
      <c r="N9" s="34">
        <f>IF($L9="","",DATE(YEAR($L9),MONTH($L9),DAY($L9)-$M9))</f>
        <v/>
      </c>
      <c r="O9" s="33">
        <f>IF($L9="","",IF(DAYS360(NOW(),$L9)&gt;=0,DAYS360(NOW(),$L9),""))</f>
        <v/>
      </c>
      <c r="P9" s="34">
        <f>IF(OR(H9="",H9=0,F9="",K9=""),"",I9/H9*VLOOKUP(F9,'Membership Level'!$A$3:$C$15,3,FALSE)+K9)</f>
        <v/>
      </c>
      <c r="Q9" s="42" t="n"/>
    </row>
    <row r="10">
      <c r="A10" s="16" t="inlineStr">
        <is>
          <t>CAP/SW/399</t>
        </is>
      </c>
      <c r="B10" s="32" t="n">
        <v>46127</v>
      </c>
      <c r="C10" s="42" t="inlineStr">
        <is>
          <t>SAWARN</t>
        </is>
      </c>
      <c r="D10" s="42" t="inlineStr">
        <is>
          <t>RUDRANSH</t>
        </is>
      </c>
      <c r="E10" s="17" t="n">
        <v>9899582476</v>
      </c>
      <c r="F10" s="42">
        <f>'Membership Level'!A12</f>
        <v/>
      </c>
      <c r="G10" s="42" t="inlineStr">
        <is>
          <t>MONTHLY</t>
        </is>
      </c>
      <c r="H10" s="30" t="n">
        <v>3500</v>
      </c>
      <c r="I10" s="30" t="n">
        <v>3500</v>
      </c>
      <c r="J10" s="31">
        <f>IF(H10="","",H10-I10)</f>
        <v/>
      </c>
      <c r="K10" s="43" t="n">
        <v>46127</v>
      </c>
      <c r="L10" s="32">
        <f>IF(OR(K10="",$F10=""),"",DATE(YEAR(K10),MONTH(K10)+VLOOKUP($F10,'Membership Level'!$A$3:$B$15,2,FALSE),DAY(K10)))</f>
        <v/>
      </c>
      <c r="M10" s="33" t="n">
        <v>3</v>
      </c>
      <c r="N10" s="34">
        <f>IF($L10="","",DATE(YEAR($L10),MONTH($L10),DAY($L10)-$M10))</f>
        <v/>
      </c>
      <c r="O10" s="33">
        <f>IF($L10="","",IF(DAYS360(NOW(),$L10)&gt;=0,DAYS360(NOW(),$L10),""))</f>
        <v/>
      </c>
      <c r="P10" s="34">
        <f>IF(OR(H10="",H10=0,F10="",K10=""),"",I10/H10*VLOOKUP(F10,'Membership Level'!$A$3:$C$15,3,FALSE)+K10)</f>
        <v/>
      </c>
      <c r="Q10" s="42" t="n"/>
    </row>
    <row r="11" ht="15.75" customHeight="1" thickBot="1">
      <c r="A11" s="16" t="inlineStr">
        <is>
          <t>CAP/SW/400</t>
        </is>
      </c>
      <c r="B11" s="32" t="n">
        <v>46127</v>
      </c>
      <c r="C11" s="42" t="inlineStr">
        <is>
          <t>SAWARN</t>
        </is>
      </c>
      <c r="D11" s="28" t="inlineStr">
        <is>
          <t>ANUSHKA</t>
        </is>
      </c>
      <c r="E11" s="17" t="n">
        <v>9899582476</v>
      </c>
      <c r="F11" s="42">
        <f>'Membership Level'!A12</f>
        <v/>
      </c>
      <c r="G11" s="42" t="inlineStr">
        <is>
          <t>MONTHLY</t>
        </is>
      </c>
      <c r="H11" s="30" t="n">
        <v>4000</v>
      </c>
      <c r="I11" s="30" t="n">
        <v>4000</v>
      </c>
      <c r="J11" s="31">
        <f>IF(H11="","",H11-I11)</f>
        <v/>
      </c>
      <c r="K11" s="43" t="n">
        <v>46127</v>
      </c>
      <c r="L11" s="32">
        <f>IF(OR(K11="",$F11=""),"",DATE(YEAR(K11),MONTH(K11)+VLOOKUP($F11,'Membership Level'!$A$3:$B$15,2,FALSE),DAY(K11)))</f>
        <v/>
      </c>
      <c r="M11" s="33" t="n">
        <v>3</v>
      </c>
      <c r="N11" s="34">
        <f>IF($L11="","",DATE(YEAR($L11),MONTH($L11),DAY($L11)-$M11))</f>
        <v/>
      </c>
      <c r="O11" s="33">
        <f>IF($L11="","",IF(DAYS360(NOW(),$L11)&gt;=0,DAYS360(NOW(),$L11),""))</f>
        <v/>
      </c>
      <c r="P11" s="34">
        <f>IF(OR(H11="",H11=0,F11="",K11=""),"",I11/H11*VLOOKUP(F11,'Membership Level'!$A$3:$C$15,3,FALSE)+K11)</f>
        <v/>
      </c>
      <c r="Q11" s="42" t="n"/>
    </row>
    <row r="12" ht="19.5" customHeight="1" thickBot="1">
      <c r="A12" s="16" t="inlineStr">
        <is>
          <t>CAP/SW/401</t>
        </is>
      </c>
      <c r="B12" s="32" t="n">
        <v>46127</v>
      </c>
      <c r="C12" s="42" t="inlineStr">
        <is>
          <t>SAWARN</t>
        </is>
      </c>
      <c r="D12" s="42" t="inlineStr">
        <is>
          <t>PUSHKAR</t>
        </is>
      </c>
      <c r="E12" s="49" t="n">
        <v>9899582476</v>
      </c>
      <c r="F12" s="50">
        <f>'Membership Level'!A12</f>
        <v/>
      </c>
      <c r="G12" s="42" t="inlineStr">
        <is>
          <t>MONTHLY</t>
        </is>
      </c>
      <c r="H12" s="30" t="n">
        <v>4000</v>
      </c>
      <c r="I12" s="30" t="n">
        <v>4000</v>
      </c>
      <c r="J12" s="31">
        <f>IF(H12="","",H12-I12)</f>
        <v/>
      </c>
      <c r="K12" s="43" t="n">
        <v>46127</v>
      </c>
      <c r="L12" s="32">
        <f>IF(OR(K12="",$F12=""),"",DATE(YEAR(K12),MONTH(K12)+VLOOKUP($F12,'Membership Level'!$A$3:$B$15,2,FALSE),DAY(K12)))</f>
        <v/>
      </c>
      <c r="M12" s="33" t="n">
        <v>3</v>
      </c>
      <c r="N12" s="34">
        <f>IF($L12="","",DATE(YEAR($L12),MONTH($L12),DAY($L12)-$M12))</f>
        <v/>
      </c>
      <c r="O12" s="33">
        <f>IF($L12="","",IF(DAYS360(NOW(),$L12)&gt;=0,DAYS360(NOW(),$L12),""))</f>
        <v/>
      </c>
      <c r="P12" s="34">
        <f>IF(OR(H12="",H12=0,F12="",K12=""),"",I12/H12*VLOOKUP(F12,'Membership Level'!$A$3:$C$15,3,FALSE)+K12)</f>
        <v/>
      </c>
      <c r="Q12" s="42" t="n"/>
    </row>
    <row r="13" ht="15.75" customHeight="1" thickBot="1">
      <c r="A13" s="16" t="inlineStr">
        <is>
          <t>CAP/SW/402</t>
        </is>
      </c>
      <c r="B13" s="32" t="n">
        <v>46127</v>
      </c>
      <c r="C13" s="42" t="inlineStr">
        <is>
          <t>THAPA</t>
        </is>
      </c>
      <c r="D13" s="42" t="inlineStr">
        <is>
          <t>AYUSHMAN</t>
        </is>
      </c>
      <c r="E13" s="49" t="n">
        <v>8210438591</v>
      </c>
      <c r="F13" s="50">
        <f>'Membership Level'!A12</f>
        <v/>
      </c>
      <c r="G13" s="42" t="inlineStr">
        <is>
          <t>MONTHLY</t>
        </is>
      </c>
      <c r="H13" s="30" t="n">
        <v>3500</v>
      </c>
      <c r="I13" s="30" t="n">
        <v>3500</v>
      </c>
      <c r="J13" s="31">
        <f>IF(H13="","",H13-I13)</f>
        <v/>
      </c>
      <c r="K13" s="43" t="n">
        <v>46127</v>
      </c>
      <c r="L13" s="32">
        <f>IF(OR(K13="",$F13=""),"",DATE(YEAR(K13),MONTH(K13)+VLOOKUP($F13,'Membership Level'!$A$3:$B$15,2,FALSE),DAY(K13)))</f>
        <v/>
      </c>
      <c r="M13" s="33" t="n">
        <v>3</v>
      </c>
      <c r="N13" s="34">
        <f>IF($L13="","",DATE(YEAR($L13),MONTH($L13),DAY($L13)-$M13))</f>
        <v/>
      </c>
      <c r="O13" s="33">
        <f>IF($L13="","",IF(DAYS360(NOW(),$L13)&gt;=0,DAYS360(NOW(),$L13),""))</f>
        <v/>
      </c>
      <c r="P13" s="34">
        <f>IF(OR(H13="",H13=0,F13="",K13=""),"",I13/H13*VLOOKUP(F13,'Membership Level'!$A$3:$C$15,3,FALSE)+K13)</f>
        <v/>
      </c>
      <c r="Q13" s="42" t="n"/>
    </row>
    <row r="14" ht="15.75" customHeight="1" thickBot="1">
      <c r="A14" s="16" t="inlineStr">
        <is>
          <t>CAP/SW/403</t>
        </is>
      </c>
      <c r="B14" s="32" t="n">
        <v>46127</v>
      </c>
      <c r="C14" s="42" t="inlineStr">
        <is>
          <t>SINGH</t>
        </is>
      </c>
      <c r="D14" s="42" t="inlineStr">
        <is>
          <t>MAYANK</t>
        </is>
      </c>
      <c r="E14" s="49" t="n">
        <v>8294267125</v>
      </c>
      <c r="F14" s="50">
        <f>'Membership Level'!A12</f>
        <v/>
      </c>
      <c r="G14" s="42" t="inlineStr">
        <is>
          <t xml:space="preserve">MONTHLY (KID) </t>
        </is>
      </c>
      <c r="H14" s="30" t="n">
        <v>3500</v>
      </c>
      <c r="I14" s="30" t="n">
        <v>3500</v>
      </c>
      <c r="J14" s="31">
        <f>IF(H14="","",H14-I14)</f>
        <v/>
      </c>
      <c r="K14" s="43" t="n">
        <v>46127</v>
      </c>
      <c r="L14" s="32">
        <f>IF(OR(K14="",$F14=""),"",DATE(YEAR(K14),MONTH(K14)+VLOOKUP($F14,'Membership Level'!$A$3:$B$15,2,FALSE),DAY(K14)))</f>
        <v/>
      </c>
      <c r="M14" s="33" t="n">
        <v>3</v>
      </c>
      <c r="N14" s="34">
        <f>IF($L14="","",DATE(YEAR($L14),MONTH($L14),DAY($L14)-$M14))</f>
        <v/>
      </c>
      <c r="O14" s="33">
        <f>IF($L14="","",IF(DAYS360(NOW(),$L14)&gt;=0,DAYS360(NOW(),$L14),""))</f>
        <v/>
      </c>
      <c r="P14" s="34">
        <f>IF(OR(H14="",H14=0,F14="",K14=""),"",I14/H14*VLOOKUP(F14,'Membership Level'!$A$3:$C$15,3,FALSE)+K14)</f>
        <v/>
      </c>
      <c r="Q14" s="42" t="n"/>
    </row>
    <row r="15" ht="15.75" customHeight="1" thickBot="1">
      <c r="A15" s="16" t="inlineStr">
        <is>
          <t>CAP/SW/404</t>
        </is>
      </c>
      <c r="B15" s="32" t="n">
        <v>46127</v>
      </c>
      <c r="C15" s="42" t="inlineStr">
        <is>
          <t>SINGH</t>
        </is>
      </c>
      <c r="D15" s="42" t="inlineStr">
        <is>
          <t>ARK</t>
        </is>
      </c>
      <c r="E15" s="49" t="n">
        <v>8294267125</v>
      </c>
      <c r="F15" s="50">
        <f>'Membership Level'!A12</f>
        <v/>
      </c>
      <c r="G15" s="42" t="inlineStr">
        <is>
          <t>MONTHLY</t>
        </is>
      </c>
      <c r="H15" s="30" t="n">
        <v>4000</v>
      </c>
      <c r="I15" s="30" t="n">
        <v>4000</v>
      </c>
      <c r="J15" s="31">
        <f>IF(H15="","",H15-I15)</f>
        <v/>
      </c>
      <c r="K15" s="43" t="n">
        <v>46127</v>
      </c>
      <c r="L15" s="32">
        <f>IF(OR(K15="",$F15=""),"",DATE(YEAR(K15),MONTH(K15)+VLOOKUP($F15,'Membership Level'!$A$3:$B$15,2,FALSE),DAY(K15)))</f>
        <v/>
      </c>
      <c r="M15" s="33" t="n">
        <v>3</v>
      </c>
      <c r="N15" s="34">
        <f>IF($L15="","",DATE(YEAR($L15),MONTH($L15),DAY($L15)-$M15))</f>
        <v/>
      </c>
      <c r="O15" s="33">
        <f>IF($L15="","",IF(DAYS360(NOW(),$L15)&gt;=0,DAYS360(NOW(),$L15),""))</f>
        <v/>
      </c>
      <c r="P15" s="34">
        <f>IF(OR(H15="",H15=0,F15="",K15=""),"",I15/H15*VLOOKUP(F15,'Membership Level'!$A$3:$C$15,3,FALSE)+K15)</f>
        <v/>
      </c>
      <c r="Q15" s="42" t="n"/>
    </row>
    <row r="16" ht="15.75" customFormat="1" customHeight="1" s="21" thickBot="1">
      <c r="A16" s="19" t="inlineStr">
        <is>
          <t>CAP/SW/405</t>
        </is>
      </c>
      <c r="B16" s="40" t="n">
        <v>46127</v>
      </c>
      <c r="C16" s="20" t="inlineStr">
        <is>
          <t>JAMSHED</t>
        </is>
      </c>
      <c r="D16" s="20" t="inlineStr">
        <is>
          <t>YUMNA</t>
        </is>
      </c>
      <c r="E16" s="51" t="n">
        <v>8340630594</v>
      </c>
      <c r="F16" s="52">
        <f>'Membership Level'!A16</f>
        <v/>
      </c>
      <c r="G16" s="20" t="inlineStr">
        <is>
          <t>3MONTHS (3DAYS, KID)</t>
        </is>
      </c>
      <c r="H16" s="38" t="n">
        <v>7000</v>
      </c>
      <c r="I16" s="38" t="n">
        <v>7000</v>
      </c>
      <c r="J16" s="39">
        <f>IF(H16="","",H16-I16)</f>
        <v/>
      </c>
      <c r="K16" s="40" t="n">
        <v>46127</v>
      </c>
      <c r="L16" s="40">
        <f>IF(OR(K16="",$F16=""),"",DATE(YEAR(K16),MONTH(K16)+VLOOKUP($F16,'Membership Level'!$A$3:$B$15,2,FALSE),DAY(K16)))</f>
        <v/>
      </c>
      <c r="M16" s="37" t="n">
        <v>3</v>
      </c>
      <c r="N16" s="41">
        <f>IF($L16="","",DATE(YEAR($L16),MONTH($L16),DAY($L16)-$M16))</f>
        <v/>
      </c>
      <c r="O16" s="37">
        <f>IF($L16="","",IF(DAYS360(NOW(),$L16)&gt;=0,DAYS360(NOW(),$L16),""))</f>
        <v/>
      </c>
      <c r="P16" s="41">
        <f>IF(OR(H16="",H16=0,F16="",K16=""),"",I16/H16*VLOOKUP(F16,'Membership Level'!$A$3:$C$15,3,FALSE)+K16)</f>
        <v/>
      </c>
      <c r="Q16" s="20" t="inlineStr">
        <is>
          <t>RENEW UPTO 15/05/26</t>
        </is>
      </c>
    </row>
    <row r="17" ht="15.75" customHeight="1" thickBot="1">
      <c r="A17" s="16" t="inlineStr">
        <is>
          <t>CAP/SW/406</t>
        </is>
      </c>
      <c r="B17" s="32" t="n">
        <v>46127</v>
      </c>
      <c r="C17" s="42" t="inlineStr">
        <is>
          <t xml:space="preserve">SINHA </t>
        </is>
      </c>
      <c r="D17" s="42" t="inlineStr">
        <is>
          <t>SURYA</t>
        </is>
      </c>
      <c r="E17" s="49" t="n">
        <v>9304834745</v>
      </c>
      <c r="F17" s="50">
        <f>'Membership Level'!A12</f>
        <v/>
      </c>
      <c r="G17" s="42" t="inlineStr">
        <is>
          <t>MONTHLY (KID)</t>
        </is>
      </c>
      <c r="H17" s="30" t="n">
        <v>3500</v>
      </c>
      <c r="I17" s="30" t="n">
        <v>3500</v>
      </c>
      <c r="J17" s="31">
        <f>IF(H17="","",H17-I17)</f>
        <v/>
      </c>
      <c r="K17" s="43" t="n">
        <v>46127</v>
      </c>
      <c r="L17" s="32">
        <f>IF(OR(K17="",$F17=""),"",DATE(YEAR(K17),MONTH(K17)+VLOOKUP($F17,'Membership Level'!$A$3:$B$15,2,FALSE),DAY(K17)))</f>
        <v/>
      </c>
      <c r="M17" s="33" t="n">
        <v>3</v>
      </c>
      <c r="N17" s="34">
        <f>IF($L17="","",DATE(YEAR($L17),MONTH($L17),DAY($L17)-$M17))</f>
        <v/>
      </c>
      <c r="O17" s="33">
        <f>IF($L17="","",IF(DAYS360(NOW(),$L17)&gt;=0,DAYS360(NOW(),$L17),""))</f>
        <v/>
      </c>
      <c r="P17" s="34">
        <f>IF(OR(H17="",H17=0,F17="",K17=""),"",I17/H17*VLOOKUP(F17,'Membership Level'!$A$3:$C$15,3,FALSE)+K17)</f>
        <v/>
      </c>
      <c r="Q17" s="42" t="n"/>
    </row>
    <row r="18" ht="15.75" customHeight="1" thickBot="1">
      <c r="A18" s="16" t="inlineStr">
        <is>
          <t>CAP/SW/407</t>
        </is>
      </c>
      <c r="B18" s="32" t="n">
        <v>46127</v>
      </c>
      <c r="C18" s="42" t="inlineStr">
        <is>
          <t xml:space="preserve">PANDEY </t>
        </is>
      </c>
      <c r="D18" s="42" t="inlineStr">
        <is>
          <t>VIDUR</t>
        </is>
      </c>
      <c r="E18" s="49" t="n">
        <v>9296863309</v>
      </c>
      <c r="F18" s="50">
        <f>'Membership Level'!A12</f>
        <v/>
      </c>
      <c r="G18" s="42" t="inlineStr">
        <is>
          <t>MONTHLY</t>
        </is>
      </c>
      <c r="H18" s="30" t="n">
        <v>4400</v>
      </c>
      <c r="I18" s="30" t="n">
        <v>4400</v>
      </c>
      <c r="J18" s="31">
        <f>IF(H18="","",H18-I18)</f>
        <v/>
      </c>
      <c r="K18" s="43" t="n">
        <v>46127</v>
      </c>
      <c r="L18" s="32">
        <f>IF(OR(K18="",$F18=""),"",DATE(YEAR(K18),MONTH(K18)+VLOOKUP($F18,'Membership Level'!$A$3:$B$15,2,FALSE),DAY(K18)))</f>
        <v/>
      </c>
      <c r="M18" s="33" t="n">
        <v>3</v>
      </c>
      <c r="N18" s="34">
        <f>IF($L18="","",DATE(YEAR($L18),MONTH($L18),DAY($L18)-$M18))</f>
        <v/>
      </c>
      <c r="O18" s="33">
        <f>IF($L18="","",IF(DAYS360(NOW(),$L18)&gt;=0,DAYS360(NOW(),$L18),""))</f>
        <v/>
      </c>
      <c r="P18" s="34">
        <f>IF(OR(H18="",H18=0,F18="",K18=""),"",I18/H18*VLOOKUP(F18,'Membership Level'!$A$3:$C$15,3,FALSE)+K18)</f>
        <v/>
      </c>
      <c r="Q18" s="42" t="n"/>
    </row>
    <row r="19">
      <c r="A19" s="16" t="inlineStr">
        <is>
          <t>CAP/SW/408</t>
        </is>
      </c>
      <c r="B19" s="32" t="n">
        <v>46128</v>
      </c>
      <c r="C19" s="42" t="inlineStr">
        <is>
          <t>KHAN</t>
        </is>
      </c>
      <c r="D19" s="42" t="inlineStr">
        <is>
          <t>M.D ASLAM</t>
        </is>
      </c>
      <c r="E19" s="49" t="n">
        <v>7484030479</v>
      </c>
      <c r="F19" s="42">
        <f>'Membership Level'!A12</f>
        <v/>
      </c>
      <c r="G19" s="42" t="inlineStr">
        <is>
          <t>MONTHLY</t>
        </is>
      </c>
      <c r="H19" s="30" t="n">
        <v>4000</v>
      </c>
      <c r="I19" s="30" t="n">
        <v>4000</v>
      </c>
      <c r="J19" s="31">
        <f>IF(H19="","",H19-I19)</f>
        <v/>
      </c>
      <c r="K19" s="43" t="n">
        <v>46128</v>
      </c>
      <c r="L19" s="32">
        <f>IF(OR(K19="",$F19=""),"",DATE(YEAR(K19),MONTH(K19)+VLOOKUP($F19,'Membership Level'!$A$3:$B$15,2,FALSE),DAY(K19)))</f>
        <v/>
      </c>
      <c r="M19" s="33" t="n">
        <v>3</v>
      </c>
      <c r="N19" s="34">
        <f>IF($L19="","",DATE(YEAR($L19),MONTH($L19),DAY($L19)-$M19))</f>
        <v/>
      </c>
      <c r="O19" s="33">
        <f>IF($L19="","",IF(DAYS360(NOW(),$L19)&gt;=0,DAYS360(NOW(),$L19),""))</f>
        <v/>
      </c>
      <c r="P19" s="34">
        <f>IF(OR(H19="",H19=0,F19="",K19=""),"",I19/H19*VLOOKUP(F19,'Membership Level'!$A$3:$C$15,3,FALSE)+K19)</f>
        <v/>
      </c>
      <c r="Q19" s="42" t="n"/>
    </row>
    <row r="20">
      <c r="A20" s="16" t="inlineStr">
        <is>
          <t>CAP/SW/409</t>
        </is>
      </c>
      <c r="B20" s="32" t="n">
        <v>46128</v>
      </c>
      <c r="C20" s="42" t="inlineStr">
        <is>
          <t>KHAN</t>
        </is>
      </c>
      <c r="D20" s="42" t="inlineStr">
        <is>
          <t>SAKIB</t>
        </is>
      </c>
      <c r="E20" s="17" t="n">
        <v>9110164371</v>
      </c>
      <c r="F20" s="42">
        <f>'Membership Level'!A12</f>
        <v/>
      </c>
      <c r="G20" s="42" t="inlineStr">
        <is>
          <t>MONTHLY</t>
        </is>
      </c>
      <c r="H20" s="30" t="n">
        <v>4000</v>
      </c>
      <c r="I20" s="30" t="n">
        <v>4000</v>
      </c>
      <c r="J20" s="31">
        <f>IF(H20="","",H20-I20)</f>
        <v/>
      </c>
      <c r="K20" s="43" t="n">
        <v>46128</v>
      </c>
      <c r="L20" s="32">
        <f>IF(OR(K20="",$F20=""),"",DATE(YEAR(K20),MONTH(K20)+VLOOKUP($F20,'Membership Level'!$A$3:$B$15,2,FALSE),DAY(K20)))</f>
        <v/>
      </c>
      <c r="M20" s="33" t="n">
        <v>3</v>
      </c>
      <c r="N20" s="34">
        <f>IF($L20="","",DATE(YEAR($L20),MONTH($L20),DAY($L20)-$M20))</f>
        <v/>
      </c>
      <c r="O20" s="33">
        <f>IF($L20="","",IF(DAYS360(NOW(),$L20)&gt;=0,DAYS360(NOW(),$L20),""))</f>
        <v/>
      </c>
      <c r="P20" s="34">
        <f>IF(OR(H20="",H20=0,F20="",K20=""),"",I20/H20*VLOOKUP(F20,'Membership Level'!$A$3:$C$15,3,FALSE)+K20)</f>
        <v/>
      </c>
      <c r="Q20" s="42" t="n"/>
    </row>
    <row r="21">
      <c r="A21" s="16" t="inlineStr">
        <is>
          <t>CAP/SW/410</t>
        </is>
      </c>
      <c r="B21" s="32" t="n">
        <v>46128</v>
      </c>
      <c r="C21" s="42" t="n"/>
      <c r="D21" s="42" t="inlineStr">
        <is>
          <t xml:space="preserve">ADIT </t>
        </is>
      </c>
      <c r="E21" s="17" t="n">
        <v>7992298315</v>
      </c>
      <c r="F21" s="42">
        <f>'Membership Level'!A12</f>
        <v/>
      </c>
      <c r="G21" s="42" t="inlineStr">
        <is>
          <t xml:space="preserve">MONTHLY </t>
        </is>
      </c>
      <c r="H21" s="30" t="n">
        <v>3500</v>
      </c>
      <c r="I21" s="30" t="n">
        <v>3500</v>
      </c>
      <c r="J21" s="31">
        <f>IF(H21="","",H21-I21)</f>
        <v/>
      </c>
      <c r="K21" s="43" t="n">
        <v>46128</v>
      </c>
      <c r="L21" s="32">
        <f>IF(OR(K21="",$F21=""),"",DATE(YEAR(K21),MONTH(K21)+VLOOKUP($F21,'Membership Level'!$A$3:$B$15,2,FALSE),DAY(K21)))</f>
        <v/>
      </c>
      <c r="M21" s="33" t="n">
        <v>3</v>
      </c>
      <c r="N21" s="34">
        <f>IF($L21="","",DATE(YEAR($L21),MONTH($L21),DAY($L21)-$M21))</f>
        <v/>
      </c>
      <c r="O21" s="33">
        <f>IF($L21="","",IF(DAYS360(NOW(),$L21)&gt;=0,DAYS360(NOW(),$L21),""))</f>
        <v/>
      </c>
      <c r="P21" s="34">
        <f>IF(OR(H21="",H21=0,F21="",K21=""),"",I21/H21*VLOOKUP(F21,'Membership Level'!$A$3:$C$15,3,FALSE)+K21)</f>
        <v/>
      </c>
      <c r="Q21" s="42" t="n"/>
    </row>
    <row r="22">
      <c r="A22" s="16" t="inlineStr">
        <is>
          <t>CAP/SW/411</t>
        </is>
      </c>
      <c r="B22" s="32" t="n">
        <v>46128</v>
      </c>
      <c r="C22" s="42" t="inlineStr">
        <is>
          <t xml:space="preserve">NEMATULLAH </t>
        </is>
      </c>
      <c r="D22" s="42" t="inlineStr">
        <is>
          <t xml:space="preserve">MOHAMMAD </t>
        </is>
      </c>
      <c r="E22" s="17" t="n">
        <v>9572274353</v>
      </c>
      <c r="F22" s="42">
        <f>'Membership Level'!A12</f>
        <v/>
      </c>
      <c r="G22" s="42" t="inlineStr">
        <is>
          <t xml:space="preserve">MONTHLY </t>
        </is>
      </c>
      <c r="H22" s="30" t="n">
        <v>4400</v>
      </c>
      <c r="I22" s="30" t="n">
        <v>4400</v>
      </c>
      <c r="J22" s="31">
        <f>IF(H22="","",H22-I22)</f>
        <v/>
      </c>
      <c r="K22" s="43" t="n">
        <v>46128</v>
      </c>
      <c r="L22" s="32">
        <f>IF(OR(K22="",$F22=""),"",DATE(YEAR(K22),MONTH(K22)+VLOOKUP($F22,'Membership Level'!$A$3:$B$15,2,FALSE),DAY(K22)))</f>
        <v/>
      </c>
      <c r="M22" s="33" t="n">
        <v>3</v>
      </c>
      <c r="N22" s="34">
        <f>IF($L22="","",DATE(YEAR($L22),MONTH($L22),DAY($L22)-$M22))</f>
        <v/>
      </c>
      <c r="O22" s="33">
        <f>IF($L22="","",IF(DAYS360(NOW(),$L22)&gt;=0,DAYS360(NOW(),$L22),""))</f>
        <v/>
      </c>
      <c r="P22" s="34">
        <f>IF(OR(H22="",H22=0,F22="",K22=""),"",I22/H22*VLOOKUP(F22,'Membership Level'!$A$3:$C$15,3,FALSE)+K22)</f>
        <v/>
      </c>
      <c r="Q22" s="42" t="n"/>
    </row>
    <row r="23">
      <c r="A23" s="16" t="inlineStr">
        <is>
          <t>CAP/SW/412</t>
        </is>
      </c>
      <c r="B23" s="32" t="n">
        <v>46128</v>
      </c>
      <c r="C23" s="42" t="inlineStr">
        <is>
          <t>SINGH</t>
        </is>
      </c>
      <c r="D23" s="42" t="inlineStr">
        <is>
          <t xml:space="preserve">MYRA </t>
        </is>
      </c>
      <c r="E23" s="17" t="n">
        <v>9905514665</v>
      </c>
      <c r="F23" s="42">
        <f>'Membership Level'!A12</f>
        <v/>
      </c>
      <c r="G23" s="42" t="inlineStr">
        <is>
          <t>MONTHLY (3 DAY KID )</t>
        </is>
      </c>
      <c r="H23" s="30" t="n">
        <v>2800</v>
      </c>
      <c r="I23" s="30" t="n">
        <v>2800</v>
      </c>
      <c r="J23" s="31">
        <f>IF(H23="","",H23-I23)</f>
        <v/>
      </c>
      <c r="K23" s="43" t="n">
        <v>46128</v>
      </c>
      <c r="L23" s="32">
        <f>IF(OR(K23="",$F23=""),"",DATE(YEAR(K23),MONTH(K23)+VLOOKUP($F23,'Membership Level'!$A$3:$B$15,2,FALSE),DAY(K23)))</f>
        <v/>
      </c>
      <c r="M23" s="33" t="n">
        <v>3</v>
      </c>
      <c r="N23" s="34">
        <f>IF($L23="","",DATE(YEAR($L23),MONTH($L23),DAY($L23)-$M23))</f>
        <v/>
      </c>
      <c r="O23" s="33">
        <f>IF($L23="","",IF(DAYS360(NOW(),$L23)&gt;=0,DAYS360(NOW(),$L23),""))</f>
        <v/>
      </c>
      <c r="P23" s="34">
        <f>IF(OR(H23="",H23=0,F23="",K23=""),"",I23/H23*VLOOKUP(F23,'Membership Level'!$A$3:$C$15,3,FALSE)+K23)</f>
        <v/>
      </c>
      <c r="Q23" s="42" t="n"/>
    </row>
    <row r="24">
      <c r="A24" s="16" t="inlineStr">
        <is>
          <t>CAP/SW/413</t>
        </is>
      </c>
      <c r="B24" s="32" t="n">
        <v>46128</v>
      </c>
      <c r="C24" s="42" t="inlineStr">
        <is>
          <t>SINGH</t>
        </is>
      </c>
      <c r="D24" s="42" t="inlineStr">
        <is>
          <t xml:space="preserve">AAKANSHA </t>
        </is>
      </c>
      <c r="E24" s="17" t="n">
        <v>7091975237</v>
      </c>
      <c r="F24" s="42">
        <f>'Membership Level'!A12</f>
        <v/>
      </c>
      <c r="G24" s="42" t="inlineStr">
        <is>
          <t xml:space="preserve">MONTHLY (3 DAY) </t>
        </is>
      </c>
      <c r="H24" s="30" t="n">
        <v>3300</v>
      </c>
      <c r="I24" s="30" t="n">
        <v>3300</v>
      </c>
      <c r="J24" s="31">
        <f>IF(H24="","",H24-I24)</f>
        <v/>
      </c>
      <c r="K24" s="43" t="n">
        <v>46128</v>
      </c>
      <c r="L24" s="32">
        <f>IF(OR(K24="",$F24=""),"",DATE(YEAR(K24),MONTH(K24)+VLOOKUP($F24,'Membership Level'!$A$3:$B$15,2,FALSE),DAY(K24)))</f>
        <v/>
      </c>
      <c r="M24" s="33" t="n">
        <v>3</v>
      </c>
      <c r="N24" s="34">
        <f>IF($L24="","",DATE(YEAR($L24),MONTH($L24),DAY($L24)-$M24))</f>
        <v/>
      </c>
      <c r="O24" s="33">
        <f>IF($L24="","",IF(DAYS360(NOW(),$L24)&gt;=0,DAYS360(NOW(),$L24),""))</f>
        <v/>
      </c>
      <c r="P24" s="34">
        <f>IF(OR(H24="",H24=0,F24="",K24=""),"",I24/H24*VLOOKUP(F24,'Membership Level'!$A$3:$C$15,3,FALSE)+K24)</f>
        <v/>
      </c>
      <c r="Q24" s="42" t="n"/>
    </row>
    <row r="25">
      <c r="A25" s="16" t="inlineStr">
        <is>
          <t>CAP/SW/414</t>
        </is>
      </c>
      <c r="B25" s="32" t="n">
        <v>46128</v>
      </c>
      <c r="C25" s="42" t="inlineStr">
        <is>
          <t xml:space="preserve">SINGH </t>
        </is>
      </c>
      <c r="D25" s="42" t="inlineStr">
        <is>
          <t xml:space="preserve">RASHMI </t>
        </is>
      </c>
      <c r="E25" s="17" t="n">
        <v>9334548082</v>
      </c>
      <c r="F25" s="42">
        <f>'Membership Level'!A12</f>
        <v/>
      </c>
      <c r="G25" s="42" t="inlineStr">
        <is>
          <t xml:space="preserve">MONTHLY </t>
        </is>
      </c>
      <c r="H25" s="30" t="n">
        <v>4400</v>
      </c>
      <c r="I25" s="30" t="n">
        <v>4400</v>
      </c>
      <c r="J25" s="31">
        <f>IF(H25="","",H25-I25)</f>
        <v/>
      </c>
      <c r="K25" s="43" t="n">
        <v>46128</v>
      </c>
      <c r="L25" s="32">
        <f>IF(OR(K25="",$F25=""),"",DATE(YEAR(K25),MONTH(K25)+VLOOKUP($F25,'Membership Level'!$A$3:$B$15,2,FALSE),DAY(K25)))</f>
        <v/>
      </c>
      <c r="M25" s="33" t="n">
        <v>3</v>
      </c>
      <c r="N25" s="34">
        <f>IF($L25="","",DATE(YEAR($L25),MONTH($L25),DAY($L25)-$M25))</f>
        <v/>
      </c>
      <c r="O25" s="33">
        <f>IF($L25="","",IF(DAYS360(NOW(),$L25)&gt;=0,DAYS360(NOW(),$L25),""))</f>
        <v/>
      </c>
      <c r="P25" s="34">
        <f>IF(OR(H25="",H25=0,F25="",K25=""),"",I25/H25*VLOOKUP(F25,'Membership Level'!$A$3:$C$15,3,FALSE)+K25)</f>
        <v/>
      </c>
      <c r="Q25" s="42" t="n"/>
    </row>
    <row r="26">
      <c r="A26" s="16" t="inlineStr">
        <is>
          <t>CAP/SW/415</t>
        </is>
      </c>
      <c r="B26" s="32" t="n">
        <v>46129</v>
      </c>
      <c r="C26" s="42" t="inlineStr">
        <is>
          <t>KUMAR</t>
        </is>
      </c>
      <c r="D26" s="42" t="inlineStr">
        <is>
          <t>RAJENDRA</t>
        </is>
      </c>
      <c r="E26" s="17" t="n">
        <v>7004522943</v>
      </c>
      <c r="F26" s="42">
        <f>'Membership Level'!A12</f>
        <v/>
      </c>
      <c r="G26" s="42" t="inlineStr">
        <is>
          <t>MONTHLY</t>
        </is>
      </c>
      <c r="H26" s="30" t="n">
        <v>4000</v>
      </c>
      <c r="I26" s="30" t="n">
        <v>4000</v>
      </c>
      <c r="J26" s="31">
        <f>IF(H26="","",H26-I26)</f>
        <v/>
      </c>
      <c r="K26" s="43" t="n">
        <v>46129</v>
      </c>
      <c r="L26" s="32">
        <f>IF(OR(K26="",$F26=""),"",DATE(YEAR(K26),MONTH(K26)+VLOOKUP($F26,'Membership Level'!$A$3:$B$15,2,FALSE),DAY(K26)))</f>
        <v/>
      </c>
      <c r="M26" s="33" t="n">
        <v>3</v>
      </c>
      <c r="N26" s="34">
        <f>IF($L26="","",DATE(YEAR($L26),MONTH($L26),DAY($L26)-$M26))</f>
        <v/>
      </c>
      <c r="O26" s="33">
        <f>IF($L26="","",IF(DAYS360(NOW(),$L26)&gt;=0,DAYS360(NOW(),$L26),""))</f>
        <v/>
      </c>
      <c r="P26" s="34">
        <f>IF(OR(H26="",H26=0,F26="",K26=""),"",I26/H26*VLOOKUP(F26,'Membership Level'!$A$3:$C$15,3,FALSE)+K26)</f>
        <v/>
      </c>
      <c r="Q26" s="42" t="n"/>
    </row>
    <row r="27">
      <c r="A27" s="16" t="inlineStr">
        <is>
          <t>CAP/SW/416</t>
        </is>
      </c>
      <c r="B27" s="32" t="n">
        <v>46129</v>
      </c>
      <c r="C27" s="42" t="inlineStr">
        <is>
          <t>RAJ</t>
        </is>
      </c>
      <c r="D27" s="42" t="inlineStr">
        <is>
          <t>AYUSH VARDHAN</t>
        </is>
      </c>
      <c r="E27" s="24" t="n">
        <v>8789432896</v>
      </c>
      <c r="F27" s="42">
        <f>'Membership Level'!A12</f>
        <v/>
      </c>
      <c r="G27" s="42" t="inlineStr">
        <is>
          <t>MONTHLY</t>
        </is>
      </c>
      <c r="H27" s="30" t="n">
        <v>4400</v>
      </c>
      <c r="I27" s="30" t="n">
        <v>4400</v>
      </c>
      <c r="J27" s="31">
        <f>IF(H27="","",H27-I27)</f>
        <v/>
      </c>
      <c r="K27" s="43" t="n">
        <v>46129</v>
      </c>
      <c r="L27" s="32">
        <f>IF(OR(K27="",$F27=""),"",DATE(YEAR(K27),MONTH(K27)+VLOOKUP($F27,'Membership Level'!$A$3:$B$15,2,FALSE),DAY(K27)))</f>
        <v/>
      </c>
      <c r="M27" s="33" t="n">
        <v>3</v>
      </c>
      <c r="N27" s="34">
        <f>IF($L27="","",DATE(YEAR($L27),MONTH($L27),DAY($L27)-$M27))</f>
        <v/>
      </c>
      <c r="O27" s="33">
        <f>IF($L27="","",IF(DAYS360(NOW(),$L27)&gt;=0,DAYS360(NOW(),$L27),""))</f>
        <v/>
      </c>
      <c r="P27" s="34">
        <f>IF(OR(H27="",H27=0,F27="",K27=""),"",I27/H27*VLOOKUP(F27,'Membership Level'!$A$3:$C$15,3,FALSE)+K27)</f>
        <v/>
      </c>
      <c r="Q27" s="42" t="n"/>
    </row>
    <row r="28">
      <c r="A28" s="16" t="inlineStr">
        <is>
          <t>CAP/SW/417</t>
        </is>
      </c>
      <c r="B28" s="32" t="n">
        <v>46129</v>
      </c>
      <c r="C28" s="42" t="inlineStr">
        <is>
          <t xml:space="preserve">KUMARI </t>
        </is>
      </c>
      <c r="D28" s="42" t="inlineStr">
        <is>
          <t>ANSHIKA</t>
        </is>
      </c>
      <c r="E28" s="24" t="n">
        <v>8294608133</v>
      </c>
      <c r="F28" s="42">
        <f>'Membership Level'!A12</f>
        <v/>
      </c>
      <c r="G28" s="42" t="inlineStr">
        <is>
          <t>MONTHLY</t>
        </is>
      </c>
      <c r="H28" s="30" t="n">
        <v>3300</v>
      </c>
      <c r="I28" s="30" t="n">
        <v>3300</v>
      </c>
      <c r="J28" s="31">
        <f>IF(H28="","",H28-I28)</f>
        <v/>
      </c>
      <c r="K28" s="43" t="n">
        <v>46129</v>
      </c>
      <c r="L28" s="32">
        <f>IF(OR(K28="",$F28=""),"",DATE(YEAR(K28),MONTH(K28)+VLOOKUP($F28,'Membership Level'!$A$3:$B$15,2,FALSE),DAY(K28)))</f>
        <v/>
      </c>
      <c r="M28" s="33" t="n">
        <v>3</v>
      </c>
      <c r="N28" s="34">
        <f>IF($L28="","",DATE(YEAR($L28),MONTH($L28),DAY($L28)-$M28))</f>
        <v/>
      </c>
      <c r="O28" s="33">
        <f>IF($L28="","",IF(DAYS360(NOW(),$L28)&gt;=0,DAYS360(NOW(),$L28),""))</f>
        <v/>
      </c>
      <c r="P28" s="34">
        <f>IF(OR(H28="",H28=0,F28="",K28=""),"",I28/H28*VLOOKUP(F28,'Membership Level'!$A$3:$C$15,3,FALSE)+K28)</f>
        <v/>
      </c>
      <c r="Q28" s="42" t="n"/>
    </row>
    <row r="29">
      <c r="A29" s="16" t="inlineStr">
        <is>
          <t>CAP/SW/418</t>
        </is>
      </c>
      <c r="B29" s="32" t="n">
        <v>46129</v>
      </c>
      <c r="C29" s="42" t="inlineStr">
        <is>
          <t>KUMAR</t>
        </is>
      </c>
      <c r="D29" s="42" t="inlineStr">
        <is>
          <t>ANSH</t>
        </is>
      </c>
      <c r="E29" s="17" t="n">
        <v>8294608133</v>
      </c>
      <c r="F29" s="42">
        <f>'Membership Level'!A12</f>
        <v/>
      </c>
      <c r="G29" s="42" t="inlineStr">
        <is>
          <t>MONTHLY</t>
        </is>
      </c>
      <c r="H29" s="30" t="n">
        <v>3800</v>
      </c>
      <c r="I29" s="30" t="n">
        <v>3800</v>
      </c>
      <c r="J29" s="31">
        <f>IF(H29="","",H29-I29)</f>
        <v/>
      </c>
      <c r="K29" s="43" t="n">
        <v>46129</v>
      </c>
      <c r="L29" s="32">
        <f>IF(OR(K29="",$F29=""),"",DATE(YEAR(K29),MONTH(K29)+VLOOKUP($F29,'Membership Level'!$A$3:$B$15,2,FALSE),DAY(K29)))</f>
        <v/>
      </c>
      <c r="M29" s="33" t="n">
        <v>3</v>
      </c>
      <c r="N29" s="34">
        <f>IF($L29="","",DATE(YEAR($L29),MONTH($L29),DAY($L29)-$M29))</f>
        <v/>
      </c>
      <c r="O29" s="33">
        <f>IF($L29="","",IF(DAYS360(NOW(),$L29)&gt;=0,DAYS360(NOW(),$L29),""))</f>
        <v/>
      </c>
      <c r="P29" s="34">
        <f>IF(OR(H29="",H29=0,F29="",K29=""),"",I29/H29*VLOOKUP(F29,'Membership Level'!$A$3:$C$15,3,FALSE)+K29)</f>
        <v/>
      </c>
      <c r="Q29" s="42" t="n"/>
    </row>
    <row r="30">
      <c r="A30" s="16" t="inlineStr">
        <is>
          <t>CAP/SW/419</t>
        </is>
      </c>
      <c r="B30" s="32" t="n">
        <v>46129</v>
      </c>
      <c r="C30" s="42" t="inlineStr">
        <is>
          <t xml:space="preserve">SARAJ </t>
        </is>
      </c>
      <c r="D30" s="25" t="inlineStr">
        <is>
          <t>ANAAYA</t>
        </is>
      </c>
      <c r="E30" s="53" t="n">
        <v>8554925434</v>
      </c>
      <c r="F30" s="42">
        <f>'Membership Level'!A12</f>
        <v/>
      </c>
      <c r="G30" s="42" t="inlineStr">
        <is>
          <t>MONTHLY</t>
        </is>
      </c>
      <c r="H30" s="30" t="n">
        <v>3800</v>
      </c>
      <c r="I30" s="30" t="n">
        <v>3800</v>
      </c>
      <c r="J30" s="31">
        <f>IF(H30="","",H30-I30)</f>
        <v/>
      </c>
      <c r="K30" s="43" t="n">
        <v>46129</v>
      </c>
      <c r="L30" s="32">
        <f>IF(OR(K30="",$F30=""),"",DATE(YEAR(K30),MONTH(K30)+VLOOKUP($F30,'Membership Level'!$A$3:$B$15,2,FALSE),DAY(K30)))</f>
        <v/>
      </c>
      <c r="M30" s="33" t="n">
        <v>3</v>
      </c>
      <c r="N30" s="34">
        <f>IF($L30="","",DATE(YEAR($L30),MONTH($L30),DAY($L30)-$M30))</f>
        <v/>
      </c>
      <c r="O30" s="33">
        <f>IF($L30="","",IF(DAYS360(NOW(),$L30)&gt;=0,DAYS360(NOW(),$L30),""))</f>
        <v/>
      </c>
      <c r="P30" s="34">
        <f>IF(OR(H30="",H30=0,F30="",K30=""),"",I30/H30*VLOOKUP(F30,'Membership Level'!$A$3:$C$15,3,FALSE)+K30)</f>
        <v/>
      </c>
      <c r="Q30" s="42" t="n"/>
    </row>
    <row r="31">
      <c r="A31" s="16" t="inlineStr">
        <is>
          <t>CAP/SW/420</t>
        </is>
      </c>
      <c r="B31" s="32" t="n">
        <v>46129</v>
      </c>
      <c r="C31" s="42" t="inlineStr">
        <is>
          <t xml:space="preserve">SRIVASTAVA </t>
        </is>
      </c>
      <c r="D31" s="42" t="inlineStr">
        <is>
          <t xml:space="preserve">SARTHIKA </t>
        </is>
      </c>
      <c r="E31" s="17" t="n">
        <v>6387464675</v>
      </c>
      <c r="F31" s="42">
        <f>'Membership Level'!A12</f>
        <v/>
      </c>
      <c r="G31" s="42" t="inlineStr">
        <is>
          <t>MONTHLY (3 DAY KID )</t>
        </is>
      </c>
      <c r="H31" s="30" t="n">
        <v>2800</v>
      </c>
      <c r="I31" s="30" t="n">
        <v>2800</v>
      </c>
      <c r="J31" s="31">
        <f>IF(H31="","",H31-I31)</f>
        <v/>
      </c>
      <c r="K31" s="43" t="n">
        <v>46129</v>
      </c>
      <c r="L31" s="32">
        <f>IF(OR(K31="",$F31=""),"",DATE(YEAR(K31),MONTH(K31)+VLOOKUP($F31,'Membership Level'!$A$3:$B$15,2,FALSE),DAY(K31)))</f>
        <v/>
      </c>
      <c r="M31" s="33" t="n">
        <v>3</v>
      </c>
      <c r="N31" s="34">
        <f>IF($L31="","",DATE(YEAR($L31),MONTH($L31),DAY($L31)-$M31))</f>
        <v/>
      </c>
      <c r="O31" s="33">
        <f>IF($L31="","",IF(DAYS360(NOW(),$L31)&gt;=0,DAYS360(NOW(),$L31),""))</f>
        <v/>
      </c>
      <c r="P31" s="34">
        <f>IF(OR(H31="",H31=0,F31="",K31=""),"",I31/H31*VLOOKUP(F31,'Membership Level'!$A$3:$C$15,3,FALSE)+K31)</f>
        <v/>
      </c>
      <c r="Q31" s="36" t="n"/>
    </row>
    <row r="32">
      <c r="A32" s="16" t="inlineStr">
        <is>
          <t>CAP/SW/421</t>
        </is>
      </c>
      <c r="B32" s="32" t="n">
        <v>46130</v>
      </c>
      <c r="C32" s="42" t="inlineStr">
        <is>
          <t xml:space="preserve">RANJAN </t>
        </is>
      </c>
      <c r="D32" s="42" t="inlineStr">
        <is>
          <t xml:space="preserve">RASHMI </t>
        </is>
      </c>
      <c r="E32" s="17" t="n">
        <v>8434007319</v>
      </c>
      <c r="F32" s="42">
        <f>'Membership Level'!A12</f>
        <v/>
      </c>
      <c r="G32" s="42" t="inlineStr">
        <is>
          <t xml:space="preserve">MONTHLY </t>
        </is>
      </c>
      <c r="H32" s="30" t="n">
        <v>4400</v>
      </c>
      <c r="I32" s="30" t="n">
        <v>3000</v>
      </c>
      <c r="J32" s="31">
        <f>IF(H32="","",H32-I32)</f>
        <v/>
      </c>
      <c r="K32" s="43" t="n">
        <v>46130</v>
      </c>
      <c r="L32" s="32">
        <f>IF(OR(K32="",$F32=""),"",DATE(YEAR(K32),MONTH(K32)+VLOOKUP($F32,'Membership Level'!$A$3:$B$15,2,FALSE),DAY(K32)))</f>
        <v/>
      </c>
      <c r="M32" s="33" t="n">
        <v>3</v>
      </c>
      <c r="N32" s="34">
        <f>IF($L32="","",DATE(YEAR($L32),MONTH($L32),DAY($L32)-$M32))</f>
        <v/>
      </c>
      <c r="O32" s="33">
        <f>IF($L32="","",IF(DAYS360(NOW(),$L32)&gt;=0,DAYS360(NOW(),$L32),""))</f>
        <v/>
      </c>
      <c r="P32" s="34">
        <f>IF(OR(H32="",H32=0,F32="",K32=""),"",I32/H32*VLOOKUP(F32,'Membership Level'!$A$3:$C$15,3,FALSE)+K32)</f>
        <v/>
      </c>
      <c r="Q32" s="36" t="n"/>
    </row>
    <row r="33">
      <c r="A33" s="16" t="inlineStr">
        <is>
          <t>CAP/SW/422</t>
        </is>
      </c>
      <c r="B33" s="32" t="n">
        <v>46130</v>
      </c>
      <c r="C33" s="42" t="inlineStr">
        <is>
          <t xml:space="preserve">CHANDRA </t>
        </is>
      </c>
      <c r="D33" s="42" t="inlineStr">
        <is>
          <t xml:space="preserve">SHRESH </t>
        </is>
      </c>
      <c r="E33" s="17" t="n">
        <v>8002081222</v>
      </c>
      <c r="F33" s="42">
        <f>'Membership Level'!A12</f>
        <v/>
      </c>
      <c r="G33" s="42" t="inlineStr">
        <is>
          <t xml:space="preserve">MONTHLY (3 DAY ) </t>
        </is>
      </c>
      <c r="H33" s="30" t="n">
        <v>3300</v>
      </c>
      <c r="I33" s="30" t="n">
        <v>3300</v>
      </c>
      <c r="J33" s="31">
        <f>IF(H33="","",H33-I33)</f>
        <v/>
      </c>
      <c r="K33" s="43" t="n">
        <v>46130</v>
      </c>
      <c r="L33" s="32">
        <f>IF(OR(K33="",$F33=""),"",DATE(YEAR(K33),MONTH(K33)+VLOOKUP($F33,'Membership Level'!$A$3:$B$15,2,FALSE),DAY(K33)))</f>
        <v/>
      </c>
      <c r="M33" s="33" t="n">
        <v>3</v>
      </c>
      <c r="N33" s="34">
        <f>IF($L33="","",DATE(YEAR($L33),MONTH($L33),DAY($L33)-$M33))</f>
        <v/>
      </c>
      <c r="O33" s="33">
        <f>IF($L33="","",IF(DAYS360(NOW(),$L33)&gt;=0,DAYS360(NOW(),$L33),""))</f>
        <v/>
      </c>
      <c r="P33" s="34">
        <f>IF(OR(H33="",H33=0,F33="",K33=""),"",I33/H33*VLOOKUP(F33,'Membership Level'!$A$3:$C$15,3,FALSE)+K33)</f>
        <v/>
      </c>
      <c r="Q33" s="36" t="n"/>
    </row>
    <row r="34">
      <c r="A34" s="16" t="inlineStr">
        <is>
          <t>CAP/SW/423</t>
        </is>
      </c>
      <c r="B34" s="32" t="n">
        <v>46130</v>
      </c>
      <c r="C34" s="42" t="inlineStr">
        <is>
          <t xml:space="preserve">SINGH </t>
        </is>
      </c>
      <c r="D34" s="42" t="inlineStr">
        <is>
          <t xml:space="preserve">NAVYA </t>
        </is>
      </c>
      <c r="E34" s="17" t="n">
        <v>9708216967</v>
      </c>
      <c r="F34" s="42">
        <f>'Membership Level'!A12</f>
        <v/>
      </c>
      <c r="G34" s="42" t="inlineStr">
        <is>
          <t xml:space="preserve">MONTHLY (2 DAY KID ) </t>
        </is>
      </c>
      <c r="H34" s="30" t="n">
        <v>2200</v>
      </c>
      <c r="I34" s="30" t="n">
        <v>2200</v>
      </c>
      <c r="J34" s="31">
        <f>IF(H34="","",H34-I34)</f>
        <v/>
      </c>
      <c r="K34" s="32" t="n">
        <v>46130</v>
      </c>
      <c r="L34" s="32">
        <f>IF(OR(K34="",$F34=""),"",DATE(YEAR(K34),MONTH(K34)+VLOOKUP($F34,'Membership Level'!$A$3:$B$15,2,FALSE),DAY(K34)))</f>
        <v/>
      </c>
      <c r="M34" s="33" t="n">
        <v>3</v>
      </c>
      <c r="N34" s="34">
        <f>IF($L34="","",DATE(YEAR($L34),MONTH($L34),DAY($L34)-$M34))</f>
        <v/>
      </c>
      <c r="O34" s="33">
        <f>IF($L34="","",IF(DAYS360(NOW(),$L34)&gt;=0,DAYS360(NOW(),$L34),""))</f>
        <v/>
      </c>
      <c r="P34" s="34">
        <f>IF(OR(H34="",H34=0,F34="",K34=""),"",I34/H34*VLOOKUP(F34,'Membership Level'!$A$3:$C$15,3,FALSE)+K34)</f>
        <v/>
      </c>
      <c r="Q34" s="36" t="n"/>
    </row>
    <row r="35">
      <c r="A35" s="16" t="inlineStr">
        <is>
          <t>CAP/SW/424</t>
        </is>
      </c>
      <c r="B35" s="32" t="n">
        <v>46130</v>
      </c>
      <c r="C35" s="42" t="n"/>
      <c r="D35" s="42" t="inlineStr">
        <is>
          <t xml:space="preserve">AGASTYA </t>
        </is>
      </c>
      <c r="E35" s="17" t="n">
        <v>9708216967</v>
      </c>
      <c r="F35" s="42">
        <f>'Membership Level'!A12</f>
        <v/>
      </c>
      <c r="G35" s="42" t="inlineStr">
        <is>
          <t xml:space="preserve">MONTHLY (2 DAY KID ) </t>
        </is>
      </c>
      <c r="H35" s="30" t="n">
        <v>2200</v>
      </c>
      <c r="I35" s="30" t="n">
        <v>2200</v>
      </c>
      <c r="J35" s="31">
        <f>IF(H35="","",H35-I35)</f>
        <v/>
      </c>
      <c r="K35" s="32" t="n">
        <v>46130</v>
      </c>
      <c r="L35" s="32">
        <f>IF(OR(K35="",$F35=""),"",DATE(YEAR(K35),MONTH(K35)+VLOOKUP($F35,'Membership Level'!$A$3:$B$15,2,FALSE),DAY(K35)))</f>
        <v/>
      </c>
      <c r="M35" s="33" t="n">
        <v>3</v>
      </c>
      <c r="N35" s="34">
        <f>IF($L35="","",DATE(YEAR($L35),MONTH($L35),DAY($L35)-$M35))</f>
        <v/>
      </c>
      <c r="O35" s="33">
        <f>IF($L35="","",IF(DAYS360(NOW(),$L35)&gt;=0,DAYS360(NOW(),$L35),""))</f>
        <v/>
      </c>
      <c r="P35" s="34">
        <f>IF(OR(H35="",H35=0,F35="",K35=""),"",I35/H35*VLOOKUP(F35,'Membership Level'!$A$3:$C$15,3,FALSE)+K35)</f>
        <v/>
      </c>
      <c r="Q35" s="36" t="n"/>
    </row>
    <row r="36">
      <c r="A36" s="16" t="inlineStr">
        <is>
          <t>CAP/SW/425</t>
        </is>
      </c>
      <c r="B36" s="32" t="n">
        <v>46130</v>
      </c>
      <c r="C36" s="42" t="inlineStr">
        <is>
          <t xml:space="preserve">SHREE </t>
        </is>
      </c>
      <c r="D36" s="42" t="inlineStr">
        <is>
          <t xml:space="preserve">PUSHKAR </t>
        </is>
      </c>
      <c r="E36" s="17" t="n">
        <v>8789230720</v>
      </c>
      <c r="F36" s="42">
        <f>'Membership Level'!A12</f>
        <v/>
      </c>
      <c r="G36" s="42" t="inlineStr">
        <is>
          <t xml:space="preserve">MONTHLY </t>
        </is>
      </c>
      <c r="H36" s="30" t="n">
        <v>4000</v>
      </c>
      <c r="I36" s="30" t="n">
        <v>4000</v>
      </c>
      <c r="J36" s="31">
        <f>IF(H36="","",H36-I36)</f>
        <v/>
      </c>
      <c r="K36" s="32" t="n">
        <v>46130</v>
      </c>
      <c r="L36" s="32">
        <f>IF(OR(K36="",$F36=""),"",DATE(YEAR(K36),MONTH(K36)+VLOOKUP($F36,'Membership Level'!$A$3:$B$15,2,FALSE),DAY(K36)))</f>
        <v/>
      </c>
      <c r="M36" s="33" t="n">
        <v>3</v>
      </c>
      <c r="N36" s="34">
        <f>IF($L36="","",DATE(YEAR($L36),MONTH($L36),DAY($L36)-$M36))</f>
        <v/>
      </c>
      <c r="O36" s="33">
        <f>IF($L36="","",IF(DAYS360(NOW(),$L36)&gt;=0,DAYS360(NOW(),$L36),""))</f>
        <v/>
      </c>
      <c r="P36" s="34">
        <f>IF(OR(H36="",H36=0,F36="",K36=""),"",I36/H36*VLOOKUP(F36,'Membership Level'!$A$3:$C$15,3,FALSE)+K36)</f>
        <v/>
      </c>
      <c r="Q36" s="36" t="n"/>
    </row>
    <row r="37">
      <c r="A37" s="16" t="inlineStr">
        <is>
          <t>CAP/SW/426</t>
        </is>
      </c>
      <c r="B37" s="32" t="n">
        <v>46130</v>
      </c>
      <c r="C37" s="42" t="inlineStr">
        <is>
          <t>SHREE</t>
        </is>
      </c>
      <c r="D37" s="42" t="inlineStr">
        <is>
          <t xml:space="preserve">PARTH </t>
        </is>
      </c>
      <c r="E37" s="17" t="n">
        <v>8789230720</v>
      </c>
      <c r="F37" s="42">
        <f>'Membership Level'!A12</f>
        <v/>
      </c>
      <c r="G37" s="42" t="inlineStr">
        <is>
          <t xml:space="preserve">MONTHLY (KID ) </t>
        </is>
      </c>
      <c r="H37" s="30" t="n">
        <v>3800</v>
      </c>
      <c r="I37" s="30" t="n">
        <v>3800</v>
      </c>
      <c r="J37" s="31">
        <f>IF(H37="","",H37-I37)</f>
        <v/>
      </c>
      <c r="K37" s="32" t="n">
        <v>46130</v>
      </c>
      <c r="L37" s="32">
        <f>IF(OR(K37="",$F37=""),"",DATE(YEAR(K37),MONTH(K37)+VLOOKUP($F37,'Membership Level'!$A$3:$B$15,2,FALSE),DAY(K37)))</f>
        <v/>
      </c>
      <c r="M37" s="33" t="n">
        <v>3</v>
      </c>
      <c r="N37" s="34">
        <f>IF($L37="","",DATE(YEAR($L37),MONTH($L37),DAY($L37)-$M37))</f>
        <v/>
      </c>
      <c r="O37" s="33">
        <f>IF($L37="","",IF(DAYS360(NOW(),$L37)&gt;=0,DAYS360(NOW(),$L37),""))</f>
        <v/>
      </c>
      <c r="P37" s="34">
        <f>IF(OR(H37="",H37=0,F37="",K37=""),"",I37/H37*VLOOKUP(F37,'Membership Level'!$A$3:$C$15,3,FALSE)+K37)</f>
        <v/>
      </c>
      <c r="Q37" s="36" t="n"/>
    </row>
    <row r="38">
      <c r="A38" s="16" t="inlineStr">
        <is>
          <t>CAP/SW/427</t>
        </is>
      </c>
      <c r="B38" s="32" t="n">
        <v>46130</v>
      </c>
      <c r="C38" s="42" t="n"/>
      <c r="D38" s="42" t="inlineStr">
        <is>
          <t xml:space="preserve">AIZA </t>
        </is>
      </c>
      <c r="E38" s="17" t="n">
        <v>9934061619</v>
      </c>
      <c r="F38" s="42">
        <f>'Membership Level'!A12</f>
        <v/>
      </c>
      <c r="G38" s="42" t="inlineStr">
        <is>
          <t>MONTHLY (2 DAY )</t>
        </is>
      </c>
      <c r="H38" s="30" t="n">
        <v>2500</v>
      </c>
      <c r="I38" s="30" t="n">
        <v>2500</v>
      </c>
      <c r="J38" s="31">
        <f>IF(H38="","",H38-I38)</f>
        <v/>
      </c>
      <c r="K38" s="32" t="n">
        <v>46130</v>
      </c>
      <c r="L38" s="32">
        <f>IF(OR(K38="",$F38=""),"",DATE(YEAR(K38),MONTH(K38)+VLOOKUP($F38,'Membership Level'!$A$3:$B$15,2,FALSE),DAY(K38)))</f>
        <v/>
      </c>
      <c r="M38" s="33" t="n">
        <v>3</v>
      </c>
      <c r="N38" s="34">
        <f>IF($L38="","",DATE(YEAR($L38),MONTH($L38),DAY($L38)-$M38))</f>
        <v/>
      </c>
      <c r="O38" s="33">
        <f>IF($L38="","",IF(DAYS360(NOW(),$L38)&gt;=0,DAYS360(NOW(),$L38),""))</f>
        <v/>
      </c>
      <c r="P38" s="34">
        <f>IF(OR(H38="",H38=0,F38="",K38=""),"",I38/H38*VLOOKUP(F38,'Membership Level'!$A$3:$C$15,3,FALSE)+K38)</f>
        <v/>
      </c>
      <c r="Q38" s="36" t="n"/>
    </row>
    <row r="39">
      <c r="A39" s="16" t="inlineStr">
        <is>
          <t>CAP/SW/428</t>
        </is>
      </c>
      <c r="B39" s="32" t="n">
        <v>46130</v>
      </c>
      <c r="C39" s="42" t="n"/>
      <c r="D39" s="42" t="inlineStr">
        <is>
          <t xml:space="preserve">ARISHA </t>
        </is>
      </c>
      <c r="E39" s="17" t="n">
        <v>9934061619</v>
      </c>
      <c r="F39" s="42">
        <f>'Membership Level'!A12</f>
        <v/>
      </c>
      <c r="G39" s="42" t="inlineStr">
        <is>
          <t xml:space="preserve">MONTHLY (2 DAY KID ) </t>
        </is>
      </c>
      <c r="H39" s="30" t="n">
        <v>2500</v>
      </c>
      <c r="I39" s="30" t="n">
        <v>2500</v>
      </c>
      <c r="J39" s="31">
        <f>IF(H39="","",H39-I39)</f>
        <v/>
      </c>
      <c r="K39" s="32" t="n">
        <v>46130</v>
      </c>
      <c r="L39" s="32">
        <f>IF(OR(K39="",$F39=""),"",DATE(YEAR(K39),MONTH(K39)+VLOOKUP($F39,'Membership Level'!$A$3:$B$15,2,FALSE),DAY(K39)))</f>
        <v/>
      </c>
      <c r="M39" s="33" t="n">
        <v>3</v>
      </c>
      <c r="N39" s="34">
        <f>IF($L39="","",DATE(YEAR($L39),MONTH($L39),DAY($L39)-$M39))</f>
        <v/>
      </c>
      <c r="O39" s="33">
        <f>IF($L39="","",IF(DAYS360(NOW(),$L39)&gt;=0,DAYS360(NOW(),$L39),""))</f>
        <v/>
      </c>
      <c r="P39" s="34">
        <f>IF(OR(H39="",H39=0,F39="",K39=""),"",I39/H39*VLOOKUP(F39,'Membership Level'!$A$3:$C$15,3,FALSE)+K39)</f>
        <v/>
      </c>
      <c r="Q39" s="36" t="n"/>
    </row>
    <row r="40">
      <c r="A40" s="16" t="inlineStr">
        <is>
          <t>CAP/SW/429</t>
        </is>
      </c>
      <c r="B40" s="32" t="n">
        <v>46130</v>
      </c>
      <c r="C40" s="42" t="inlineStr">
        <is>
          <t xml:space="preserve">KUMAR </t>
        </is>
      </c>
      <c r="D40" s="42" t="inlineStr">
        <is>
          <t xml:space="preserve">MANISH </t>
        </is>
      </c>
      <c r="E40" s="17" t="n">
        <v>9168145450</v>
      </c>
      <c r="F40" s="42">
        <f>'Membership Level'!A12</f>
        <v/>
      </c>
      <c r="G40" s="42" t="inlineStr">
        <is>
          <t xml:space="preserve">MONTHLY (3 DAY ) </t>
        </is>
      </c>
      <c r="H40" s="30" t="n">
        <v>3300</v>
      </c>
      <c r="I40" s="30" t="n">
        <v>3300</v>
      </c>
      <c r="J40" s="31">
        <f>IF(H40="","",H40-I40)</f>
        <v/>
      </c>
      <c r="K40" s="32" t="n">
        <v>46130</v>
      </c>
      <c r="L40" s="32">
        <f>IF(OR(K40="",$F40=""),"",DATE(YEAR(K40),MONTH(K40)+VLOOKUP($F40,'Membership Level'!$A$3:$B$15,2,FALSE),DAY(K40)))</f>
        <v/>
      </c>
      <c r="M40" s="33" t="n">
        <v>3</v>
      </c>
      <c r="N40" s="34">
        <f>IF($L40="","",DATE(YEAR($L40),MONTH($L40),DAY($L40)-$M40))</f>
        <v/>
      </c>
      <c r="O40" s="33">
        <f>IF($L40="","",IF(DAYS360(NOW(),$L40)&gt;=0,DAYS360(NOW(),$L40),""))</f>
        <v/>
      </c>
      <c r="P40" s="34">
        <f>IF(OR(H40="",H40=0,F40="",K40=""),"",I40/H40*VLOOKUP(F40,'Membership Level'!$A$3:$C$15,3,FALSE)+K40)</f>
        <v/>
      </c>
      <c r="Q40" s="36" t="n"/>
    </row>
    <row r="41">
      <c r="A41" s="16" t="inlineStr">
        <is>
          <t>CAP/SW/430</t>
        </is>
      </c>
      <c r="B41" s="32" t="n">
        <v>46130</v>
      </c>
      <c r="C41" s="42" t="inlineStr">
        <is>
          <t xml:space="preserve">SINGH </t>
        </is>
      </c>
      <c r="D41" s="42" t="inlineStr">
        <is>
          <t xml:space="preserve">SHARVANI </t>
        </is>
      </c>
      <c r="E41" s="17" t="n">
        <v>9990621282</v>
      </c>
      <c r="F41" s="42">
        <f>'Membership Level'!A12</f>
        <v/>
      </c>
      <c r="G41" s="42" t="inlineStr">
        <is>
          <t xml:space="preserve">MONTHLY (KID ) </t>
        </is>
      </c>
      <c r="H41" s="30" t="n">
        <v>3800</v>
      </c>
      <c r="I41" s="30" t="n">
        <v>3800</v>
      </c>
      <c r="J41" s="31">
        <f>IF(H41="","",H41-I41)</f>
        <v/>
      </c>
      <c r="K41" s="32" t="n">
        <v>46130</v>
      </c>
      <c r="L41" s="32">
        <f>IF(OR(K41="",$F41=""),"",DATE(YEAR(K41),MONTH(K41)+VLOOKUP($F41,'Membership Level'!$A$3:$B$15,2,FALSE),DAY(K41)))</f>
        <v/>
      </c>
      <c r="M41" s="33" t="n">
        <v>3</v>
      </c>
      <c r="N41" s="34">
        <f>IF($L41="","",DATE(YEAR($L41),MONTH($L41),DAY($L41)-$M41))</f>
        <v/>
      </c>
      <c r="O41" s="33">
        <f>IF($L41="","",IF(DAYS360(NOW(),$L41)&gt;=0,DAYS360(NOW(),$L41),""))</f>
        <v/>
      </c>
      <c r="P41" s="34">
        <f>IF(OR(H41="",H41=0,F41="",K41=""),"",I41/H41*VLOOKUP(F41,'Membership Level'!$A$3:$C$15,3,FALSE)+K41)</f>
        <v/>
      </c>
      <c r="Q41" s="36" t="n"/>
    </row>
    <row r="42">
      <c r="A42" s="16" t="inlineStr">
        <is>
          <t>CAP/SW/431</t>
        </is>
      </c>
      <c r="B42" s="32" t="n">
        <v>46130</v>
      </c>
      <c r="C42" s="42" t="inlineStr">
        <is>
          <t xml:space="preserve">BHATTACHARYA </t>
        </is>
      </c>
      <c r="D42" s="42" t="inlineStr">
        <is>
          <t xml:space="preserve">DIPANWITA </t>
        </is>
      </c>
      <c r="E42" s="17" t="n">
        <v>9771689875</v>
      </c>
      <c r="F42" s="42">
        <f>'Membership Level'!A14</f>
        <v/>
      </c>
      <c r="G42" s="42" t="inlineStr">
        <is>
          <t xml:space="preserve">6 MONTHS (3 DAY ) </t>
        </is>
      </c>
      <c r="H42" s="30" t="n">
        <v>14500</v>
      </c>
      <c r="I42" s="30" t="n">
        <v>8000</v>
      </c>
      <c r="J42" s="31">
        <f>IF(H42="","",H42-I42)</f>
        <v/>
      </c>
      <c r="K42" s="32" t="n">
        <v>46130</v>
      </c>
      <c r="L42" s="32">
        <f>IF(OR(K42="",$F42=""),"",DATE(YEAR(K42),MONTH(K42)+VLOOKUP($F42,'Membership Level'!$A$3:$B$15,2,FALSE),DAY(K42)))</f>
        <v/>
      </c>
      <c r="M42" s="33" t="n">
        <v>3</v>
      </c>
      <c r="N42" s="34">
        <f>IF($L42="","",DATE(YEAR($L42),MONTH($L42),DAY($L42)-$M42))</f>
        <v/>
      </c>
      <c r="O42" s="33">
        <f>IF($L42="","",IF(DAYS360(NOW(),$L42)&gt;=0,DAYS360(NOW(),$L42),""))</f>
        <v/>
      </c>
      <c r="P42" s="34">
        <f>IF(OR(H42="",H42=0,F42="",K42=""),"",I42/H42*VLOOKUP(F42,'Membership Level'!$A$3:$C$15,3,FALSE)+K42)</f>
        <v/>
      </c>
      <c r="Q42" s="36" t="n"/>
    </row>
    <row r="43">
      <c r="A43" s="16" t="inlineStr">
        <is>
          <t>CAP/SW/432</t>
        </is>
      </c>
      <c r="B43" s="32" t="n">
        <v>46130</v>
      </c>
      <c r="C43" s="42" t="inlineStr">
        <is>
          <t xml:space="preserve">VERMA </t>
        </is>
      </c>
      <c r="D43" s="42" t="inlineStr">
        <is>
          <t xml:space="preserve">AKASH KUMAR </t>
        </is>
      </c>
      <c r="E43" s="17" t="n">
        <v>9591135769</v>
      </c>
      <c r="F43" s="42">
        <f>'Membership Level'!A12</f>
        <v/>
      </c>
      <c r="G43" s="42" t="inlineStr">
        <is>
          <t xml:space="preserve">MONTHLY </t>
        </is>
      </c>
      <c r="H43" s="30" t="n">
        <v>4000</v>
      </c>
      <c r="I43" s="30" t="n">
        <v>4000</v>
      </c>
      <c r="J43" s="31">
        <f>IF(H43="","",H43-I43)</f>
        <v/>
      </c>
      <c r="K43" s="32" t="n">
        <v>46130</v>
      </c>
      <c r="L43" s="32">
        <f>IF(OR(K43="",$F43=""),"",DATE(YEAR(K43),MONTH(K43)+VLOOKUP($F43,'Membership Level'!$A$3:$B$15,2,FALSE),DAY(K43)))</f>
        <v/>
      </c>
      <c r="M43" s="33" t="n">
        <v>3</v>
      </c>
      <c r="N43" s="34">
        <f>IF($L43="","",DATE(YEAR($L43),MONTH($L43),DAY($L43)-$M43))</f>
        <v/>
      </c>
      <c r="O43" s="33">
        <f>IF($L43="","",IF(DAYS360(NOW(),$L43)&gt;=0,DAYS360(NOW(),$L43),""))</f>
        <v/>
      </c>
      <c r="P43" s="34">
        <f>IF(OR(H43="",H43=0,F43="",K43=""),"",I43/H43*VLOOKUP(F43,'Membership Level'!$A$3:$C$15,3,FALSE)+K43)</f>
        <v/>
      </c>
      <c r="Q43" s="36" t="n"/>
    </row>
    <row r="44">
      <c r="A44" s="16" t="inlineStr">
        <is>
          <t>CAP/SW/433</t>
        </is>
      </c>
      <c r="B44" s="32" t="n">
        <v>46130</v>
      </c>
      <c r="C44" s="42" t="inlineStr">
        <is>
          <t xml:space="preserve">ANAND </t>
        </is>
      </c>
      <c r="D44" s="42" t="inlineStr">
        <is>
          <t xml:space="preserve">ANKITESH </t>
        </is>
      </c>
      <c r="E44" s="17" t="n">
        <v>7979828225</v>
      </c>
      <c r="F44" s="42">
        <f>'Membership Level'!A12</f>
        <v/>
      </c>
      <c r="G44" s="42" t="inlineStr">
        <is>
          <t xml:space="preserve">MONTHLY </t>
        </is>
      </c>
      <c r="H44" s="30" t="n">
        <v>4000</v>
      </c>
      <c r="I44" s="30" t="n">
        <v>4000</v>
      </c>
      <c r="J44" s="31">
        <f>IF(H44="","",H44-I44)</f>
        <v/>
      </c>
      <c r="K44" s="32" t="n">
        <v>46130</v>
      </c>
      <c r="L44" s="32">
        <f>IF(OR(K44="",$F44=""),"",DATE(YEAR(K44),MONTH(K44)+VLOOKUP($F44,'Membership Level'!$A$3:$B$15,2,FALSE),DAY(K44)))</f>
        <v/>
      </c>
      <c r="M44" s="33" t="n">
        <v>3</v>
      </c>
      <c r="N44" s="34">
        <f>IF($L44="","",DATE(YEAR($L44),MONTH($L44),DAY($L44)-$M44))</f>
        <v/>
      </c>
      <c r="O44" s="33">
        <f>IF($L44="","",IF(DAYS360(NOW(),$L44)&gt;=0,DAYS360(NOW(),$L44),""))</f>
        <v/>
      </c>
      <c r="P44" s="34">
        <f>IF(OR(H44="",H44=0,F44="",K44=""),"",I44/H44*VLOOKUP(F44,'Membership Level'!$A$3:$C$15,3,FALSE)+K44)</f>
        <v/>
      </c>
      <c r="Q44" s="36" t="n"/>
    </row>
    <row r="45">
      <c r="A45" s="16" t="inlineStr">
        <is>
          <t>CAP/SW/434</t>
        </is>
      </c>
      <c r="B45" s="32" t="n">
        <v>46130</v>
      </c>
      <c r="C45" s="42" t="inlineStr">
        <is>
          <t xml:space="preserve">SHARMA </t>
        </is>
      </c>
      <c r="D45" s="42" t="inlineStr">
        <is>
          <t xml:space="preserve">VIVAN </t>
        </is>
      </c>
      <c r="E45" s="17" t="n">
        <v>7321902688</v>
      </c>
      <c r="F45" s="42">
        <f>'Membership Level'!A13</f>
        <v/>
      </c>
      <c r="G45" s="42" t="inlineStr">
        <is>
          <t xml:space="preserve">3 MONTHS </t>
        </is>
      </c>
      <c r="H45" s="30" t="n">
        <v>7800</v>
      </c>
      <c r="I45" s="30" t="n">
        <v>7800</v>
      </c>
      <c r="J45" s="31">
        <f>IF(H45="","",H45-I45)</f>
        <v/>
      </c>
      <c r="K45" s="32" t="n">
        <v>46130</v>
      </c>
      <c r="L45" s="32">
        <f>IF(OR(K45="",$F45=""),"",DATE(YEAR(K45),MONTH(K45)+VLOOKUP($F45,'Membership Level'!$A$3:$B$15,2,FALSE),DAY(K45)))</f>
        <v/>
      </c>
      <c r="M45" s="33" t="n">
        <v>3</v>
      </c>
      <c r="N45" s="34">
        <f>IF($L45="","",DATE(YEAR($L45),MONTH($L45),DAY($L45)-$M45))</f>
        <v/>
      </c>
      <c r="O45" s="33">
        <f>IF($L45="","",IF(DAYS360(NOW(),$L45)&gt;=0,DAYS360(NOW(),$L45),""))</f>
        <v/>
      </c>
      <c r="P45" s="34">
        <f>IF(OR(H45="",H45=0,F45="",K45=""),"",I45/H45*VLOOKUP(F45,'Membership Level'!$A$3:$C$15,3,FALSE)+K45)</f>
        <v/>
      </c>
      <c r="Q45" s="36" t="n"/>
    </row>
    <row r="46" customFormat="1" s="22">
      <c r="A46" s="16" t="inlineStr">
        <is>
          <t>CAP/SW/435</t>
        </is>
      </c>
      <c r="B46" s="32" t="n">
        <v>46130</v>
      </c>
      <c r="C46" s="42" t="n"/>
      <c r="D46" s="42" t="inlineStr">
        <is>
          <t xml:space="preserve">DR. TANVEER </t>
        </is>
      </c>
      <c r="E46" s="17" t="n">
        <v>7677337234</v>
      </c>
      <c r="F46" s="42">
        <f>'Membership Level'!A12</f>
        <v/>
      </c>
      <c r="G46" s="42" t="inlineStr">
        <is>
          <t xml:space="preserve">MONTHLY (2 DAY ) </t>
        </is>
      </c>
      <c r="H46" s="30" t="n">
        <v>2000</v>
      </c>
      <c r="I46" s="30" t="n">
        <v>2000</v>
      </c>
      <c r="J46" s="31">
        <f>IF(H46="","",H46-I46)</f>
        <v/>
      </c>
      <c r="K46" s="43" t="n">
        <v>46130</v>
      </c>
      <c r="L46" s="32">
        <f>IF(OR(K46="",$F46=""),"",DATE(YEAR(K46),MONTH(K46)+VLOOKUP($F46,'Membership Level'!$A$3:$B$15,2,FALSE),DAY(K46)))</f>
        <v/>
      </c>
      <c r="M46" s="33" t="n">
        <v>3</v>
      </c>
      <c r="N46" s="34">
        <f>IF($L46="","",DATE(YEAR($L46),MONTH($L46),DAY($L46)-$M46))</f>
        <v/>
      </c>
      <c r="O46" s="33">
        <f>IF($L46="","",IF(DAYS360(NOW(),$L46)&gt;=0,DAYS360(NOW(),$L46),""))</f>
        <v/>
      </c>
      <c r="P46" s="34">
        <f>IF(OR(H46="",H46=0,F46="",K46=""),"",I46/H46*VLOOKUP(F46,'Membership Level'!$A$3:$C$15,3,FALSE)+K46)</f>
        <v/>
      </c>
      <c r="Q46" s="36" t="n"/>
    </row>
    <row r="47">
      <c r="A47" s="16" t="inlineStr">
        <is>
          <t>CAP/SW/436</t>
        </is>
      </c>
      <c r="B47" s="32" t="n">
        <v>46130</v>
      </c>
      <c r="C47" s="42" t="inlineStr">
        <is>
          <t xml:space="preserve">PRIYA </t>
        </is>
      </c>
      <c r="D47" s="42" t="inlineStr">
        <is>
          <t xml:space="preserve">TANVI </t>
        </is>
      </c>
      <c r="E47" s="17" t="n">
        <v>7903654973</v>
      </c>
      <c r="F47" s="42">
        <f>'Membership Level'!A12</f>
        <v/>
      </c>
      <c r="G47" s="42" t="inlineStr">
        <is>
          <t xml:space="preserve">MONTHLY (3 DAY KID ) </t>
        </is>
      </c>
      <c r="H47" s="30" t="n">
        <v>2800</v>
      </c>
      <c r="I47" s="30" t="n">
        <v>2800</v>
      </c>
      <c r="J47" s="31">
        <f>IF(H47="","",H47-I47)</f>
        <v/>
      </c>
      <c r="K47" s="32" t="n">
        <v>46130</v>
      </c>
      <c r="L47" s="32">
        <f>IF(OR(K47="",$F47=""),"",DATE(YEAR(K47),MONTH(K47)+VLOOKUP($F47,'Membership Level'!$A$3:$B$15,2,FALSE),DAY(K47)))</f>
        <v/>
      </c>
      <c r="M47" s="33" t="n">
        <v>3</v>
      </c>
      <c r="N47" s="34">
        <f>IF($L47="","",DATE(YEAR($L47),MONTH($L47),DAY($L47)-$M47))</f>
        <v/>
      </c>
      <c r="O47" s="33">
        <f>IF($L47="","",IF(DAYS360(NOW(),$L47)&gt;=0,DAYS360(NOW(),$L47),""))</f>
        <v/>
      </c>
      <c r="P47" s="34">
        <f>IF(OR(H47="",H47=0,F47="",K47=""),"",I47/H47*VLOOKUP(F47,'Membership Level'!$A$3:$C$15,3,FALSE)+K47)</f>
        <v/>
      </c>
      <c r="Q47" s="36" t="n"/>
    </row>
    <row r="48">
      <c r="A48" s="16" t="inlineStr">
        <is>
          <t>CAP/SW/437</t>
        </is>
      </c>
      <c r="B48" s="32" t="n">
        <v>46130</v>
      </c>
      <c r="C48" s="42" t="inlineStr">
        <is>
          <t xml:space="preserve">PRIYA </t>
        </is>
      </c>
      <c r="D48" s="42" t="inlineStr">
        <is>
          <t xml:space="preserve">MISHITA </t>
        </is>
      </c>
      <c r="E48" s="17" t="n">
        <v>7903654973</v>
      </c>
      <c r="F48" s="42">
        <f>'Membership Level'!A12</f>
        <v/>
      </c>
      <c r="G48" s="42" t="inlineStr">
        <is>
          <t xml:space="preserve">MONTHLY (3 DAY KID ) </t>
        </is>
      </c>
      <c r="H48" s="30" t="n">
        <v>2800</v>
      </c>
      <c r="I48" s="30" t="n">
        <v>2800</v>
      </c>
      <c r="J48" s="31">
        <f>IF(H48="","",H48-I48)</f>
        <v/>
      </c>
      <c r="K48" s="32" t="n">
        <v>46130</v>
      </c>
      <c r="L48" s="32">
        <f>IF(OR(K48="",$F48=""),"",DATE(YEAR(K48),MONTH(K48)+VLOOKUP($F48,'Membership Level'!$A$3:$B$15,2,FALSE),DAY(K48)))</f>
        <v/>
      </c>
      <c r="M48" s="33" t="n">
        <v>3</v>
      </c>
      <c r="N48" s="34">
        <f>IF($L48="","",DATE(YEAR($L48),MONTH($L48),DAY($L48)-$M48))</f>
        <v/>
      </c>
      <c r="O48" s="33">
        <f>IF($L48="","",IF(DAYS360(NOW(),$L48)&gt;=0,DAYS360(NOW(),$L48),""))</f>
        <v/>
      </c>
      <c r="P48" s="34">
        <f>IF(OR(H48="",H48=0,F48="",K48=""),"",I48/H48*VLOOKUP(F48,'Membership Level'!$A$3:$C$15,3,FALSE)+K48)</f>
        <v/>
      </c>
      <c r="Q48" s="36" t="n"/>
    </row>
    <row r="49">
      <c r="A49" s="16" t="inlineStr">
        <is>
          <t>CAP/SW/438</t>
        </is>
      </c>
      <c r="B49" s="32" t="n">
        <v>46130</v>
      </c>
      <c r="C49" s="42" t="inlineStr">
        <is>
          <t xml:space="preserve">RON </t>
        </is>
      </c>
      <c r="D49" s="42" t="inlineStr">
        <is>
          <t xml:space="preserve">STALIN </t>
        </is>
      </c>
      <c r="E49" s="17" t="n">
        <v>9153114183</v>
      </c>
      <c r="F49" s="42">
        <f>'Membership Level'!A12</f>
        <v/>
      </c>
      <c r="G49" s="42" t="inlineStr">
        <is>
          <t xml:space="preserve">MONTHLY (3 DAY KID ) </t>
        </is>
      </c>
      <c r="H49" s="30" t="n">
        <v>2800</v>
      </c>
      <c r="I49" s="30" t="n">
        <v>2800</v>
      </c>
      <c r="J49" s="31">
        <f>IF(H49="","",H49-I49)</f>
        <v/>
      </c>
      <c r="K49" s="32" t="n">
        <v>46130</v>
      </c>
      <c r="L49" s="32">
        <f>IF(OR(K49="",$F49=""),"",DATE(YEAR(K49),MONTH(K49)+VLOOKUP($F49,'Membership Level'!$A$3:$B$15,2,FALSE),DAY(K49)))</f>
        <v/>
      </c>
      <c r="M49" s="33" t="n">
        <v>3</v>
      </c>
      <c r="N49" s="34">
        <f>IF($L49="","",DATE(YEAR($L49),MONTH($L49),DAY($L49)-$M49))</f>
        <v/>
      </c>
      <c r="O49" s="33">
        <f>IF($L49="","",IF(DAYS360(NOW(),$L49)&gt;=0,DAYS360(NOW(),$L49),""))</f>
        <v/>
      </c>
      <c r="P49" s="34">
        <f>IF(OR(H49="",H49=0,F49="",K49=""),"",I49/H49*VLOOKUP(F49,'Membership Level'!$A$3:$C$15,3,FALSE)+K49)</f>
        <v/>
      </c>
      <c r="Q49" s="36" t="n"/>
    </row>
    <row r="50">
      <c r="A50" s="16" t="inlineStr">
        <is>
          <t>CAP/SW/439</t>
        </is>
      </c>
      <c r="B50" s="32" t="n">
        <v>46130</v>
      </c>
      <c r="C50" s="42" t="inlineStr">
        <is>
          <t xml:space="preserve">MINJ </t>
        </is>
      </c>
      <c r="D50" s="42" t="inlineStr">
        <is>
          <t xml:space="preserve">RICHARD </t>
        </is>
      </c>
      <c r="E50" s="17" t="n">
        <v>9153114183</v>
      </c>
      <c r="F50" s="42">
        <f>'Membership Level'!A12</f>
        <v/>
      </c>
      <c r="G50" s="42" t="inlineStr">
        <is>
          <t xml:space="preserve">MONTHLY (3 DAY KID ) </t>
        </is>
      </c>
      <c r="H50" s="30" t="n">
        <v>2800</v>
      </c>
      <c r="I50" s="30" t="n">
        <v>2800</v>
      </c>
      <c r="J50" s="31">
        <f>IF(H50="","",H50-I50)</f>
        <v/>
      </c>
      <c r="K50" s="32" t="n">
        <v>46130</v>
      </c>
      <c r="L50" s="32">
        <f>IF(OR(K50="",$F50=""),"",DATE(YEAR(K50),MONTH(K50)+VLOOKUP($F50,'Membership Level'!$A$3:$B$15,2,FALSE),DAY(K50)))</f>
        <v/>
      </c>
      <c r="N50" s="34">
        <f>IF($L50="","",DATE(YEAR($L50),MONTH($L50),DAY($L50)-$M50))</f>
        <v/>
      </c>
      <c r="O50" s="33">
        <f>IF($L50="","",IF(DAYS360(NOW(),$L50)&gt;=0,DAYS360(NOW(),$L50),""))</f>
        <v/>
      </c>
      <c r="P50" s="34">
        <f>IF(OR(H50="",H50=0,F50="",K50=""),"",I50/H50*VLOOKUP(F50,'Membership Level'!$A$3:$C$15,3,FALSE)+K50)</f>
        <v/>
      </c>
      <c r="Q50" s="36" t="n"/>
    </row>
    <row r="51">
      <c r="A51" s="16" t="inlineStr">
        <is>
          <t>CAP/SW/440</t>
        </is>
      </c>
      <c r="B51" s="32" t="n">
        <v>46130</v>
      </c>
      <c r="C51" s="42" t="inlineStr">
        <is>
          <t xml:space="preserve">KUMAR </t>
        </is>
      </c>
      <c r="D51" s="42" t="inlineStr">
        <is>
          <t xml:space="preserve">ARJUN </t>
        </is>
      </c>
      <c r="E51" s="17" t="n">
        <v>9113304187</v>
      </c>
      <c r="F51" s="42">
        <f>'Membership Level'!A12</f>
        <v/>
      </c>
      <c r="G51" s="42" t="inlineStr">
        <is>
          <t>MONTHLY (2 DAY )</t>
        </is>
      </c>
      <c r="H51" s="30" t="n">
        <v>2500</v>
      </c>
      <c r="I51" s="30" t="n">
        <v>2500</v>
      </c>
      <c r="J51" s="31">
        <f>IF(H51="","",H51-I51)</f>
        <v/>
      </c>
      <c r="K51" s="32" t="n">
        <v>46130</v>
      </c>
      <c r="L51" s="32">
        <f>IF(OR(K51="",$F51=""),"",DATE(YEAR(K51),MONTH(K51)+VLOOKUP($F51,'Membership Level'!$A$3:$B$15,2,FALSE),DAY(K51)))</f>
        <v/>
      </c>
      <c r="M51" s="33" t="n">
        <v>3</v>
      </c>
      <c r="N51" s="34">
        <f>IF($L51="","",DATE(YEAR($L51),MONTH($L51),DAY($L51)-$M51))</f>
        <v/>
      </c>
      <c r="O51" s="33">
        <f>IF($L51="","",IF(DAYS360(NOW(),$L51)&gt;=0,DAYS360(NOW(),$L51),""))</f>
        <v/>
      </c>
      <c r="P51" s="34">
        <f>IF(OR(H51="",H51=0,F51="",K51=""),"",I51/H51*VLOOKUP(F51,'Membership Level'!$A$3:$C$15,3,FALSE)+K51)</f>
        <v/>
      </c>
      <c r="Q51" s="36" t="n"/>
    </row>
    <row r="52">
      <c r="A52" s="16" t="inlineStr">
        <is>
          <t>CAP/SW/441</t>
        </is>
      </c>
      <c r="B52" s="32" t="n">
        <v>46130</v>
      </c>
      <c r="C52" s="42" t="inlineStr">
        <is>
          <t xml:space="preserve">SHRESTHA </t>
        </is>
      </c>
      <c r="D52" s="42" t="inlineStr">
        <is>
          <t xml:space="preserve">YASHASHVI </t>
        </is>
      </c>
      <c r="E52" s="17" t="n">
        <v>9973154666</v>
      </c>
      <c r="F52" s="42">
        <f>'Membership Level'!A12</f>
        <v/>
      </c>
      <c r="G52" s="42" t="inlineStr">
        <is>
          <t xml:space="preserve">MONTHLY (3 DAY ) </t>
        </is>
      </c>
      <c r="H52" s="30" t="n">
        <v>3000</v>
      </c>
      <c r="I52" s="30" t="n">
        <v>3000</v>
      </c>
      <c r="J52" s="31">
        <f>IF(H52="","",H52-I52)</f>
        <v/>
      </c>
      <c r="K52" s="32" t="n">
        <v>46130</v>
      </c>
      <c r="L52" s="32">
        <f>IF(OR(K52="",$F52=""),"",DATE(YEAR(K52),MONTH(K52)+VLOOKUP($F52,'Membership Level'!$A$3:$B$15,2,FALSE),DAY(K52)))</f>
        <v/>
      </c>
      <c r="M52" s="33" t="n">
        <v>3</v>
      </c>
      <c r="N52" s="34">
        <f>IF($L52="","",DATE(YEAR($L52),MONTH($L52),DAY($L52)-$M52))</f>
        <v/>
      </c>
      <c r="O52" s="33">
        <f>IF($L52="","",IF(DAYS360(NOW(),$L52)&gt;=0,DAYS360(NOW(),$L52),""))</f>
        <v/>
      </c>
      <c r="P52" s="34">
        <f>IF(OR(H52="",H52=0,F52="",K52=""),"",I52/H52*VLOOKUP(F52,'Membership Level'!$A$3:$C$15,3,FALSE)+K52)</f>
        <v/>
      </c>
      <c r="Q52" s="36" t="n"/>
    </row>
    <row r="53">
      <c r="A53" s="16" t="inlineStr">
        <is>
          <t>CAP/SW/442</t>
        </is>
      </c>
      <c r="B53" s="32" t="n">
        <v>46131</v>
      </c>
      <c r="C53" s="42" t="inlineStr">
        <is>
          <t xml:space="preserve">KASHYAP </t>
        </is>
      </c>
      <c r="D53" s="42" t="inlineStr">
        <is>
          <t xml:space="preserve">SHLOK </t>
        </is>
      </c>
      <c r="E53" s="17" t="n">
        <v>7033365657</v>
      </c>
      <c r="F53" s="42">
        <f>'Membership Level'!A12</f>
        <v/>
      </c>
      <c r="G53" s="42" t="inlineStr">
        <is>
          <t xml:space="preserve">MONTHLY (3 DAY ) </t>
        </is>
      </c>
      <c r="H53" s="30" t="n">
        <v>3300</v>
      </c>
      <c r="I53" s="30" t="n">
        <v>3300</v>
      </c>
      <c r="J53" s="31">
        <f>IF(H53="","",H53-I53)</f>
        <v/>
      </c>
      <c r="K53" s="43" t="n">
        <v>46131</v>
      </c>
      <c r="L53" s="32">
        <f>IF(OR(K53="",$F53=""),"",DATE(YEAR(K53),MONTH(K53)+VLOOKUP($F53,'Membership Level'!$A$3:$B$15,2,FALSE),DAY(K53)))</f>
        <v/>
      </c>
      <c r="M53" s="33" t="n">
        <v>3</v>
      </c>
      <c r="N53" s="34">
        <f>IF($L53="","",DATE(YEAR($L53),MONTH($L53),DAY($L53)-$M53))</f>
        <v/>
      </c>
      <c r="O53" s="33">
        <f>IF($L53="","",IF(DAYS360(NOW(),$L53)&gt;=0,DAYS360(NOW(),$L53),""))</f>
        <v/>
      </c>
      <c r="P53" s="34">
        <f>IF(OR(H53="",H53=0,F53="",K53=""),"",I53/H53*VLOOKUP(F53,'Membership Level'!$A$3:$C$15,3,FALSE)+K53)</f>
        <v/>
      </c>
      <c r="Q53" s="36" t="n"/>
    </row>
    <row r="54">
      <c r="A54" s="16" t="inlineStr">
        <is>
          <t>CAP/SW/443</t>
        </is>
      </c>
      <c r="B54" s="43" t="n">
        <v>46131</v>
      </c>
      <c r="C54" s="42" t="inlineStr">
        <is>
          <t xml:space="preserve">MURARKA </t>
        </is>
      </c>
      <c r="D54" s="42" t="inlineStr">
        <is>
          <t xml:space="preserve">MONIKA </t>
        </is>
      </c>
      <c r="E54" s="17" t="n">
        <v>9576036640</v>
      </c>
      <c r="F54" s="42">
        <f>'Membership Level'!A12</f>
        <v/>
      </c>
      <c r="G54" s="42" t="inlineStr">
        <is>
          <t>MONTHLY (2 DAY KID )</t>
        </is>
      </c>
      <c r="H54" s="30" t="n">
        <v>2000</v>
      </c>
      <c r="I54" s="30" t="n">
        <v>2000</v>
      </c>
      <c r="J54" s="31">
        <f>IF(H54="","",H54-I54)</f>
        <v/>
      </c>
      <c r="K54" s="43" t="n">
        <v>46131</v>
      </c>
      <c r="L54" s="32">
        <f>IF(OR(K54="",$F54=""),"",DATE(YEAR(K54),MONTH(K54)+VLOOKUP($F54,'Membership Level'!$A$3:$B$15,2,FALSE),DAY(K54)))</f>
        <v/>
      </c>
      <c r="M54" s="33" t="n">
        <v>3</v>
      </c>
      <c r="N54" s="34">
        <f>IF($L54="","",DATE(YEAR($L54),MONTH($L54),DAY($L54)-$M54))</f>
        <v/>
      </c>
      <c r="O54" s="33">
        <f>IF($L54="","",IF(DAYS360(NOW(),$L54)&gt;=0,DAYS360(NOW(),$L54),""))</f>
        <v/>
      </c>
      <c r="P54" s="34">
        <f>IF(OR(H54="",H54=0,F54="",K54=""),"",I54/H54*VLOOKUP(F54,'Membership Level'!$A$3:$C$15,3,FALSE)+K54)</f>
        <v/>
      </c>
      <c r="Q54" s="36" t="n"/>
    </row>
    <row r="55">
      <c r="A55" s="16" t="inlineStr">
        <is>
          <t>CAP/SW/444</t>
        </is>
      </c>
      <c r="B55" s="43" t="n">
        <v>46131</v>
      </c>
      <c r="C55" s="42" t="inlineStr">
        <is>
          <t xml:space="preserve">JAIN </t>
        </is>
      </c>
      <c r="D55" s="42" t="inlineStr">
        <is>
          <t xml:space="preserve">VIDHI </t>
        </is>
      </c>
      <c r="E55" s="17" t="n">
        <v>9576036640</v>
      </c>
      <c r="F55" s="42">
        <f>'Membership Level'!A12</f>
        <v/>
      </c>
      <c r="G55" s="42" t="inlineStr">
        <is>
          <t>MONTHLY (2 DAY )</t>
        </is>
      </c>
      <c r="H55" s="30" t="n">
        <v>2500</v>
      </c>
      <c r="I55" s="30" t="n">
        <v>2500</v>
      </c>
      <c r="J55" s="31">
        <f>IF(H55="","",H55-I55)</f>
        <v/>
      </c>
      <c r="K55" s="43" t="n">
        <v>46131</v>
      </c>
      <c r="L55" s="32">
        <f>IF(OR(K55="",$F55=""),"",DATE(YEAR(K55),MONTH(K55)+VLOOKUP($F55,'Membership Level'!$A$3:$B$15,2,FALSE),DAY(K55)))</f>
        <v/>
      </c>
      <c r="M55" s="33" t="n">
        <v>3</v>
      </c>
      <c r="N55" s="34">
        <f>IF($L55="","",DATE(YEAR($L55),MONTH($L55),DAY($L55)-$M55))</f>
        <v/>
      </c>
      <c r="O55" s="33">
        <f>IF($L55="","",IF(DAYS360(NOW(),$L55)&gt;=0,DAYS360(NOW(),$L55),""))</f>
        <v/>
      </c>
      <c r="P55" s="34">
        <f>IF(OR(H55="",H55=0,F55="",K55=""),"",I55/H55*VLOOKUP(F55,'Membership Level'!$A$3:$C$15,3,FALSE)+K55)</f>
        <v/>
      </c>
      <c r="Q55" s="36" t="n"/>
    </row>
    <row r="56">
      <c r="A56" s="16" t="inlineStr">
        <is>
          <t>CAP/SW/445</t>
        </is>
      </c>
      <c r="B56" s="43" t="n">
        <v>46131</v>
      </c>
      <c r="C56" s="42" t="inlineStr">
        <is>
          <t xml:space="preserve">CHANDRA </t>
        </is>
      </c>
      <c r="D56" s="42" t="inlineStr">
        <is>
          <t xml:space="preserve">SHAURYA </t>
        </is>
      </c>
      <c r="E56" s="17" t="n">
        <v>7200618563</v>
      </c>
      <c r="F56" s="42">
        <f>'Membership Level'!A12</f>
        <v/>
      </c>
      <c r="G56" s="42" t="inlineStr">
        <is>
          <t>MONTHLY (2 DAY KID )</t>
        </is>
      </c>
      <c r="H56" s="30" t="n">
        <v>2200</v>
      </c>
      <c r="I56" s="30" t="n">
        <v>2200</v>
      </c>
      <c r="J56" s="31">
        <f>IF(H56="","",H56-I56)</f>
        <v/>
      </c>
      <c r="K56" s="43" t="n">
        <v>46131</v>
      </c>
      <c r="L56" s="32">
        <f>IF(OR(K56="",$F56=""),"",DATE(YEAR(K56),MONTH(K56)+VLOOKUP($F56,'Membership Level'!$A$3:$B$15,2,FALSE),DAY(K56)))</f>
        <v/>
      </c>
      <c r="M56" s="33" t="n">
        <v>3</v>
      </c>
      <c r="N56" s="34">
        <f>IF($L56="","",DATE(YEAR($L56),MONTH($L56),DAY($L56)-$M56))</f>
        <v/>
      </c>
      <c r="O56" s="33">
        <f>IF($L56="","",IF(DAYS360(NOW(),$L56)&gt;=0,DAYS360(NOW(),$L56),""))</f>
        <v/>
      </c>
      <c r="P56" s="34">
        <f>IF(OR(H56="",H56=0,F56="",K56=""),"",I56/H56*VLOOKUP(F56,'Membership Level'!$A$3:$C$15,3,FALSE)+K56)</f>
        <v/>
      </c>
      <c r="Q56" s="36" t="n"/>
    </row>
    <row r="57">
      <c r="A57" s="16" t="inlineStr">
        <is>
          <t>CAP/SW/446</t>
        </is>
      </c>
      <c r="B57" s="43" t="n">
        <v>46131</v>
      </c>
      <c r="C57" s="42" t="inlineStr">
        <is>
          <t xml:space="preserve">CHANDRA </t>
        </is>
      </c>
      <c r="D57" s="42" t="inlineStr">
        <is>
          <t xml:space="preserve">SHUBASH </t>
        </is>
      </c>
      <c r="E57" s="17" t="n">
        <v>7200618563</v>
      </c>
      <c r="F57" s="42">
        <f>'Membership Level'!A12</f>
        <v/>
      </c>
      <c r="G57" s="42" t="inlineStr">
        <is>
          <t xml:space="preserve">MONTHLY (2 DAY ) </t>
        </is>
      </c>
      <c r="H57" s="30" t="n">
        <v>2500</v>
      </c>
      <c r="I57" s="30" t="n">
        <v>2500</v>
      </c>
      <c r="J57" s="31">
        <f>IF(H57="","",H57-I57)</f>
        <v/>
      </c>
      <c r="K57" s="43" t="n">
        <v>46131</v>
      </c>
      <c r="L57" s="32">
        <f>IF(OR(K57="",$F57=""),"",DATE(YEAR(K57),MONTH(K57)+VLOOKUP($F57,'Membership Level'!$A$3:$B$15,2,FALSE),DAY(K57)))</f>
        <v/>
      </c>
      <c r="M57" s="33" t="n">
        <v>3</v>
      </c>
      <c r="N57" s="34">
        <f>IF($L57="","",DATE(YEAR($L57),MONTH($L57),DAY($L57)-$M57))</f>
        <v/>
      </c>
      <c r="O57" s="33">
        <f>IF($L57="","",IF(DAYS360(NOW(),$L57)&gt;=0,DAYS360(NOW(),$L57),""))</f>
        <v/>
      </c>
      <c r="P57" s="34">
        <f>IF(OR(H57="",H57=0,F57="",K57=""),"",I57/H57*VLOOKUP(F57,'Membership Level'!$A$3:$C$15,3,FALSE)+K57)</f>
        <v/>
      </c>
      <c r="Q57" s="36" t="n"/>
    </row>
    <row r="58">
      <c r="A58" s="16" t="inlineStr">
        <is>
          <t>CAP/SW/447</t>
        </is>
      </c>
      <c r="B58" s="43" t="n">
        <v>46131</v>
      </c>
      <c r="C58" s="42" t="n"/>
      <c r="D58" s="42" t="inlineStr">
        <is>
          <t xml:space="preserve">SHAQEEL </t>
        </is>
      </c>
      <c r="E58" s="17" t="n">
        <v>7544063715</v>
      </c>
      <c r="F58" s="42">
        <f>'Membership Level'!A12</f>
        <v/>
      </c>
      <c r="G58" s="42" t="inlineStr">
        <is>
          <t xml:space="preserve">MONTHLY (1 DAY ) </t>
        </is>
      </c>
      <c r="H58" s="30" t="n">
        <v>1500</v>
      </c>
      <c r="I58" s="30" t="n">
        <v>1500</v>
      </c>
      <c r="J58" s="31">
        <f>IF(H58="","",H58-I58)</f>
        <v/>
      </c>
      <c r="K58" s="43" t="n">
        <v>46131</v>
      </c>
      <c r="L58" s="32">
        <f>IF(OR(K58="",$F58=""),"",DATE(YEAR(K58),MONTH(K58)+VLOOKUP($F58,'Membership Level'!$A$3:$B$15,2,FALSE),DAY(K58)))</f>
        <v/>
      </c>
      <c r="M58" s="33" t="n">
        <v>3</v>
      </c>
      <c r="N58" s="34">
        <f>IF($L58="","",DATE(YEAR($L58),MONTH($L58),DAY($L58)-$M58))</f>
        <v/>
      </c>
      <c r="O58" s="33">
        <f>IF($L58="","",IF(DAYS360(NOW(),$L58)&gt;=0,DAYS360(NOW(),$L58),""))</f>
        <v/>
      </c>
      <c r="P58" s="34">
        <f>IF(OR(H58="",H58=0,F58="",K58=""),"",I58/H58*VLOOKUP(F58,'Membership Level'!$A$3:$C$15,3,FALSE)+K58)</f>
        <v/>
      </c>
      <c r="Q58" s="36" t="n"/>
    </row>
    <row r="59">
      <c r="A59" s="16" t="inlineStr">
        <is>
          <t>CAP/SW/448</t>
        </is>
      </c>
      <c r="B59" s="43" t="n">
        <v>46131</v>
      </c>
      <c r="C59" s="42" t="n"/>
      <c r="D59" s="42" t="inlineStr">
        <is>
          <t>AHAD</t>
        </is>
      </c>
      <c r="E59" s="17" t="n">
        <v>7544063715</v>
      </c>
      <c r="F59" s="42">
        <f>'Membership Level'!A12</f>
        <v/>
      </c>
      <c r="G59" s="42" t="inlineStr">
        <is>
          <t xml:space="preserve">MONTHLY (1 DAY ) </t>
        </is>
      </c>
      <c r="H59" s="30" t="n">
        <v>1500</v>
      </c>
      <c r="I59" s="30" t="n">
        <v>1500</v>
      </c>
      <c r="J59" s="31">
        <f>IF(H59="","",H59-I59)</f>
        <v/>
      </c>
      <c r="K59" s="43" t="n">
        <v>46131</v>
      </c>
      <c r="L59" s="32">
        <f>IF(OR(K59="",$F59=""),"",DATE(YEAR(K59),MONTH(K59)+VLOOKUP($F59,'Membership Level'!$A$3:$B$15,2,FALSE),DAY(K59)))</f>
        <v/>
      </c>
      <c r="M59" s="33" t="n">
        <v>3</v>
      </c>
      <c r="N59" s="34">
        <f>IF($L59="","",DATE(YEAR($L59),MONTH($L59),DAY($L59)-$M59))</f>
        <v/>
      </c>
      <c r="O59" s="33">
        <f>IF($L59="","",IF(DAYS360(NOW(),$L59)&gt;=0,DAYS360(NOW(),$L59),""))</f>
        <v/>
      </c>
      <c r="P59" s="34">
        <f>IF(OR(H59="",H59=0,F59="",K59=""),"",I59/H59*VLOOKUP(F59,'Membership Level'!$A$3:$C$15,3,FALSE)+K59)</f>
        <v/>
      </c>
      <c r="Q59" s="36" t="n"/>
    </row>
    <row r="60">
      <c r="A60" s="16" t="inlineStr">
        <is>
          <t>CAP/SW/449</t>
        </is>
      </c>
      <c r="B60" s="43" t="n">
        <v>46131</v>
      </c>
      <c r="C60" s="42" t="n"/>
      <c r="D60" s="42" t="inlineStr">
        <is>
          <t>FALAK</t>
        </is>
      </c>
      <c r="E60" s="17" t="n">
        <v>7544063715</v>
      </c>
      <c r="F60" s="42">
        <f>'Membership Level'!A12</f>
        <v/>
      </c>
      <c r="G60" s="42" t="inlineStr">
        <is>
          <t xml:space="preserve">MONTHLY (1 DAY ) </t>
        </is>
      </c>
      <c r="H60" s="30" t="n">
        <v>1500</v>
      </c>
      <c r="I60" s="30" t="n">
        <v>1500</v>
      </c>
      <c r="J60" s="31">
        <f>IF(H60="","",H60-I60)</f>
        <v/>
      </c>
      <c r="K60" s="43" t="n">
        <v>46131</v>
      </c>
      <c r="L60" s="32">
        <f>IF(OR(K60="",$F60=""),"",DATE(YEAR(K60),MONTH(K60)+VLOOKUP($F60,'Membership Level'!$A$3:$B$15,2,FALSE),DAY(K60)))</f>
        <v/>
      </c>
      <c r="M60" s="33" t="n">
        <v>3</v>
      </c>
      <c r="N60" s="34">
        <f>IF($L60="","",DATE(YEAR($L60),MONTH($L60),DAY($L60)-$M60))</f>
        <v/>
      </c>
      <c r="O60" s="33">
        <f>IF($L60="","",IF(DAYS360(NOW(),$L60)&gt;=0,DAYS360(NOW(),$L60),""))</f>
        <v/>
      </c>
      <c r="P60" s="34">
        <f>IF(OR(H60="",H60=0,F60="",K60=""),"",I60/H60*VLOOKUP(F60,'Membership Level'!$A$3:$C$15,3,FALSE)+K60)</f>
        <v/>
      </c>
      <c r="Q60" s="36" t="n"/>
    </row>
    <row r="61">
      <c r="A61" s="16" t="inlineStr">
        <is>
          <t>CAP/SW/450</t>
        </is>
      </c>
      <c r="B61" s="43" t="n">
        <v>46131</v>
      </c>
      <c r="C61" s="42" t="n"/>
      <c r="D61" s="42" t="inlineStr">
        <is>
          <t>GUGU</t>
        </is>
      </c>
      <c r="E61" s="17" t="n">
        <v>7544063715</v>
      </c>
      <c r="F61" s="42">
        <f>'Membership Level'!A12</f>
        <v/>
      </c>
      <c r="G61" s="42" t="inlineStr">
        <is>
          <t xml:space="preserve">MONTHLY (1 DAY ) </t>
        </is>
      </c>
      <c r="H61" s="30" t="n">
        <v>1500</v>
      </c>
      <c r="I61" s="30" t="n">
        <v>1500</v>
      </c>
      <c r="J61" s="31">
        <f>IF(H61="","",H61-I61)</f>
        <v/>
      </c>
      <c r="K61" s="43" t="n">
        <v>46131</v>
      </c>
      <c r="L61" s="32">
        <f>IF(OR(K61="",$F61=""),"",DATE(YEAR(K61),MONTH(K61)+VLOOKUP($F61,'Membership Level'!$A$3:$B$15,2,FALSE),DAY(K61)))</f>
        <v/>
      </c>
      <c r="M61" s="33" t="n">
        <v>3</v>
      </c>
      <c r="N61" s="34">
        <f>IF($L61="","",DATE(YEAR($L61),MONTH($L61),DAY($L61)-$M61))</f>
        <v/>
      </c>
      <c r="O61" s="33">
        <f>IF($L61="","",IF(DAYS360(NOW(),$L61)&gt;=0,DAYS360(NOW(),$L61),""))</f>
        <v/>
      </c>
      <c r="P61" s="34">
        <f>IF(OR(H61="",H61=0,F61="",K61=""),"",I61/H61*VLOOKUP(F61,'Membership Level'!$A$3:$C$15,3,FALSE)+K61)</f>
        <v/>
      </c>
      <c r="Q61" s="36" t="n"/>
    </row>
    <row r="62">
      <c r="A62" s="16" t="inlineStr">
        <is>
          <t>CAP/SW/451</t>
        </is>
      </c>
      <c r="B62" s="43" t="n">
        <v>46131</v>
      </c>
      <c r="C62" s="42" t="inlineStr">
        <is>
          <t xml:space="preserve">VATSYA </t>
        </is>
      </c>
      <c r="D62" s="42" t="inlineStr">
        <is>
          <t xml:space="preserve">VEDANT </t>
        </is>
      </c>
      <c r="E62" s="17" t="n">
        <v>9386190129</v>
      </c>
      <c r="F62" s="42">
        <f>'Membership Level'!A12</f>
        <v/>
      </c>
      <c r="G62" s="42" t="inlineStr">
        <is>
          <t>MONTHLY (1 DAY )</t>
        </is>
      </c>
      <c r="H62" s="30" t="n">
        <v>1200</v>
      </c>
      <c r="I62" s="30" t="n">
        <v>1200</v>
      </c>
      <c r="J62" s="31">
        <f>IF(H62="","",H62-I62)</f>
        <v/>
      </c>
      <c r="K62" s="43" t="n">
        <v>46131</v>
      </c>
      <c r="L62" s="32">
        <f>IF(OR(K62="",$F62=""),"",DATE(YEAR(K62),MONTH(K62)+VLOOKUP($F62,'Membership Level'!$A$3:$B$15,2,FALSE),DAY(K62)))</f>
        <v/>
      </c>
      <c r="M62" s="33" t="n">
        <v>3</v>
      </c>
      <c r="N62" s="34">
        <f>IF($L62="","",DATE(YEAR($L62),MONTH($L62),DAY($L62)-$M62))</f>
        <v/>
      </c>
      <c r="O62" s="33">
        <f>IF($L62="","",IF(DAYS360(NOW(),$L62)&gt;=0,DAYS360(NOW(),$L62),""))</f>
        <v/>
      </c>
      <c r="P62" s="34">
        <f>IF(OR(H62="",H62=0,F62="",K62=""),"",I62/H62*VLOOKUP(F62,'Membership Level'!$A$3:$C$15,3,FALSE)+K62)</f>
        <v/>
      </c>
      <c r="Q62" s="36" t="n"/>
    </row>
    <row r="63">
      <c r="A63" s="16" t="inlineStr">
        <is>
          <t>CAP/SW/452</t>
        </is>
      </c>
      <c r="B63" s="43" t="n">
        <v>46131</v>
      </c>
      <c r="C63" s="42" t="inlineStr">
        <is>
          <t xml:space="preserve">SINGH </t>
        </is>
      </c>
      <c r="D63" s="42" t="inlineStr">
        <is>
          <t xml:space="preserve">MANJESH </t>
        </is>
      </c>
      <c r="E63" s="17" t="n">
        <v>7759012991</v>
      </c>
      <c r="F63" s="42">
        <f>'Membership Level'!A12</f>
        <v/>
      </c>
      <c r="G63" s="42" t="inlineStr">
        <is>
          <t xml:space="preserve">MONTHLY (3 DAY ) </t>
        </is>
      </c>
      <c r="H63" s="30" t="n">
        <v>3000</v>
      </c>
      <c r="I63" s="30" t="n">
        <v>3000</v>
      </c>
      <c r="J63" s="31">
        <f>IF(H63="","",H63-I63)</f>
        <v/>
      </c>
      <c r="K63" s="43" t="n">
        <v>46131</v>
      </c>
      <c r="L63" s="32">
        <f>IF(OR(K63="",$F63=""),"",DATE(YEAR(K63),MONTH(K63)+VLOOKUP($F63,'Membership Level'!$A$3:$B$15,2,FALSE),DAY(K63)))</f>
        <v/>
      </c>
      <c r="M63" s="33" t="n">
        <v>3</v>
      </c>
      <c r="N63" s="34">
        <f>IF($L63="","",DATE(YEAR($L63),MONTH($L63),DAY($L63)-$M63))</f>
        <v/>
      </c>
      <c r="O63" s="33">
        <f>IF($L63="","",IF(DAYS360(NOW(),$L63)&gt;=0,DAYS360(NOW(),$L63),""))</f>
        <v/>
      </c>
      <c r="P63" s="34">
        <f>IF(OR(H63="",H63=0,F63="",K63=""),"",I63/H63*VLOOKUP(F63,'Membership Level'!$A$3:$C$15,3,FALSE)+K63)</f>
        <v/>
      </c>
      <c r="Q63" s="36" t="n"/>
    </row>
    <row r="64">
      <c r="A64" s="16" t="inlineStr">
        <is>
          <t>CAP/SW/453</t>
        </is>
      </c>
      <c r="B64" s="43" t="n">
        <v>46131</v>
      </c>
      <c r="C64" s="42" t="inlineStr">
        <is>
          <t xml:space="preserve">DIVYAKRITI </t>
        </is>
      </c>
      <c r="D64" s="42" t="inlineStr">
        <is>
          <t>MANVIK</t>
        </is>
      </c>
      <c r="E64" s="17" t="n">
        <v>7759012991</v>
      </c>
      <c r="F64" s="42">
        <f>'Membership Level'!A12</f>
        <v/>
      </c>
      <c r="G64" s="42" t="inlineStr">
        <is>
          <t xml:space="preserve">MONTHLY (3 DAY KID ) </t>
        </is>
      </c>
      <c r="H64" s="30" t="n">
        <v>2800</v>
      </c>
      <c r="I64" s="30" t="n">
        <v>2800</v>
      </c>
      <c r="J64" s="31">
        <f>IF(H64="","",H64-I64)</f>
        <v/>
      </c>
      <c r="K64" s="43" t="n">
        <v>46131</v>
      </c>
      <c r="L64" s="32">
        <f>IF(OR(K64="",$F64=""),"",DATE(YEAR(K64),MONTH(K64)+VLOOKUP($F64,'Membership Level'!$A$3:$B$15,2,FALSE),DAY(K64)))</f>
        <v/>
      </c>
      <c r="M64" s="33" t="n">
        <v>3</v>
      </c>
      <c r="N64" s="34">
        <f>IF($L64="","",DATE(YEAR($L64),MONTH($L64),DAY($L64)-$M64))</f>
        <v/>
      </c>
      <c r="O64" s="33">
        <f>IF($L64="","",IF(DAYS360(NOW(),$L64)&gt;=0,DAYS360(NOW(),$L64),""))</f>
        <v/>
      </c>
      <c r="P64" s="34">
        <f>IF(OR(H64="",H64=0,F64="",K64=""),"",I64/H64*VLOOKUP(F64,'Membership Level'!$A$3:$C$15,3,FALSE)+K64)</f>
        <v/>
      </c>
      <c r="Q64" s="36" t="n"/>
    </row>
    <row r="65">
      <c r="A65" s="16" t="inlineStr">
        <is>
          <t>CAP/SW/454</t>
        </is>
      </c>
      <c r="B65" s="43" t="n">
        <v>46131</v>
      </c>
      <c r="C65" s="42" t="inlineStr">
        <is>
          <t xml:space="preserve">UJJAWAL </t>
        </is>
      </c>
      <c r="D65" s="42" t="inlineStr">
        <is>
          <t xml:space="preserve">OJAS </t>
        </is>
      </c>
      <c r="E65" s="17" t="n">
        <v>7759012991</v>
      </c>
      <c r="F65" s="42">
        <f>'Membership Level'!A12</f>
        <v/>
      </c>
      <c r="G65" s="42" t="inlineStr">
        <is>
          <t xml:space="preserve">MONTHLY (3 DAY KID ) </t>
        </is>
      </c>
      <c r="H65" s="30" t="n">
        <v>2800</v>
      </c>
      <c r="I65" s="30" t="n">
        <v>2800</v>
      </c>
      <c r="J65" s="31">
        <f>IF(H65="","",H65-I65)</f>
        <v/>
      </c>
      <c r="K65" s="43" t="n">
        <v>46131</v>
      </c>
      <c r="L65" s="32">
        <f>IF(OR(K65="",$F65=""),"",DATE(YEAR(K65),MONTH(K65)+VLOOKUP($F65,'Membership Level'!$A$3:$B$15,2,FALSE),DAY(K65)))</f>
        <v/>
      </c>
      <c r="M65" s="33" t="n">
        <v>3</v>
      </c>
      <c r="N65" s="34">
        <f>IF($L65="","",DATE(YEAR($L65),MONTH($L65),DAY($L65)-$M65))</f>
        <v/>
      </c>
      <c r="O65" s="33">
        <f>IF($L65="","",IF(DAYS360(NOW(),$L65)&gt;=0,DAYS360(NOW(),$L65),""))</f>
        <v/>
      </c>
      <c r="P65" s="34">
        <f>IF(OR(H65="",H65=0,F65="",K65=""),"",I65/H65*VLOOKUP(F65,'Membership Level'!$A$3:$C$15,3,FALSE)+K65)</f>
        <v/>
      </c>
      <c r="Q65" s="36" t="n"/>
    </row>
    <row r="66">
      <c r="A66" s="16" t="inlineStr">
        <is>
          <t>CAP/SW/455</t>
        </is>
      </c>
      <c r="B66" s="43" t="n">
        <v>46131</v>
      </c>
      <c r="C66" s="42" t="inlineStr">
        <is>
          <t xml:space="preserve">SINGH </t>
        </is>
      </c>
      <c r="D66" s="42" t="inlineStr">
        <is>
          <t xml:space="preserve">AMRITA </t>
        </is>
      </c>
      <c r="E66" s="17" t="n">
        <v>6204481551</v>
      </c>
      <c r="F66" s="42">
        <f>'Membership Level'!A12</f>
        <v/>
      </c>
      <c r="G66" s="42" t="inlineStr">
        <is>
          <t xml:space="preserve">MONTHLY ( 2 DAY ) </t>
        </is>
      </c>
      <c r="H66" s="30" t="n">
        <v>2500</v>
      </c>
      <c r="I66" s="30" t="n">
        <v>2500</v>
      </c>
      <c r="J66" s="31">
        <f>IF(H66="","",H66-I66)</f>
        <v/>
      </c>
      <c r="K66" s="43" t="n">
        <v>46131</v>
      </c>
      <c r="L66" s="32">
        <f>IF(OR(K66="",$F66=""),"",DATE(YEAR(K66),MONTH(K66)+VLOOKUP($F66,'Membership Level'!$A$3:$B$15,2,FALSE),DAY(K66)))</f>
        <v/>
      </c>
      <c r="M66" s="33" t="n">
        <v>3</v>
      </c>
      <c r="N66" s="34">
        <f>IF($L66="","",DATE(YEAR($L66),MONTH($L66),DAY($L66)-$M66))</f>
        <v/>
      </c>
      <c r="O66" s="33">
        <f>IF($L66="","",IF(DAYS360(NOW(),$L66)&gt;=0,DAYS360(NOW(),$L66),""))</f>
        <v/>
      </c>
      <c r="P66" s="34">
        <f>IF(OR(H66="",H66=0,F66="",K66=""),"",I66/H66*VLOOKUP(F66,'Membership Level'!$A$3:$C$15,3,FALSE)+K66)</f>
        <v/>
      </c>
      <c r="Q66" s="36" t="n"/>
    </row>
    <row r="67">
      <c r="A67" s="16" t="inlineStr">
        <is>
          <t>CAP/SW/456</t>
        </is>
      </c>
      <c r="B67" s="43" t="n">
        <v>46131</v>
      </c>
      <c r="C67" s="42" t="inlineStr">
        <is>
          <t xml:space="preserve">KUMAR </t>
        </is>
      </c>
      <c r="D67" s="42" t="inlineStr">
        <is>
          <t xml:space="preserve">KUNAL </t>
        </is>
      </c>
      <c r="E67" s="17" t="n">
        <v>8210076453</v>
      </c>
      <c r="F67" s="42">
        <f>'Membership Level'!A12</f>
        <v/>
      </c>
      <c r="G67" s="42" t="inlineStr">
        <is>
          <t xml:space="preserve">MONTHLY (2 DAY ) </t>
        </is>
      </c>
      <c r="H67" s="30" t="n">
        <v>2500</v>
      </c>
      <c r="I67" s="30" t="n">
        <v>2500</v>
      </c>
      <c r="J67" s="31">
        <f>IF(H67="","",H67-I67)</f>
        <v/>
      </c>
      <c r="K67" s="43" t="n">
        <v>46131</v>
      </c>
      <c r="L67" s="32">
        <f>IF(OR(K67="",$F67=""),"",DATE(YEAR(K67),MONTH(K67)+VLOOKUP($F67,'Membership Level'!$A$3:$B$15,2,FALSE),DAY(K67)))</f>
        <v/>
      </c>
      <c r="M67" s="33" t="n">
        <v>3</v>
      </c>
      <c r="N67" s="34">
        <f>IF($L67="","",DATE(YEAR($L67),MONTH($L67),DAY($L67)-$M67))</f>
        <v/>
      </c>
      <c r="O67" s="33">
        <f>IF($L67="","",IF(DAYS360(NOW(),$L67)&gt;=0,DAYS360(NOW(),$L67),""))</f>
        <v/>
      </c>
      <c r="P67" s="34">
        <f>IF(OR(H67="",H67=0,F67="",K67=""),"",I67/H67*VLOOKUP(F67,'Membership Level'!$A$3:$C$15,3,FALSE)+K67)</f>
        <v/>
      </c>
      <c r="Q67" s="36" t="n"/>
    </row>
    <row r="68">
      <c r="A68" s="16" t="inlineStr">
        <is>
          <t>CAP/SW/457</t>
        </is>
      </c>
      <c r="B68" s="43" t="n">
        <v>46131</v>
      </c>
      <c r="C68" s="42" t="inlineStr">
        <is>
          <t xml:space="preserve">PANDEY </t>
        </is>
      </c>
      <c r="D68" s="42" t="inlineStr">
        <is>
          <t xml:space="preserve">PRISHA </t>
        </is>
      </c>
      <c r="E68" s="17" t="n">
        <v>9507778290</v>
      </c>
      <c r="F68" s="42">
        <f>'Membership Level'!A12</f>
        <v/>
      </c>
      <c r="G68" s="42" t="inlineStr">
        <is>
          <t>MONTHLY (2 DAY )</t>
        </is>
      </c>
      <c r="H68" s="30" t="n">
        <v>2500</v>
      </c>
      <c r="I68" s="30" t="n">
        <v>2500</v>
      </c>
      <c r="J68" s="31">
        <f>IF(H68="","",H68-I68)</f>
        <v/>
      </c>
      <c r="K68" s="43" t="n">
        <v>46131</v>
      </c>
      <c r="L68" s="32">
        <f>IF(OR(K68="",$F68=""),"",DATE(YEAR(K68),MONTH(K68)+VLOOKUP($F68,'Membership Level'!$A$3:$B$15,2,FALSE),DAY(K68)))</f>
        <v/>
      </c>
      <c r="M68" s="33" t="n">
        <v>3</v>
      </c>
      <c r="N68" s="34">
        <f>IF($L68="","",DATE(YEAR($L68),MONTH($L68),DAY($L68)-$M68))</f>
        <v/>
      </c>
      <c r="O68" s="33">
        <f>IF($L68="","",IF(DAYS360(NOW(),$L68)&gt;=0,DAYS360(NOW(),$L68),""))</f>
        <v/>
      </c>
      <c r="P68" s="34">
        <f>IF(OR(H68="",H68=0,F68="",K68=""),"",I68/H68*VLOOKUP(F68,'Membership Level'!$A$3:$C$15,3,FALSE)+K68)</f>
        <v/>
      </c>
      <c r="Q68" s="36" t="n"/>
    </row>
    <row r="69">
      <c r="A69" s="16" t="inlineStr">
        <is>
          <t>CAP/SW/458</t>
        </is>
      </c>
      <c r="B69" s="43" t="n">
        <v>46131</v>
      </c>
      <c r="C69" s="42" t="inlineStr">
        <is>
          <t xml:space="preserve">KUNWAR </t>
        </is>
      </c>
      <c r="D69" s="42" t="inlineStr">
        <is>
          <t xml:space="preserve">KAYRA </t>
        </is>
      </c>
      <c r="E69" s="17" t="n">
        <v>9940417651</v>
      </c>
      <c r="F69" s="42">
        <f>'Membership Level'!A12</f>
        <v/>
      </c>
      <c r="G69" s="42" t="inlineStr">
        <is>
          <t>MONTHLY (1 DAY )</t>
        </is>
      </c>
      <c r="H69" s="30" t="n">
        <v>1200</v>
      </c>
      <c r="I69" s="30" t="n">
        <v>1200</v>
      </c>
      <c r="J69" s="31">
        <f>IF(H69="","",H69-I69)</f>
        <v/>
      </c>
      <c r="K69" s="43" t="n">
        <v>46131</v>
      </c>
      <c r="L69" s="32">
        <f>IF(OR(K69="",$F69=""),"",DATE(YEAR(K69),MONTH(K69)+VLOOKUP($F69,'Membership Level'!$A$3:$B$15,2,FALSE),DAY(K69)))</f>
        <v/>
      </c>
      <c r="M69" s="33" t="n">
        <v>3</v>
      </c>
      <c r="N69" s="34">
        <f>IF($L69="","",DATE(YEAR($L69),MONTH($L69),DAY($L69)-$M69))</f>
        <v/>
      </c>
      <c r="O69" s="33">
        <f>IF($L69="","",IF(DAYS360(NOW(),$L69)&gt;=0,DAYS360(NOW(),$L69),""))</f>
        <v/>
      </c>
      <c r="P69" s="34">
        <f>IF(OR(H69="",H69=0,F69="",K69=""),"",I69/H69*VLOOKUP(F69,'Membership Level'!$A$3:$C$15,3,FALSE)+K69)</f>
        <v/>
      </c>
      <c r="Q69" s="36" t="n"/>
    </row>
    <row r="70">
      <c r="A70" s="16" t="inlineStr">
        <is>
          <t>CAP/SW/459</t>
        </is>
      </c>
      <c r="B70" s="43" t="n">
        <v>46131</v>
      </c>
      <c r="C70" s="42" t="inlineStr">
        <is>
          <t xml:space="preserve">SINGH </t>
        </is>
      </c>
      <c r="D70" s="42" t="inlineStr">
        <is>
          <t xml:space="preserve">RAUSHAN </t>
        </is>
      </c>
      <c r="E70" s="17" t="n">
        <v>7033882450</v>
      </c>
      <c r="F70" s="42">
        <f>'Membership Level'!A12</f>
        <v/>
      </c>
      <c r="G70" s="42" t="inlineStr">
        <is>
          <t>MONTHLY (1 DAY )</t>
        </is>
      </c>
      <c r="H70" s="30" t="n">
        <v>1000</v>
      </c>
      <c r="I70" s="30" t="n">
        <v>1000</v>
      </c>
      <c r="J70" s="31">
        <f>IF(H70="","",H70-I70)</f>
        <v/>
      </c>
      <c r="K70" s="43" t="n">
        <v>46131</v>
      </c>
      <c r="L70" s="32">
        <f>IF(OR(K70="",$F70=""),"",DATE(YEAR(K70),MONTH(K70)+VLOOKUP($F70,'Membership Level'!$A$3:$B$15,2,FALSE),DAY(K70)))</f>
        <v/>
      </c>
      <c r="M70" s="33" t="n">
        <v>3</v>
      </c>
      <c r="N70" s="34">
        <f>IF($L70="","",DATE(YEAR($L70),MONTH($L70),DAY($L70)-$M70))</f>
        <v/>
      </c>
      <c r="O70" s="33">
        <f>IF($L70="","",IF(DAYS360(NOW(),$L70)&gt;=0,DAYS360(NOW(),$L70),""))</f>
        <v/>
      </c>
      <c r="P70" s="34">
        <f>IF(OR(H70="",H70=0,F70="",K70=""),"",I70/H70*VLOOKUP(F70,'Membership Level'!$A$3:$C$15,3,FALSE)+K70)</f>
        <v/>
      </c>
      <c r="Q70" s="36" t="n"/>
    </row>
    <row r="71">
      <c r="A71" s="16" t="inlineStr">
        <is>
          <t>CAP/SW/460</t>
        </is>
      </c>
      <c r="B71" s="32" t="n">
        <v>46132</v>
      </c>
      <c r="C71" s="42" t="inlineStr">
        <is>
          <t xml:space="preserve">KUMAR </t>
        </is>
      </c>
      <c r="D71" s="42" t="inlineStr">
        <is>
          <t xml:space="preserve">ASHISH </t>
        </is>
      </c>
      <c r="E71" s="17" t="n">
        <v>9007868369</v>
      </c>
      <c r="F71" s="42">
        <f>'Membership Level'!A12</f>
        <v/>
      </c>
      <c r="G71" s="42" t="inlineStr">
        <is>
          <t xml:space="preserve">MONTHLY </t>
        </is>
      </c>
      <c r="H71" s="30" t="n">
        <v>4400</v>
      </c>
      <c r="I71" s="30" t="n">
        <v>4400</v>
      </c>
      <c r="J71" s="31">
        <f>IF(H71="","",H71-I71)</f>
        <v/>
      </c>
      <c r="K71" s="32" t="n">
        <v>46132</v>
      </c>
      <c r="L71" s="32">
        <f>IF(OR(K71="",$F71=""),"",DATE(YEAR(K71),MONTH(K71)+VLOOKUP($F71,'Membership Level'!$A$3:$B$15,2,FALSE),DAY(K71)))</f>
        <v/>
      </c>
      <c r="M71" s="33" t="n">
        <v>3</v>
      </c>
      <c r="N71" s="34">
        <f>IF($L71="","",DATE(YEAR($L71),MONTH($L71),DAY($L71)-$M71))</f>
        <v/>
      </c>
      <c r="O71" s="33">
        <f>IF($L71="","",IF(DAYS360(NOW(),$L71)&gt;=0,DAYS360(NOW(),$L71),""))</f>
        <v/>
      </c>
      <c r="P71" s="34">
        <f>IF(OR(H71="",H71=0,F71="",K71=""),"",I71/H71*VLOOKUP(F71,'Membership Level'!$A$3:$C$15,3,FALSE)+K71)</f>
        <v/>
      </c>
      <c r="Q71" s="36" t="n"/>
    </row>
    <row r="72">
      <c r="A72" s="16" t="inlineStr">
        <is>
          <t>CAP/SW/461</t>
        </is>
      </c>
      <c r="B72" s="32" t="n">
        <v>46132</v>
      </c>
      <c r="C72" s="42" t="inlineStr">
        <is>
          <t xml:space="preserve">SONAL </t>
        </is>
      </c>
      <c r="D72" s="42" t="inlineStr">
        <is>
          <t xml:space="preserve">ADYA </t>
        </is>
      </c>
      <c r="E72" s="17" t="n">
        <v>9007868369</v>
      </c>
      <c r="F72" s="42">
        <f>'Membership Level'!A12</f>
        <v/>
      </c>
      <c r="G72" s="42" t="inlineStr">
        <is>
          <t xml:space="preserve">MONTHLY (KID ) </t>
        </is>
      </c>
      <c r="H72" s="30" t="n">
        <v>3800</v>
      </c>
      <c r="I72" s="30" t="n">
        <v>3800</v>
      </c>
      <c r="J72" s="31">
        <f>IF(H72="","",H72-I72)</f>
        <v/>
      </c>
      <c r="K72" s="32" t="n">
        <v>46132</v>
      </c>
      <c r="L72" s="32">
        <f>IF(OR(K72="",$F72=""),"",DATE(YEAR(K72),MONTH(K72)+VLOOKUP($F72,'Membership Level'!$A$3:$B$15,2,FALSE),DAY(K72)))</f>
        <v/>
      </c>
      <c r="M72" s="33" t="n">
        <v>3</v>
      </c>
      <c r="N72" s="34">
        <f>IF($L72="","",DATE(YEAR($L72),MONTH($L72),DAY($L72)-$M72))</f>
        <v/>
      </c>
      <c r="O72" s="33">
        <f>IF($L72="","",IF(DAYS360(NOW(),$L72)&gt;=0,DAYS360(NOW(),$L72),""))</f>
        <v/>
      </c>
      <c r="P72" s="34">
        <f>IF(OR(H72="",H72=0,F72="",K72=""),"",I72/H72*VLOOKUP(F72,'Membership Level'!$A$3:$C$15,3,FALSE)+K72)</f>
        <v/>
      </c>
      <c r="Q72" s="36" t="n"/>
    </row>
    <row r="73">
      <c r="A73" s="16" t="inlineStr">
        <is>
          <t>CAP/SW/462</t>
        </is>
      </c>
      <c r="B73" s="32" t="n">
        <v>46132</v>
      </c>
      <c r="C73" s="42" t="inlineStr">
        <is>
          <t xml:space="preserve">PRAKASH </t>
        </is>
      </c>
      <c r="D73" s="42" t="inlineStr">
        <is>
          <t xml:space="preserve">JYOTIRADITYA </t>
        </is>
      </c>
      <c r="E73" s="17" t="n">
        <v>6205863681</v>
      </c>
      <c r="F73" s="42">
        <f>'Membership Level'!A14</f>
        <v/>
      </c>
      <c r="G73" s="42" t="inlineStr">
        <is>
          <t xml:space="preserve">6 MONTHS </t>
        </is>
      </c>
      <c r="H73" s="30" t="n">
        <v>17000</v>
      </c>
      <c r="I73" s="30" t="n">
        <v>17000</v>
      </c>
      <c r="J73" s="31">
        <f>IF(H73="","",H73-I73)</f>
        <v/>
      </c>
      <c r="K73" s="32" t="n">
        <v>46132</v>
      </c>
      <c r="L73" s="32">
        <f>IF(OR(K73="",$F73=""),"",DATE(YEAR(K73),MONTH(K73)+VLOOKUP($F73,'Membership Level'!$A$3:$B$15,2,FALSE),DAY(K73)))</f>
        <v/>
      </c>
      <c r="M73" s="33" t="n">
        <v>3</v>
      </c>
      <c r="N73" s="34">
        <f>IF($L73="","",DATE(YEAR($L73),MONTH($L73),DAY($L73)-$M73))</f>
        <v/>
      </c>
      <c r="O73" s="33">
        <f>IF($L73="","",IF(DAYS360(NOW(),$L73)&gt;=0,DAYS360(NOW(),$L73),""))</f>
        <v/>
      </c>
      <c r="P73" s="34">
        <f>IF(OR(H73="",H73=0,F73="",K73=""),"",I73/H73*VLOOKUP(F73,'Membership Level'!$A$3:$C$15,3,FALSE)+K73)</f>
        <v/>
      </c>
      <c r="Q73" s="36" t="n"/>
    </row>
    <row r="74">
      <c r="A74" s="16" t="inlineStr">
        <is>
          <t>CAP/SW/463</t>
        </is>
      </c>
      <c r="B74" s="32" t="n">
        <v>46133</v>
      </c>
      <c r="C74" s="42" t="n"/>
      <c r="D74" s="42" t="inlineStr">
        <is>
          <t xml:space="preserve">ARCHANA </t>
        </is>
      </c>
      <c r="E74" s="17" t="n">
        <v>7970851995</v>
      </c>
      <c r="F74" s="42">
        <f>'Membership Level'!A12</f>
        <v/>
      </c>
      <c r="G74" s="42" t="inlineStr">
        <is>
          <t xml:space="preserve">MONTHLY </t>
        </is>
      </c>
      <c r="H74" s="30" t="n">
        <v>4000</v>
      </c>
      <c r="I74" s="30" t="n">
        <v>4000</v>
      </c>
      <c r="J74" s="31">
        <f>IF(H74="","",H74-I74)</f>
        <v/>
      </c>
      <c r="K74" s="32" t="n">
        <v>46133</v>
      </c>
      <c r="L74" s="32">
        <f>IF(OR(K74="",$F74=""),"",DATE(YEAR(K74),MONTH(K74)+VLOOKUP($F74,'Membership Level'!$A$3:$B$15,2,FALSE),DAY(K74)))</f>
        <v/>
      </c>
      <c r="M74" s="33" t="n">
        <v>3</v>
      </c>
      <c r="N74" s="34">
        <f>IF($L74="","",DATE(YEAR($L74),MONTH($L74),DAY($L74)-$M74))</f>
        <v/>
      </c>
      <c r="O74" s="33">
        <f>IF($L74="","",IF(DAYS360(NOW(),$L74)&gt;=0,DAYS360(NOW(),$L74),""))</f>
        <v/>
      </c>
      <c r="P74" s="34">
        <f>IF(OR(H74="",H74=0,F74="",K74=""),"",I74/H74*VLOOKUP(F74,'Membership Level'!$A$3:$C$15,3,FALSE)+K74)</f>
        <v/>
      </c>
      <c r="Q74" s="36" t="n"/>
    </row>
    <row r="75">
      <c r="A75" s="16" t="inlineStr">
        <is>
          <t>CAP/SW/464</t>
        </is>
      </c>
      <c r="B75" s="32" t="n">
        <v>46133</v>
      </c>
      <c r="C75" s="42" t="n"/>
      <c r="D75" s="42" t="inlineStr">
        <is>
          <t xml:space="preserve">AAYUSH </t>
        </is>
      </c>
      <c r="E75" s="17" t="n">
        <v>9097981296</v>
      </c>
      <c r="F75" s="42">
        <f>'Membership Level'!A12</f>
        <v/>
      </c>
      <c r="G75" s="42" t="inlineStr">
        <is>
          <t xml:space="preserve">MONTHLY (3 DAY ) </t>
        </is>
      </c>
      <c r="H75" s="30" t="n">
        <v>3300</v>
      </c>
      <c r="I75" s="30" t="n">
        <v>3300</v>
      </c>
      <c r="J75" s="31">
        <f>IF(H75="","",H75-I75)</f>
        <v/>
      </c>
      <c r="K75" s="32" t="n">
        <v>46133</v>
      </c>
      <c r="L75" s="32">
        <f>IF(OR(K75="",$F75=""),"",DATE(YEAR(K75),MONTH(K75)+VLOOKUP($F75,'Membership Level'!$A$3:$B$15,2,FALSE),DAY(K75)))</f>
        <v/>
      </c>
      <c r="M75" s="33" t="n">
        <v>3</v>
      </c>
      <c r="N75" s="34">
        <f>IF($L75="","",DATE(YEAR($L75),MONTH($L75),DAY($L75)-$M75))</f>
        <v/>
      </c>
      <c r="O75" s="33">
        <f>IF($L75="","",IF(DAYS360(NOW(),$L75)&gt;=0,DAYS360(NOW(),$L75),""))</f>
        <v/>
      </c>
      <c r="P75" s="34">
        <f>IF(OR(H75="",H75=0,F75="",K75=""),"",I75/H75*VLOOKUP(F75,'Membership Level'!$A$3:$C$15,3,FALSE)+K75)</f>
        <v/>
      </c>
      <c r="Q75" s="36" t="n"/>
    </row>
    <row r="76">
      <c r="A76" s="16" t="inlineStr">
        <is>
          <t>CAP/SW/465</t>
        </is>
      </c>
      <c r="B76" s="32" t="n">
        <v>46133</v>
      </c>
      <c r="C76" s="42" t="n"/>
      <c r="D76" s="42" t="n"/>
      <c r="E76" s="17" t="n"/>
      <c r="F76" s="42" t="n"/>
      <c r="G76" s="42" t="n"/>
      <c r="H76" s="30" t="n">
        <v>0</v>
      </c>
      <c r="I76" s="30" t="n">
        <v>0</v>
      </c>
      <c r="J76" s="31">
        <f>IF(H76="","",H76-I76)</f>
        <v/>
      </c>
      <c r="K76" s="32" t="n">
        <v>46133</v>
      </c>
      <c r="L76" s="32">
        <f>IF(OR(K76="",$F76=""),"",DATE(YEAR(K76),MONTH(K76)+VLOOKUP($F76,'Membership Level'!$A$3:$B$15,2,FALSE),DAY(K76)))</f>
        <v/>
      </c>
      <c r="M76" s="33" t="n">
        <v>3</v>
      </c>
      <c r="N76" s="34">
        <f>IF($L76="","",DATE(YEAR($L76),MONTH($L76),DAY($L76)-$M76))</f>
        <v/>
      </c>
      <c r="O76" s="33">
        <f>IF($L76="","",IF(DAYS360(NOW(),$L76)&gt;=0,DAYS360(NOW(),$L76),""))</f>
        <v/>
      </c>
      <c r="P76" s="34">
        <f>IF(OR(H76="",H76=0,F76="",K76=""),"",I76/H76*VLOOKUP(F76,'Membership Level'!$A$3:$C$15,3,FALSE)+K76)</f>
        <v/>
      </c>
      <c r="Q76" s="36" t="n"/>
    </row>
    <row r="77">
      <c r="A77" s="16" t="inlineStr">
        <is>
          <t>CAP/SW/466</t>
        </is>
      </c>
      <c r="B77" s="32" t="n">
        <v>46133</v>
      </c>
      <c r="C77" s="42" t="n"/>
      <c r="D77" s="42" t="n"/>
      <c r="E77" s="17" t="n"/>
      <c r="F77" s="42" t="n"/>
      <c r="G77" s="42" t="n"/>
      <c r="H77" s="30" t="n">
        <v>0</v>
      </c>
      <c r="I77" s="30" t="n">
        <v>0</v>
      </c>
      <c r="J77" s="31">
        <f>IF(H77="","",H77-I77)</f>
        <v/>
      </c>
      <c r="K77" s="32" t="n">
        <v>46133</v>
      </c>
      <c r="L77" s="32">
        <f>IF(OR(K77="",$F77=""),"",DATE(YEAR(K77),MONTH(K77)+VLOOKUP($F77,'Membership Level'!$A$3:$B$15,2,FALSE),DAY(K77)))</f>
        <v/>
      </c>
      <c r="M77" s="33" t="n">
        <v>3</v>
      </c>
      <c r="N77" s="34">
        <f>IF($L77="","",DATE(YEAR($L77),MONTH($L77),DAY($L77)-$M77))</f>
        <v/>
      </c>
      <c r="O77" s="33">
        <f>IF($L77="","",IF(DAYS360(NOW(),$L77)&gt;=0,DAYS360(NOW(),$L77),""))</f>
        <v/>
      </c>
      <c r="P77" s="34">
        <f>IF(OR(H77="",H77=0,F77="",K77=""),"",I77/H77*VLOOKUP(F77,'Membership Level'!$A$3:$C$15,3,FALSE)+K77)</f>
        <v/>
      </c>
      <c r="Q77" s="36" t="n"/>
    </row>
    <row r="78">
      <c r="A78" s="16" t="inlineStr">
        <is>
          <t>CAP/SW/467</t>
        </is>
      </c>
      <c r="B78" s="32" t="n">
        <v>46133</v>
      </c>
      <c r="C78" s="42" t="n"/>
      <c r="D78" s="42" t="n"/>
      <c r="E78" s="17" t="n"/>
      <c r="F78" s="42" t="n"/>
      <c r="G78" s="42" t="n"/>
      <c r="H78" s="30" t="n">
        <v>0</v>
      </c>
      <c r="I78" s="30" t="n">
        <v>0</v>
      </c>
      <c r="J78" s="31">
        <f>IF(H78="","",H78-I78)</f>
        <v/>
      </c>
      <c r="K78" s="32" t="n">
        <v>46133</v>
      </c>
      <c r="L78" s="32">
        <f>IF(OR(K78="",$F78=""),"",DATE(YEAR(K78),MONTH(K78)+VLOOKUP($F78,'Membership Level'!$A$3:$B$15,2,FALSE),DAY(K78)))</f>
        <v/>
      </c>
      <c r="M78" s="33" t="n"/>
      <c r="N78" s="34">
        <f>IF($L78="","",DATE(YEAR($L78),MONTH($L78),DAY($L78)-$M78))</f>
        <v/>
      </c>
      <c r="O78" s="33">
        <f>IF($L78="","",IF(DAYS360(NOW(),$L78)&gt;=0,DAYS360(NOW(),$L78),""))</f>
        <v/>
      </c>
      <c r="P78" s="34">
        <f>IF(OR(H78="",H78=0,F78="",K78=""),"",I78/H78*VLOOKUP(F78,'Membership Level'!$A$3:$C$15,3,FALSE)+K78)</f>
        <v/>
      </c>
      <c r="Q78" s="36" t="n"/>
    </row>
    <row r="79">
      <c r="A79" s="16" t="inlineStr">
        <is>
          <t>CAP/SW/468</t>
        </is>
      </c>
      <c r="B79" s="32" t="n">
        <v>46133</v>
      </c>
      <c r="C79" s="42" t="n"/>
      <c r="D79" s="42" t="n"/>
      <c r="E79" s="17" t="n"/>
      <c r="F79" s="42" t="n"/>
      <c r="G79" s="42" t="n"/>
      <c r="H79" s="30" t="n">
        <v>0</v>
      </c>
      <c r="I79" s="30" t="n">
        <v>0</v>
      </c>
      <c r="J79" s="31">
        <f>IF(H79="","",H79-I79)</f>
        <v/>
      </c>
      <c r="K79" s="32" t="n">
        <v>46133</v>
      </c>
      <c r="L79" s="32">
        <f>IF(OR(K79="",$F79=""),"",DATE(YEAR(K79),MONTH(K79)+VLOOKUP($F79,'Membership Level'!$A$3:$B$15,2,FALSE),DAY(K79)))</f>
        <v/>
      </c>
      <c r="M79" s="33" t="n">
        <v>3</v>
      </c>
      <c r="N79" s="34">
        <f>IF($L79="","",DATE(YEAR($L79),MONTH($L79),DAY($L79)-$M79))</f>
        <v/>
      </c>
      <c r="O79" s="33">
        <f>IF($L79="","",IF(DAYS360(NOW(),$L79)&gt;=0,DAYS360(NOW(),$L79),""))</f>
        <v/>
      </c>
      <c r="P79" s="34">
        <f>IF(OR(H79="",H79=0,F79="",K79=""),"",I79/H79*VLOOKUP(F79,'Membership Level'!$A$3:$C$15,3,FALSE)+K79)</f>
        <v/>
      </c>
      <c r="Q79" s="36" t="n"/>
    </row>
    <row r="80">
      <c r="A80" s="16" t="inlineStr">
        <is>
          <t>CAP/SW/469</t>
        </is>
      </c>
      <c r="B80" s="32" t="n">
        <v>46133</v>
      </c>
      <c r="C80" s="42" t="n"/>
      <c r="D80" s="42" t="n"/>
      <c r="E80" s="17" t="n"/>
      <c r="F80" s="42" t="n"/>
      <c r="G80" s="42" t="n"/>
      <c r="H80" s="30" t="n">
        <v>0</v>
      </c>
      <c r="I80" s="30" t="n">
        <v>0</v>
      </c>
      <c r="J80" s="31">
        <f>IF(H80="","",H80-I80)</f>
        <v/>
      </c>
      <c r="K80" s="32" t="n">
        <v>46133</v>
      </c>
      <c r="L80" s="32">
        <f>IF(OR(K80="",$F80=""),"",DATE(YEAR(K80),MONTH(K80)+VLOOKUP($F80,'Membership Level'!$A$3:$B$15,2,FALSE),DAY(K80)))</f>
        <v/>
      </c>
      <c r="M80" s="33" t="n">
        <v>3</v>
      </c>
      <c r="N80" s="34">
        <f>IF($L80="","",DATE(YEAR($L80),MONTH($L80),DAY($L80)-$M80))</f>
        <v/>
      </c>
      <c r="O80" s="33">
        <f>IF($L80="","",IF(DAYS360(NOW(),$L80)&gt;=0,DAYS360(NOW(),$L80),""))</f>
        <v/>
      </c>
      <c r="P80" s="34">
        <f>IF(OR(H80="",H80=0,F80="",K80=""),"",I80/H80*VLOOKUP(F80,'Membership Level'!$A$3:$C$15,3,FALSE)+K80)</f>
        <v/>
      </c>
      <c r="Q80" s="36" t="n"/>
    </row>
    <row r="81">
      <c r="A81" s="16" t="inlineStr">
        <is>
          <t>CAP/SW/470</t>
        </is>
      </c>
      <c r="B81" s="32" t="n">
        <v>46133</v>
      </c>
      <c r="C81" s="42" t="n"/>
      <c r="D81" s="42" t="n"/>
      <c r="E81" s="17" t="n"/>
      <c r="F81" s="42" t="n"/>
      <c r="G81" s="42" t="n"/>
      <c r="H81" s="30" t="n">
        <v>0</v>
      </c>
      <c r="I81" s="30" t="n">
        <v>0</v>
      </c>
      <c r="J81" s="31">
        <f>IF(H81="","",H81-I81)</f>
        <v/>
      </c>
      <c r="K81" s="32" t="n">
        <v>46133</v>
      </c>
      <c r="L81" s="32">
        <f>IF(OR(K81="",$F81=""),"",DATE(YEAR(K81),MONTH(K81)+VLOOKUP($F81,'Membership Level'!$A$3:$B$15,2,FALSE),DAY(K81)))</f>
        <v/>
      </c>
      <c r="M81" s="33" t="n">
        <v>3</v>
      </c>
      <c r="N81" s="34">
        <f>IF($L81="","",DATE(YEAR($L81),MONTH($L81),DAY($L81)-$M81))</f>
        <v/>
      </c>
      <c r="O81" s="33">
        <f>IF($L81="","",IF(DAYS360(NOW(),$L81)&gt;=0,DAYS360(NOW(),$L81),""))</f>
        <v/>
      </c>
      <c r="P81" s="34">
        <f>IF(OR(H81="",H81=0,F81="",K81=""),"",I81/H81*VLOOKUP(F81,'Membership Level'!$A$3:$C$15,3,FALSE)+K81)</f>
        <v/>
      </c>
      <c r="Q81" s="36" t="n"/>
    </row>
    <row r="82">
      <c r="A82" s="16" t="inlineStr">
        <is>
          <t>CAP/SW/471</t>
        </is>
      </c>
      <c r="B82" s="32" t="n">
        <v>46133</v>
      </c>
      <c r="C82" s="42" t="n"/>
      <c r="D82" s="42" t="n"/>
      <c r="E82" s="17" t="n"/>
      <c r="F82" s="42" t="n"/>
      <c r="G82" s="42" t="n"/>
      <c r="H82" s="30" t="n">
        <v>0</v>
      </c>
      <c r="I82" s="30" t="n">
        <v>0</v>
      </c>
      <c r="J82" s="31">
        <f>IF(H82="","",H82-I82)</f>
        <v/>
      </c>
      <c r="K82" s="32" t="n">
        <v>46133</v>
      </c>
      <c r="L82" s="32">
        <f>IF(OR(K82="",$F82=""),"",DATE(YEAR(K82),MONTH(K82)+VLOOKUP($F82,'Membership Level'!$A$3:$B$15,2,FALSE),DAY(K82)))</f>
        <v/>
      </c>
      <c r="M82" s="33" t="n">
        <v>3</v>
      </c>
      <c r="N82" s="34">
        <f>IF($L82="","",DATE(YEAR($L82),MONTH($L82),DAY($L82)-$M82))</f>
        <v/>
      </c>
      <c r="O82" s="33">
        <f>IF($L82="","",IF(DAYS360(NOW(),$L82)&gt;=0,DAYS360(NOW(),$L82),""))</f>
        <v/>
      </c>
      <c r="P82" s="34">
        <f>IF(OR(H82="",H82=0,F82="",K82=""),"",I82/H82*VLOOKUP(F82,'Membership Level'!$A$3:$C$15,3,FALSE)+K82)</f>
        <v/>
      </c>
      <c r="Q82" s="36" t="n"/>
    </row>
    <row r="83">
      <c r="A83" s="16" t="inlineStr">
        <is>
          <t>CAP/SW/472</t>
        </is>
      </c>
      <c r="B83" s="32" t="n">
        <v>46133</v>
      </c>
      <c r="C83" s="42" t="n"/>
      <c r="D83" s="42" t="n"/>
      <c r="E83" s="17" t="n"/>
      <c r="F83" s="42" t="n"/>
      <c r="G83" s="42" t="n"/>
      <c r="H83" s="30" t="n">
        <v>0</v>
      </c>
      <c r="I83" s="30" t="n">
        <v>0</v>
      </c>
      <c r="J83" s="31">
        <f>IF(H83="","",H83-I83)</f>
        <v/>
      </c>
      <c r="K83" s="32" t="n">
        <v>46133</v>
      </c>
      <c r="L83" s="32">
        <f>IF(OR(K83="",$F83=""),"",DATE(YEAR(K83),MONTH(K83)+VLOOKUP($F83,'Membership Level'!$A$3:$B$15,2,FALSE),DAY(K83)))</f>
        <v/>
      </c>
      <c r="M83" s="33" t="n">
        <v>3</v>
      </c>
      <c r="N83" s="34">
        <f>IF($L83="","",DATE(YEAR($L83),MONTH($L83),DAY($L83)-$M83))</f>
        <v/>
      </c>
      <c r="O83" s="33">
        <f>IF($L83="","",IF(DAYS360(NOW(),$L83)&gt;=0,DAYS360(NOW(),$L83),""))</f>
        <v/>
      </c>
      <c r="P83" s="34">
        <f>IF(OR(H83="",H83=0,F83="",K83=""),"",I83/H83*VLOOKUP(F83,'Membership Level'!$A$3:$C$15,3,FALSE)+K83)</f>
        <v/>
      </c>
      <c r="Q83" s="36" t="n"/>
    </row>
    <row r="84">
      <c r="A84" s="16" t="inlineStr">
        <is>
          <t>CAP/SW/473</t>
        </is>
      </c>
      <c r="B84" s="33" t="n"/>
      <c r="C84" s="42" t="n"/>
      <c r="D84" s="42" t="n"/>
      <c r="E84" s="17" t="n"/>
      <c r="F84" s="42" t="n"/>
      <c r="G84" s="42" t="n"/>
      <c r="H84" s="30" t="n">
        <v>0</v>
      </c>
      <c r="I84" s="30" t="n">
        <v>0</v>
      </c>
      <c r="J84" s="31">
        <f>IF(H84="","",H84-I84)</f>
        <v/>
      </c>
      <c r="K84" s="43" t="n"/>
      <c r="L84" s="32">
        <f>IF(OR(K84="",$F84=""),"",DATE(YEAR(K84),MONTH(K84)+VLOOKUP($F84,'Membership Level'!$A$3:$B$15,2,FALSE),DAY(K84)))</f>
        <v/>
      </c>
      <c r="M84" s="33" t="n">
        <v>3</v>
      </c>
      <c r="N84" s="34">
        <f>IF($L84="","",DATE(YEAR($L84),MONTH($L84),DAY($L84)-$M84))</f>
        <v/>
      </c>
      <c r="O84" s="33">
        <f>IF($L84="","",IF(DAYS360(NOW(),$L84)&gt;=0,DAYS360(NOW(),$L84),""))</f>
        <v/>
      </c>
      <c r="P84" s="34">
        <f>IF(OR(H84="",H84=0,F84="",K84=""),"",I84/H84*VLOOKUP(F84,'Membership Level'!$A$3:$C$15,3,FALSE)+K84)</f>
        <v/>
      </c>
      <c r="Q84" s="36" t="n"/>
    </row>
    <row r="85">
      <c r="A85" s="16" t="inlineStr">
        <is>
          <t>CAP/SW/474</t>
        </is>
      </c>
      <c r="B85" s="33" t="n"/>
      <c r="C85" s="42" t="n"/>
      <c r="D85" s="42" t="n"/>
      <c r="E85" s="17" t="n"/>
      <c r="F85" s="42" t="n"/>
      <c r="G85" s="42" t="n"/>
      <c r="H85" s="30" t="n">
        <v>0</v>
      </c>
      <c r="I85" s="30" t="n">
        <v>0</v>
      </c>
      <c r="J85" s="31">
        <f>IF(H85="","",H85-I85)</f>
        <v/>
      </c>
      <c r="K85" s="43" t="n"/>
      <c r="L85" s="32">
        <f>IF(OR(K85="",$F85=""),"",DATE(YEAR(K85),MONTH(K85)+VLOOKUP($F85,'Membership Level'!$A$3:$B$15,2,FALSE),DAY(K85)))</f>
        <v/>
      </c>
      <c r="M85" s="36" t="n"/>
      <c r="N85" s="34">
        <f>IF($L85="","",DATE(YEAR($L85),MONTH($L85),DAY($L85)-$M85))</f>
        <v/>
      </c>
      <c r="O85" s="33">
        <f>IF($L85="","",IF(DAYS360(NOW(),$L85)&gt;=0,DAYS360(NOW(),$L85),""))</f>
        <v/>
      </c>
      <c r="P85" s="34">
        <f>IF(OR(H85="",H85=0,F85="",K85=""),"",I85/H85*VLOOKUP(F85,'Membership Level'!$A$3:$C$15,3,FALSE)+K85)</f>
        <v/>
      </c>
      <c r="Q85" s="36" t="n"/>
    </row>
    <row r="86">
      <c r="A86" s="16" t="inlineStr">
        <is>
          <t>CAP/SW/475</t>
        </is>
      </c>
      <c r="B86" s="33" t="n"/>
      <c r="C86" s="36" t="n"/>
      <c r="D86" s="36" t="n"/>
      <c r="E86" s="54" t="n"/>
      <c r="F86" s="36" t="n"/>
      <c r="G86" s="36" t="n"/>
      <c r="H86" s="30" t="n">
        <v>0</v>
      </c>
      <c r="I86" s="30" t="n">
        <v>0</v>
      </c>
      <c r="J86" s="31">
        <f>IF(H86="","",H86-I86)</f>
        <v/>
      </c>
      <c r="K86" s="43" t="n"/>
      <c r="L86" s="32">
        <f>IF(OR(K86="",$F86=""),"",DATE(YEAR(K86),MONTH(K86)+VLOOKUP($F86,'Membership Level'!$A$3:$B$15,2,FALSE),DAY(K86)))</f>
        <v/>
      </c>
      <c r="M86" s="36" t="n"/>
      <c r="N86" s="34">
        <f>IF($L86="","",DATE(YEAR($L86),MONTH($L86),DAY($L86)-$M86))</f>
        <v/>
      </c>
      <c r="O86" s="33">
        <f>IF($L86="","",IF(DAYS360(NOW(),$L86)&gt;=0,DAYS360(NOW(),$L86),""))</f>
        <v/>
      </c>
      <c r="P86" s="34">
        <f>IF(OR(H86="",H86=0,F86="",K86=""),"",I86/H86*VLOOKUP(F86,'Membership Level'!$A$3:$C$15,3,FALSE)+K86)</f>
        <v/>
      </c>
      <c r="Q86" s="36" t="n"/>
    </row>
    <row r="87">
      <c r="A87" s="16" t="inlineStr">
        <is>
          <t>CAP/SW/476</t>
        </is>
      </c>
      <c r="B87" s="33" t="n"/>
      <c r="C87" s="36" t="n"/>
      <c r="D87" s="36" t="n"/>
      <c r="E87" s="54" t="n"/>
      <c r="F87" s="36" t="n"/>
      <c r="G87" s="36" t="n"/>
      <c r="H87" s="30" t="n">
        <v>0</v>
      </c>
      <c r="I87" s="30" t="n">
        <v>0</v>
      </c>
      <c r="J87" s="31">
        <f>IF(H87="","",H87-I87)</f>
        <v/>
      </c>
      <c r="K87" s="43" t="n"/>
      <c r="L87" s="32">
        <f>IF(OR(K87="",$F87=""),"",DATE(YEAR(K87),MONTH(K87)+VLOOKUP($F87,'Membership Level'!$A$3:$B$15,2,FALSE),DAY(K87)))</f>
        <v/>
      </c>
      <c r="M87" s="36" t="n"/>
      <c r="N87" s="34">
        <f>IF($L87="","",DATE(YEAR($L87),MONTH($L87),DAY($L87)-$M87))</f>
        <v/>
      </c>
      <c r="O87" s="33">
        <f>IF($L87="","",IF(DAYS360(NOW(),$L87)&gt;=0,DAYS360(NOW(),$L87),""))</f>
        <v/>
      </c>
      <c r="P87" s="34">
        <f>IF(OR(H87="",H87=0,F87="",K87=""),"",I87/H87*VLOOKUP(F87,'Membership Level'!$A$3:$C$15,3,FALSE)+K87)</f>
        <v/>
      </c>
      <c r="Q87" s="36" t="n"/>
    </row>
    <row r="88">
      <c r="A88" s="16" t="inlineStr">
        <is>
          <t>CAP/SW/477</t>
        </is>
      </c>
      <c r="B88" s="33" t="n"/>
      <c r="C88" s="36" t="n"/>
      <c r="D88" s="36" t="n"/>
      <c r="E88" s="54" t="n"/>
      <c r="F88" s="36" t="n"/>
      <c r="G88" s="36" t="n"/>
      <c r="H88" s="30" t="n">
        <v>0</v>
      </c>
      <c r="I88" s="30" t="n">
        <v>0</v>
      </c>
      <c r="J88" s="31">
        <f>IF(H88="","",H88-I88)</f>
        <v/>
      </c>
      <c r="K88" s="43" t="n"/>
      <c r="L88" s="32">
        <f>IF(OR(K88="",$F88=""),"",DATE(YEAR(K88),MONTH(K88)+VLOOKUP($F88,'Membership Level'!$A$3:$B$15,2,FALSE),DAY(K88)))</f>
        <v/>
      </c>
      <c r="M88" s="36" t="n"/>
      <c r="N88" s="34">
        <f>IF($L88="","",DATE(YEAR($L88),MONTH($L88),DAY($L88)-$M88))</f>
        <v/>
      </c>
      <c r="O88" s="33">
        <f>IF($L88="","",IF(DAYS360(NOW(),$L88)&gt;=0,DAYS360(NOW(),$L88),""))</f>
        <v/>
      </c>
      <c r="P88" s="34">
        <f>IF(OR(H88="",H88=0,F88="",K88=""),"",I88/H88*VLOOKUP(F88,'Membership Level'!$A$3:$C$15,3,FALSE)+K88)</f>
        <v/>
      </c>
      <c r="Q88" s="36" t="n"/>
    </row>
    <row r="89">
      <c r="A89" s="16" t="inlineStr">
        <is>
          <t>CAP/SW/478</t>
        </is>
      </c>
      <c r="B89" s="33" t="n"/>
      <c r="C89" s="36" t="n"/>
      <c r="D89" s="36" t="n"/>
      <c r="E89" s="54" t="n"/>
      <c r="F89" s="36" t="n"/>
      <c r="G89" s="36" t="n"/>
      <c r="H89" s="30" t="n">
        <v>0</v>
      </c>
      <c r="I89" s="30" t="n">
        <v>0</v>
      </c>
      <c r="J89" s="31">
        <f>IF(H89="","",H89-I89)</f>
        <v/>
      </c>
      <c r="K89" s="43" t="n"/>
      <c r="L89" s="32">
        <f>IF(OR(K89="",$F89=""),"",DATE(YEAR(K89),MONTH(K89)+VLOOKUP($F89,'Membership Level'!$A$3:$B$15,2,FALSE),DAY(K89)))</f>
        <v/>
      </c>
      <c r="M89" s="36" t="n"/>
      <c r="N89" s="34">
        <f>IF($L89="","",DATE(YEAR($L89),MONTH($L89),DAY($L89)-$M89))</f>
        <v/>
      </c>
      <c r="O89" s="33">
        <f>IF($L89="","",IF(DAYS360(NOW(),$L89)&gt;=0,DAYS360(NOW(),$L89),""))</f>
        <v/>
      </c>
      <c r="P89" s="34">
        <f>IF(OR(H89="",H89=0,F89="",K89=""),"",I89/H89*VLOOKUP(F89,'Membership Level'!$A$3:$C$15,3,FALSE)+K89)</f>
        <v/>
      </c>
      <c r="Q89" s="36" t="n"/>
    </row>
    <row r="90">
      <c r="A90" s="16" t="inlineStr">
        <is>
          <t>CAP/SW/479</t>
        </is>
      </c>
      <c r="B90" s="33" t="n"/>
      <c r="C90" s="36" t="n"/>
      <c r="D90" s="36" t="n"/>
      <c r="E90" s="54" t="n"/>
      <c r="F90" s="36" t="n"/>
      <c r="G90" s="36" t="n"/>
      <c r="H90" s="30" t="n">
        <v>0</v>
      </c>
      <c r="I90" s="30" t="n">
        <v>0</v>
      </c>
      <c r="J90" s="31">
        <f>IF(H90="","",H90-I90)</f>
        <v/>
      </c>
      <c r="K90" s="43" t="n"/>
      <c r="L90" s="32">
        <f>IF(OR(K90="",$F90=""),"",DATE(YEAR(K90),MONTH(K90)+VLOOKUP($F90,'Membership Level'!$A$3:$B$15,2,FALSE),DAY(K90)))</f>
        <v/>
      </c>
      <c r="M90" s="36" t="n"/>
      <c r="N90" s="34">
        <f>IF($L90="","",DATE(YEAR($L90),MONTH($L90),DAY($L90)-$M90))</f>
        <v/>
      </c>
      <c r="O90" s="33">
        <f>IF($L90="","",IF(DAYS360(NOW(),$L90)&gt;=0,DAYS360(NOW(),$L90),""))</f>
        <v/>
      </c>
      <c r="P90" s="34">
        <f>IF(OR(H90="",H90=0,F90="",K90=""),"",I90/H90*VLOOKUP(F90,'Membership Level'!$A$3:$C$15,3,FALSE)+K90)</f>
        <v/>
      </c>
      <c r="Q90" s="36" t="n"/>
    </row>
    <row r="91">
      <c r="A91" s="16" t="inlineStr">
        <is>
          <t>CAP/SW/480</t>
        </is>
      </c>
      <c r="B91" s="33" t="n"/>
      <c r="C91" s="36" t="n"/>
      <c r="D91" s="36" t="n"/>
      <c r="E91" s="54" t="n"/>
      <c r="F91" s="36" t="n"/>
      <c r="G91" s="36" t="n"/>
      <c r="H91" s="30" t="n">
        <v>0</v>
      </c>
      <c r="I91" s="30" t="n">
        <v>0</v>
      </c>
      <c r="J91" s="31">
        <f>IF(H91="","",H91-I91)</f>
        <v/>
      </c>
      <c r="K91" s="43" t="n"/>
      <c r="L91" s="32">
        <f>IF(OR(K91="",$F91=""),"",DATE(YEAR(K91),MONTH(K91)+VLOOKUP($F91,'Membership Level'!$A$3:$B$15,2,FALSE),DAY(K91)))</f>
        <v/>
      </c>
      <c r="M91" s="36" t="n"/>
      <c r="N91" s="34">
        <f>IF($L91="","",DATE(YEAR($L91),MONTH($L91),DAY($L91)-$M91))</f>
        <v/>
      </c>
      <c r="O91" s="33">
        <f>IF($L91="","",IF(DAYS360(NOW(),$L91)&gt;=0,DAYS360(NOW(),$L91),""))</f>
        <v/>
      </c>
      <c r="P91" s="34">
        <f>IF(OR(H91="",H91=0,F91="",K91=""),"",I91/H91*VLOOKUP(F91,'Membership Level'!$A$3:$C$15,3,FALSE)+K91)</f>
        <v/>
      </c>
      <c r="Q91" s="36" t="n"/>
    </row>
    <row r="92">
      <c r="A92" s="16" t="inlineStr">
        <is>
          <t>CAP/SW/481</t>
        </is>
      </c>
      <c r="B92" s="33" t="n"/>
      <c r="C92" s="36" t="n"/>
      <c r="D92" s="36" t="n"/>
      <c r="E92" s="54" t="n"/>
      <c r="F92" s="36" t="n"/>
      <c r="G92" s="36" t="n"/>
      <c r="H92" s="30" t="n">
        <v>0</v>
      </c>
      <c r="I92" s="30" t="n">
        <v>0</v>
      </c>
      <c r="J92" s="31">
        <f>IF(H92="","",H92-I92)</f>
        <v/>
      </c>
      <c r="K92" s="43" t="n"/>
      <c r="L92" s="32">
        <f>IF(OR(K92="",$F92=""),"",DATE(YEAR(K92),MONTH(K92)+VLOOKUP($F92,'Membership Level'!$A$3:$B$15,2,FALSE),DAY(K92)))</f>
        <v/>
      </c>
      <c r="M92" s="36" t="n"/>
      <c r="N92" s="34">
        <f>IF($L92="","",DATE(YEAR($L92),MONTH($L92),DAY($L92)-$M92))</f>
        <v/>
      </c>
      <c r="O92" s="33">
        <f>IF($L92="","",IF(DAYS360(NOW(),$L92)&gt;=0,DAYS360(NOW(),$L92),""))</f>
        <v/>
      </c>
      <c r="P92" s="34">
        <f>IF(OR(H92="",H92=0,F92="",K92=""),"",I92/H92*VLOOKUP(F92,'Membership Level'!$A$3:$C$15,3,FALSE)+K92)</f>
        <v/>
      </c>
      <c r="Q92" s="36" t="n"/>
    </row>
    <row r="93">
      <c r="A93" s="16" t="inlineStr">
        <is>
          <t>CAP/SW/482</t>
        </is>
      </c>
      <c r="B93" s="33" t="n"/>
      <c r="C93" s="36" t="n"/>
      <c r="D93" s="36" t="n"/>
      <c r="E93" s="55" t="n"/>
      <c r="F93" s="36" t="n"/>
      <c r="G93" s="36" t="n"/>
      <c r="H93" s="30" t="n">
        <v>0</v>
      </c>
      <c r="I93" s="30" t="n">
        <v>0</v>
      </c>
      <c r="J93" s="31">
        <f>IF(H93="","",H93-I93)</f>
        <v/>
      </c>
      <c r="K93" s="43" t="n"/>
      <c r="L93" s="32">
        <f>IF(OR(K93="",$F93=""),"",DATE(YEAR(K93),MONTH(K93)+VLOOKUP($F93,'Membership Level'!$A$3:$B$15,2,FALSE),DAY(K93)))</f>
        <v/>
      </c>
      <c r="M93" s="36" t="n"/>
      <c r="N93" s="34">
        <f>IF($L93="","",DATE(YEAR($L93),MONTH($L93),DAY($L93)-$M93))</f>
        <v/>
      </c>
      <c r="O93" s="33">
        <f>IF($L93="","",IF(DAYS360(NOW(),$L93)&gt;=0,DAYS360(NOW(),$L93),""))</f>
        <v/>
      </c>
      <c r="P93" s="34">
        <f>IF(OR(H93="",H93=0,F93="",K93=""),"",I93/H93*VLOOKUP(F93,'Membership Level'!$A$3:$C$15,3,FALSE)+K93)</f>
        <v/>
      </c>
      <c r="Q93" s="36" t="n"/>
    </row>
    <row r="94">
      <c r="A94" s="16" t="inlineStr">
        <is>
          <t>CAP/SW/483</t>
        </is>
      </c>
      <c r="B94" s="33" t="n"/>
      <c r="C94" s="36" t="n"/>
      <c r="D94" s="36" t="n"/>
      <c r="E94" s="54" t="n"/>
      <c r="F94" s="33" t="n"/>
      <c r="G94" s="36" t="n"/>
      <c r="H94" s="30" t="n">
        <v>0</v>
      </c>
      <c r="I94" s="30" t="n">
        <v>0</v>
      </c>
      <c r="J94" s="31">
        <f>IF(H94="","",H94-I94)</f>
        <v/>
      </c>
      <c r="K94" s="43" t="n"/>
      <c r="L94" s="32">
        <f>IF(OR(K94="",$F94=""),"",DATE(YEAR(K94),MONTH(K94)+VLOOKUP($F94,'Membership Level'!$A$3:$B$15,2,FALSE),DAY(K94)))</f>
        <v/>
      </c>
      <c r="M94" s="36" t="n"/>
      <c r="N94" s="34">
        <f>IF($L94="","",DATE(YEAR($L94),MONTH($L94),DAY($L94)-$M94))</f>
        <v/>
      </c>
      <c r="O94" s="33">
        <f>IF($L94="","",IF(DAYS360(NOW(),$L94)&gt;=0,DAYS360(NOW(),$L94),""))</f>
        <v/>
      </c>
      <c r="P94" s="34">
        <f>IF(OR(H94="",H94=0,F94="",K94=""),"",I94/H94*VLOOKUP(F94,'Membership Level'!$A$3:$C$15,3,FALSE)+K94)</f>
        <v/>
      </c>
      <c r="Q94" s="36" t="n"/>
    </row>
    <row r="95">
      <c r="A95" s="16" t="inlineStr">
        <is>
          <t>CAP/SW/484</t>
        </is>
      </c>
      <c r="B95" s="33" t="n"/>
      <c r="C95" s="36" t="n"/>
      <c r="D95" s="36" t="n"/>
      <c r="E95" s="55" t="n"/>
      <c r="F95" s="36" t="n"/>
      <c r="G95" s="36" t="n"/>
      <c r="H95" s="30" t="n">
        <v>0</v>
      </c>
      <c r="I95" s="30" t="n">
        <v>0</v>
      </c>
      <c r="J95" s="31">
        <f>IF(H95="","",H95-I95)</f>
        <v/>
      </c>
      <c r="K95" s="43" t="n"/>
      <c r="L95" s="32">
        <f>IF(OR(K95="",$F95=""),"",DATE(YEAR(K95),MONTH(K95)+VLOOKUP($F95,'Membership Level'!$A$3:$B$15,2,FALSE),DAY(K95)))</f>
        <v/>
      </c>
      <c r="M95" s="36" t="n"/>
      <c r="N95" s="34">
        <f>IF($L95="","",DATE(YEAR($L95),MONTH($L95),DAY($L95)-$M95))</f>
        <v/>
      </c>
      <c r="O95" s="33">
        <f>IF($L95="","",IF(DAYS360(NOW(),$L95)&gt;=0,DAYS360(NOW(),$L95),""))</f>
        <v/>
      </c>
      <c r="P95" s="34">
        <f>IF(OR(H95="",H95=0,F95="",K95=""),"",I95/H95*VLOOKUP(F95,'Membership Level'!$A$3:$C$15,3,FALSE)+K95)</f>
        <v/>
      </c>
      <c r="Q95" s="36" t="n"/>
    </row>
    <row r="96" customFormat="1" s="22">
      <c r="A96" s="16" t="inlineStr">
        <is>
          <t>CAP/SW/485</t>
        </is>
      </c>
      <c r="B96" s="33" t="n"/>
      <c r="C96" s="33" t="n"/>
      <c r="D96" s="33" t="n"/>
      <c r="E96" s="54" t="n"/>
      <c r="F96" s="36" t="n"/>
      <c r="G96" s="33" t="n"/>
      <c r="H96" s="30" t="n">
        <v>0</v>
      </c>
      <c r="I96" s="30" t="n">
        <v>0</v>
      </c>
      <c r="J96" s="31">
        <f>IF(H96="","",H96-I96)</f>
        <v/>
      </c>
      <c r="K96" s="32" t="n"/>
      <c r="L96" s="32">
        <f>IF(OR(K96="",$F96=""),"",DATE(YEAR(K96),MONTH(K96)+VLOOKUP($F96,'Membership Level'!$A$3:$B$15,2,FALSE),DAY(K96)))</f>
        <v/>
      </c>
      <c r="M96" s="33" t="n"/>
      <c r="N96" s="34">
        <f>IF($L96="","",DATE(YEAR($L96),MONTH($L96),DAY($L96)-$M96))</f>
        <v/>
      </c>
      <c r="O96" s="33">
        <f>IF($L96="","",IF(DAYS360(NOW(),$L96)&gt;=0,DAYS360(NOW(),$L96),""))</f>
        <v/>
      </c>
      <c r="P96" s="34">
        <f>IF(OR(H96="",H96=0,F96="",K96=""),"",I96/H96*VLOOKUP(F96,'Membership Level'!$A$3:$C$15,3,FALSE)+K96)</f>
        <v/>
      </c>
      <c r="Q96" s="33" t="n"/>
    </row>
    <row r="97">
      <c r="A97" s="16" t="inlineStr">
        <is>
          <t>CAP/SW/486</t>
        </is>
      </c>
      <c r="B97" s="33" t="n"/>
      <c r="C97" s="36" t="n"/>
      <c r="D97" s="36" t="n"/>
      <c r="E97" s="54" t="n"/>
      <c r="F97" s="36" t="n"/>
      <c r="G97" s="36" t="n"/>
      <c r="H97" s="30" t="n">
        <v>0</v>
      </c>
      <c r="I97" s="30" t="n">
        <v>0</v>
      </c>
      <c r="J97" s="31">
        <f>IF(H97="","",H97-I97)</f>
        <v/>
      </c>
      <c r="K97" s="43" t="n"/>
      <c r="L97" s="32">
        <f>IF(OR(K97="",$F97=""),"",DATE(YEAR(K97),MONTH(K97)+VLOOKUP($F97,'Membership Level'!$A$3:$B$15,2,FALSE),DAY(K97)))</f>
        <v/>
      </c>
      <c r="M97" s="36" t="n"/>
      <c r="N97" s="34">
        <f>IF($L97="","",DATE(YEAR($L97),MONTH($L97),DAY($L97)-$M97))</f>
        <v/>
      </c>
      <c r="O97" s="33">
        <f>IF($L97="","",IF(DAYS360(NOW(),$L97)&gt;=0,DAYS360(NOW(),$L97),""))</f>
        <v/>
      </c>
      <c r="P97" s="34">
        <f>IF(OR(H97="",H97=0,F97="",K97=""),"",I97/H97*VLOOKUP(F97,'Membership Level'!$A$3:$C$15,3,FALSE)+K97)</f>
        <v/>
      </c>
      <c r="Q97" s="36" t="n"/>
    </row>
    <row r="98">
      <c r="A98" s="16" t="inlineStr">
        <is>
          <t>CAP/SW/487</t>
        </is>
      </c>
      <c r="B98" s="33" t="n"/>
      <c r="C98" s="36" t="n"/>
      <c r="D98" s="36" t="n"/>
      <c r="E98" s="54" t="n"/>
      <c r="F98" s="36" t="n"/>
      <c r="G98" s="36" t="n"/>
      <c r="H98" s="30" t="n">
        <v>0</v>
      </c>
      <c r="I98" s="30" t="n">
        <v>0</v>
      </c>
      <c r="J98" s="31">
        <f>IF(H98="","",H98-I98)</f>
        <v/>
      </c>
      <c r="K98" s="43" t="n"/>
      <c r="L98" s="32">
        <f>IF(OR(K98="",$F98=""),"",DATE(YEAR(K98),MONTH(K98)+VLOOKUP($F98,'Membership Level'!$A$3:$B$15,2,FALSE),DAY(K98)))</f>
        <v/>
      </c>
      <c r="M98" s="36" t="n"/>
      <c r="N98" s="34">
        <f>IF($L98="","",DATE(YEAR($L98),MONTH($L98),DAY($L98)-$M98))</f>
        <v/>
      </c>
      <c r="O98" s="33">
        <f>IF($L98="","",IF(DAYS360(NOW(),$L98)&gt;=0,DAYS360(NOW(),$L98),""))</f>
        <v/>
      </c>
      <c r="P98" s="34">
        <f>IF(OR(H98="",H98=0,F98="",K98=""),"",I98/H98*VLOOKUP(F98,'Membership Level'!$A$3:$C$15,3,FALSE)+K98)</f>
        <v/>
      </c>
      <c r="Q98" s="36" t="n"/>
    </row>
    <row r="99">
      <c r="A99" s="16" t="inlineStr">
        <is>
          <t>CAP/SW/488</t>
        </is>
      </c>
      <c r="B99" s="33" t="n"/>
      <c r="C99" s="36" t="n"/>
      <c r="D99" s="36" t="n"/>
      <c r="E99" s="54" t="n"/>
      <c r="F99" s="36" t="n"/>
      <c r="G99" s="36" t="n"/>
      <c r="H99" s="30" t="n">
        <v>0</v>
      </c>
      <c r="I99" s="30" t="n">
        <v>0</v>
      </c>
      <c r="J99" s="31">
        <f>IF(H99="","",H99-I99)</f>
        <v/>
      </c>
      <c r="K99" s="43" t="n"/>
      <c r="L99" s="32">
        <f>IF(OR(K99="",$F99=""),"",DATE(YEAR(K99),MONTH(K99)+VLOOKUP($F99,'Membership Level'!$A$3:$B$15,2,FALSE),DAY(K99)))</f>
        <v/>
      </c>
      <c r="M99" s="36" t="n"/>
      <c r="N99" s="34">
        <f>IF($L99="","",DATE(YEAR($L99),MONTH($L99),DAY($L99)-$M99))</f>
        <v/>
      </c>
      <c r="O99" s="33">
        <f>IF($L99="","",IF(DAYS360(NOW(),$L99)&gt;=0,DAYS360(NOW(),$L99),""))</f>
        <v/>
      </c>
      <c r="P99" s="34">
        <f>IF(OR(H99="",H99=0,F99="",K99=""),"",I99/H99*VLOOKUP(F99,'Membership Level'!$A$3:$C$15,3,FALSE)+K99)</f>
        <v/>
      </c>
      <c r="Q99" s="36" t="n"/>
    </row>
    <row r="100">
      <c r="A100" s="16" t="inlineStr">
        <is>
          <t>CAP/SW/489</t>
        </is>
      </c>
      <c r="B100" s="33" t="n"/>
      <c r="C100" s="36" t="n"/>
      <c r="D100" s="36" t="n"/>
      <c r="E100" s="54" t="n"/>
      <c r="F100" s="36" t="n"/>
      <c r="G100" s="36" t="n"/>
      <c r="H100" s="30" t="n">
        <v>0</v>
      </c>
      <c r="I100" s="30" t="n">
        <v>0</v>
      </c>
      <c r="J100" s="31">
        <f>IF(H100="","",H100-I100)</f>
        <v/>
      </c>
      <c r="K100" s="43" t="n"/>
      <c r="L100" s="32">
        <f>IF(OR(K100="",$F100=""),"",DATE(YEAR(K100),MONTH(K100)+VLOOKUP($F100,'Membership Level'!$A$3:$B$15,2,FALSE),DAY(K100)))</f>
        <v/>
      </c>
      <c r="M100" s="36" t="n"/>
      <c r="N100" s="34">
        <f>IF($L100="","",DATE(YEAR($L100),MONTH($L100),DAY($L100)-$M100))</f>
        <v/>
      </c>
      <c r="O100" s="33">
        <f>IF($L100="","",IF(DAYS360(NOW(),$L100)&gt;=0,DAYS360(NOW(),$L100),""))</f>
        <v/>
      </c>
      <c r="P100" s="34">
        <f>IF(OR(H100="",H100=0,F100="",K100=""),"",I100/H100*VLOOKUP(F100,'Membership Level'!$A$3:$C$15,3,FALSE)+K100)</f>
        <v/>
      </c>
      <c r="Q100" s="36" t="n"/>
    </row>
    <row r="101">
      <c r="A101" s="16" t="inlineStr">
        <is>
          <t>CAP/SW/490</t>
        </is>
      </c>
      <c r="B101" s="33" t="n"/>
      <c r="C101" s="36" t="n"/>
      <c r="D101" s="36" t="n"/>
      <c r="E101" s="54" t="n"/>
      <c r="F101" s="33" t="n"/>
      <c r="G101" s="36" t="n"/>
      <c r="H101" s="30" t="n">
        <v>0</v>
      </c>
      <c r="I101" s="30" t="n">
        <v>0</v>
      </c>
      <c r="J101" s="31">
        <f>IF(H101="","",H101-I101)</f>
        <v/>
      </c>
      <c r="K101" s="43" t="n"/>
      <c r="L101" s="32">
        <f>IF(OR(K101="",$F101=""),"",DATE(YEAR(K101),MONTH(K101)+VLOOKUP($F101,'Membership Level'!$A$3:$B$15,2,FALSE),DAY(K101)))</f>
        <v/>
      </c>
      <c r="M101" s="36" t="n"/>
      <c r="N101" s="34">
        <f>IF($L101="","",DATE(YEAR($L101),MONTH($L101),DAY($L101)-$M101))</f>
        <v/>
      </c>
      <c r="O101" s="33">
        <f>IF($L101="","",IF(DAYS360(NOW(),$L101)&gt;=0,DAYS360(NOW(),$L101),""))</f>
        <v/>
      </c>
      <c r="P101" s="34">
        <f>IF(OR(H101="",H101=0,F101="",K101=""),"",I101/H101*VLOOKUP(F101,'Membership Level'!$A$3:$C$15,3,FALSE)+K101)</f>
        <v/>
      </c>
      <c r="Q101" s="36" t="n"/>
    </row>
    <row r="102">
      <c r="A102" s="16" t="inlineStr">
        <is>
          <t>CAP/SW/491</t>
        </is>
      </c>
      <c r="B102" s="33" t="n"/>
      <c r="C102" s="36" t="n"/>
      <c r="D102" s="36" t="n"/>
      <c r="E102" s="55" t="n"/>
      <c r="F102" s="33" t="n"/>
      <c r="G102" s="36" t="n"/>
      <c r="H102" s="30" t="n">
        <v>0</v>
      </c>
      <c r="I102" s="30" t="n">
        <v>0</v>
      </c>
      <c r="J102" s="31">
        <f>IF(H102="","",H102-I102)</f>
        <v/>
      </c>
      <c r="K102" s="43" t="n"/>
      <c r="L102" s="32">
        <f>IF(OR(K102="",$F102=""),"",DATE(YEAR(K102),MONTH(K102)+VLOOKUP($F102,'Membership Level'!$A$3:$B$15,2,FALSE),DAY(K102)))</f>
        <v/>
      </c>
      <c r="M102" s="36" t="n"/>
      <c r="N102" s="34">
        <f>IF($L102="","",DATE(YEAR($L102),MONTH($L102),DAY($L102)-$M102))</f>
        <v/>
      </c>
      <c r="O102" s="33">
        <f>IF($L102="","",IF(DAYS360(NOW(),$L102)&gt;=0,DAYS360(NOW(),$L102),""))</f>
        <v/>
      </c>
      <c r="P102" s="34">
        <f>IF(OR(H102="",H102=0,F102="",K102=""),"",I102/H102*VLOOKUP(F102,'Membership Level'!$A$3:$C$15,3,FALSE)+K102)</f>
        <v/>
      </c>
      <c r="Q102" s="36" t="n"/>
    </row>
    <row r="103" customFormat="1" s="22">
      <c r="A103" s="16" t="inlineStr">
        <is>
          <t>CAP/SW/492</t>
        </is>
      </c>
      <c r="B103" s="33" t="n"/>
      <c r="C103" s="33" t="n"/>
      <c r="D103" s="33" t="n"/>
      <c r="E103" s="55" t="n"/>
      <c r="F103" s="33" t="n"/>
      <c r="G103" s="33" t="n"/>
      <c r="H103" s="30" t="n">
        <v>0</v>
      </c>
      <c r="I103" s="30" t="n">
        <v>0</v>
      </c>
      <c r="J103" s="31">
        <f>IF(H103="","",H103-I103)</f>
        <v/>
      </c>
      <c r="K103" s="32" t="n"/>
      <c r="L103" s="32">
        <f>IF(OR(K103="",$F103=""),"",DATE(YEAR(K103),MONTH(K103)+VLOOKUP($F103,'Membership Level'!$A$3:$B$15,2,FALSE),DAY(K103)))</f>
        <v/>
      </c>
      <c r="M103" s="33" t="n"/>
      <c r="N103" s="34">
        <f>IF($L103="","",DATE(YEAR($L103),MONTH($L103),DAY($L103)-$M103))</f>
        <v/>
      </c>
      <c r="O103" s="33">
        <f>IF($L103="","",IF(DAYS360(NOW(),$L103)&gt;=0,DAYS360(NOW(),$L103),""))</f>
        <v/>
      </c>
      <c r="P103" s="34">
        <f>IF(OR(H103="",H103=0,F103="",K103=""),"",I103/H103*VLOOKUP(F103,'Membership Level'!$A$3:$C$15,3,FALSE)+K103)</f>
        <v/>
      </c>
      <c r="Q103" s="33" t="n"/>
    </row>
    <row r="104" customFormat="1" s="22">
      <c r="A104" s="33" t="n"/>
      <c r="B104" s="33" t="n"/>
      <c r="C104" s="33" t="n"/>
      <c r="D104" s="33" t="n"/>
      <c r="E104" s="55" t="n"/>
      <c r="F104" s="33" t="n"/>
      <c r="G104" s="33" t="n"/>
      <c r="H104" s="30" t="n">
        <v>0</v>
      </c>
      <c r="I104" s="30" t="n">
        <v>0</v>
      </c>
      <c r="J104" s="31">
        <f>IF(H104="","",H104-I104)</f>
        <v/>
      </c>
      <c r="K104" s="32" t="n"/>
      <c r="L104" s="32">
        <f>IF(OR(K104="",$F104=""),"",DATE(YEAR(K104),MONTH(K104)+VLOOKUP($F104,'Membership Level'!$A$3:$B$15,2,FALSE),DAY(K104)))</f>
        <v/>
      </c>
      <c r="M104" s="33" t="n"/>
      <c r="N104" s="34">
        <f>IF($L104="","",DATE(YEAR($L104),MONTH($L104),DAY($L104)-$M104))</f>
        <v/>
      </c>
      <c r="O104" s="33">
        <f>IF($L104="","",IF(DAYS360(NOW(),$L104)&gt;=0,DAYS360(NOW(),$L104),""))</f>
        <v/>
      </c>
      <c r="P104" s="34">
        <f>IF(OR(H104="",H104=0,F104="",K104=""),"",I104/H104*VLOOKUP(F104,'Membership Level'!$A$3:$C$15,3,FALSE)+K104)</f>
        <v/>
      </c>
      <c r="Q104" s="33" t="n"/>
    </row>
    <row r="105" customFormat="1" s="22">
      <c r="A105" s="33" t="n"/>
      <c r="B105" s="33" t="n"/>
      <c r="C105" s="33" t="n"/>
      <c r="D105" s="33" t="n"/>
      <c r="E105" s="55" t="n"/>
      <c r="F105" s="36" t="n"/>
      <c r="G105" s="33" t="n"/>
      <c r="H105" s="30" t="n">
        <v>0</v>
      </c>
      <c r="I105" s="30" t="n">
        <v>0</v>
      </c>
      <c r="J105" s="31">
        <f>IF(H105="","",H105-I105)</f>
        <v/>
      </c>
      <c r="K105" s="32" t="n"/>
      <c r="L105" s="32">
        <f>IF(OR(K105="",$F105=""),"",DATE(YEAR(K105),MONTH(K105)+VLOOKUP($F105,'Membership Level'!$A$3:$B$15,2,FALSE),DAY(K105)))</f>
        <v/>
      </c>
      <c r="M105" s="33" t="n"/>
      <c r="N105" s="34">
        <f>IF($L105="","",DATE(YEAR($L105),MONTH($L105),DAY($L105)-$M105))</f>
        <v/>
      </c>
      <c r="O105" s="33">
        <f>IF($L105="","",IF(DAYS360(NOW(),$L105)&gt;=0,DAYS360(NOW(),$L105),""))</f>
        <v/>
      </c>
      <c r="P105" s="34">
        <f>IF(OR(H105="",H105=0,F105="",K105=""),"",I105/H105*VLOOKUP(F105,'Membership Level'!$A$3:$C$15,3,FALSE)+K105)</f>
        <v/>
      </c>
      <c r="Q105" s="33" t="n"/>
    </row>
    <row r="106" customFormat="1" s="22">
      <c r="A106" s="33" t="n"/>
      <c r="B106" s="33" t="n"/>
      <c r="C106" s="33" t="n"/>
      <c r="D106" s="33" t="n"/>
      <c r="E106" s="54" t="n"/>
      <c r="F106" s="36" t="n"/>
      <c r="G106" s="33" t="n"/>
      <c r="H106" s="30" t="n">
        <v>0</v>
      </c>
      <c r="I106" s="30" t="n">
        <v>0</v>
      </c>
      <c r="J106" s="31">
        <f>IF(H106="","",H106-I106)</f>
        <v/>
      </c>
      <c r="K106" s="32" t="n"/>
      <c r="L106" s="32">
        <f>IF(OR(K106="",$F106=""),"",DATE(YEAR(K106),MONTH(K106)+VLOOKUP($F106,'Membership Level'!$A$3:$B$15,2,FALSE),DAY(K106)))</f>
        <v/>
      </c>
      <c r="M106" s="33" t="n"/>
      <c r="N106" s="34">
        <f>IF($L106="","",DATE(YEAR($L106),MONTH($L106),DAY($L106)-$M106))</f>
        <v/>
      </c>
      <c r="O106" s="33">
        <f>IF($L106="","",IF(DAYS360(NOW(),$L106)&gt;=0,DAYS360(NOW(),$L106),""))</f>
        <v/>
      </c>
      <c r="P106" s="34">
        <f>IF(OR(H106="",H106=0,F106="",K106=""),"",I106/H106*VLOOKUP(F106,'Membership Level'!$A$3:$C$15,3,FALSE)+K106)</f>
        <v/>
      </c>
      <c r="Q106" s="33" t="n"/>
    </row>
    <row r="107">
      <c r="A107" s="33" t="n"/>
      <c r="B107" s="33" t="n"/>
      <c r="C107" s="36" t="n"/>
      <c r="D107" s="36" t="n"/>
      <c r="E107" s="54" t="n"/>
      <c r="F107" s="36" t="n"/>
      <c r="G107" s="36" t="n"/>
      <c r="H107" s="30" t="n">
        <v>0</v>
      </c>
      <c r="I107" s="30" t="n">
        <v>0</v>
      </c>
      <c r="J107" s="31">
        <f>IF(H107="","",H107-I107)</f>
        <v/>
      </c>
      <c r="K107" s="43" t="n"/>
      <c r="L107" s="32">
        <f>IF(OR(K107="",$F107=""),"",DATE(YEAR(K107),MONTH(K107)+VLOOKUP($F107,'Membership Level'!$A$3:$B$15,2,FALSE),DAY(K107)))</f>
        <v/>
      </c>
      <c r="M107" s="36" t="n"/>
      <c r="N107" s="34">
        <f>IF($L107="","",DATE(YEAR($L107),MONTH($L107),DAY($L107)-$M107))</f>
        <v/>
      </c>
      <c r="O107" s="33">
        <f>IF($L107="","",IF(DAYS360(NOW(),$L107)&gt;=0,DAYS360(NOW(),$L107),""))</f>
        <v/>
      </c>
      <c r="P107" s="34">
        <f>IF(OR(H107="",H107=0,F107="",K107=""),"",I107/H107*VLOOKUP(F107,'Membership Level'!$A$3:$C$15,3,FALSE)+K107)</f>
        <v/>
      </c>
      <c r="Q107" s="36" t="n"/>
    </row>
    <row r="108">
      <c r="A108" s="33" t="n"/>
      <c r="B108" s="33" t="n"/>
      <c r="C108" s="36" t="n"/>
      <c r="D108" s="36" t="n"/>
      <c r="E108" s="54" t="n"/>
      <c r="F108" s="36" t="n"/>
      <c r="G108" s="36" t="n"/>
      <c r="H108" s="30" t="n">
        <v>0</v>
      </c>
      <c r="I108" s="30" t="n">
        <v>0</v>
      </c>
      <c r="J108" s="31">
        <f>IF(H108="","",H108-I108)</f>
        <v/>
      </c>
      <c r="K108" s="43" t="n"/>
      <c r="L108" s="32">
        <f>IF(OR(K108="",$F108=""),"",DATE(YEAR(K108),MONTH(K108)+VLOOKUP($F108,'Membership Level'!$A$3:$B$15,2,FALSE),DAY(K108)))</f>
        <v/>
      </c>
      <c r="M108" s="36" t="n"/>
      <c r="N108" s="34">
        <f>IF($L108="","",DATE(YEAR($L108),MONTH($L108),DAY($L108)-$M108))</f>
        <v/>
      </c>
      <c r="O108" s="33">
        <f>IF($L108="","",IF(DAYS360(NOW(),$L108)&gt;=0,DAYS360(NOW(),$L108),""))</f>
        <v/>
      </c>
      <c r="P108" s="34">
        <f>IF(OR(H108="",H108=0,F108="",K108=""),"",I108/H108*VLOOKUP(F108,'Membership Level'!$A$3:$C$15,3,FALSE)+K108)</f>
        <v/>
      </c>
      <c r="Q108" s="36" t="n"/>
    </row>
    <row r="109">
      <c r="A109" s="33" t="n"/>
      <c r="B109" s="33" t="n"/>
      <c r="C109" s="36" t="n"/>
      <c r="D109" s="36" t="n"/>
      <c r="E109" s="54" t="n"/>
      <c r="F109" s="36" t="n"/>
      <c r="G109" s="36" t="n"/>
      <c r="H109" s="30" t="n">
        <v>0</v>
      </c>
      <c r="I109" s="30" t="n">
        <v>0</v>
      </c>
      <c r="J109" s="31">
        <f>IF(H109="","",H109-I109)</f>
        <v/>
      </c>
      <c r="K109" s="43" t="n"/>
      <c r="L109" s="32">
        <f>IF(OR(K109="",$F109=""),"",DATE(YEAR(K109),MONTH(K109)+VLOOKUP($F109,'Membership Level'!$A$3:$B$15,2,FALSE),DAY(K109)))</f>
        <v/>
      </c>
      <c r="M109" s="36" t="n"/>
      <c r="N109" s="34">
        <f>IF($L109="","",DATE(YEAR($L109),MONTH($L109),DAY($L109)-$M109))</f>
        <v/>
      </c>
      <c r="O109" s="33">
        <f>IF($L109="","",IF(DAYS360(NOW(),$L109)&gt;=0,DAYS360(NOW(),$L109),""))</f>
        <v/>
      </c>
      <c r="P109" s="34">
        <f>IF(OR(H109="",H109=0,F109="",K109=""),"",I109/H109*VLOOKUP(F109,'Membership Level'!$A$3:$C$15,3,FALSE)+K109)</f>
        <v/>
      </c>
      <c r="Q109" s="36" t="n"/>
    </row>
    <row r="110">
      <c r="A110" s="33" t="n"/>
      <c r="B110" s="33" t="n"/>
      <c r="C110" s="36" t="n"/>
      <c r="D110" s="36" t="n"/>
      <c r="E110" s="54" t="n"/>
      <c r="F110" s="36" t="n"/>
      <c r="G110" s="36" t="n"/>
      <c r="H110" s="30" t="n">
        <v>0</v>
      </c>
      <c r="I110" s="30" t="n">
        <v>0</v>
      </c>
      <c r="J110" s="31">
        <f>IF(H110="","",H110-I110)</f>
        <v/>
      </c>
      <c r="K110" s="43" t="n"/>
      <c r="L110" s="32">
        <f>IF(OR(K110="",$F110=""),"",DATE(YEAR(K110),MONTH(K110)+VLOOKUP($F110,'Membership Level'!$A$3:$B$15,2,FALSE),DAY(K110)))</f>
        <v/>
      </c>
      <c r="M110" s="36" t="n"/>
      <c r="N110" s="34">
        <f>IF($L110="","",DATE(YEAR($L110),MONTH($L110),DAY($L110)-$M110))</f>
        <v/>
      </c>
      <c r="O110" s="33">
        <f>IF($L110="","",IF(DAYS360(NOW(),$L110)&gt;=0,DAYS360(NOW(),$L110),""))</f>
        <v/>
      </c>
      <c r="P110" s="34">
        <f>IF(OR(H110="",H110=0,F110="",K110=""),"",I110/H110*VLOOKUP(F110,'Membership Level'!$A$3:$C$15,3,FALSE)+K110)</f>
        <v/>
      </c>
      <c r="Q110" s="36">
        <f>200*50</f>
        <v/>
      </c>
    </row>
    <row r="111">
      <c r="A111" s="33" t="n"/>
      <c r="B111" s="33" t="n"/>
      <c r="C111" s="36" t="n"/>
      <c r="D111" s="36" t="n"/>
      <c r="E111" s="54" t="n"/>
      <c r="F111" s="36" t="n"/>
      <c r="G111" s="36" t="n"/>
      <c r="H111" s="30" t="n">
        <v>0</v>
      </c>
      <c r="I111" s="30" t="n">
        <v>0</v>
      </c>
      <c r="J111" s="31">
        <f>IF(H111="","",H111-I111)</f>
        <v/>
      </c>
      <c r="K111" s="43" t="n"/>
      <c r="L111" s="32">
        <f>IF(OR(K111="",$F111=""),"",DATE(YEAR(K111),MONTH(K111)+VLOOKUP($F111,'Membership Level'!$A$3:$B$15,2,FALSE),DAY(K111)))</f>
        <v/>
      </c>
      <c r="M111" s="36" t="n"/>
      <c r="N111" s="34">
        <f>IF($L111="","",DATE(YEAR($L111),MONTH($L111),DAY($L111)-$M111))</f>
        <v/>
      </c>
      <c r="O111" s="33">
        <f>IF($L111="","",IF(DAYS360(NOW(),$L111)&gt;=0,DAYS360(NOW(),$L111),""))</f>
        <v/>
      </c>
      <c r="P111" s="34">
        <f>IF(OR(H111="",H111=0,F111="",K111=""),"",I111/H111*VLOOKUP(F111,'Membership Level'!$A$3:$C$15,3,FALSE)+K111)</f>
        <v/>
      </c>
      <c r="Q111" s="36" t="n"/>
    </row>
    <row r="112">
      <c r="A112" s="33" t="n"/>
      <c r="B112" s="33" t="n"/>
      <c r="C112" s="36" t="n"/>
      <c r="D112" s="36" t="n"/>
      <c r="E112" s="54" t="n"/>
      <c r="F112" s="36" t="n"/>
      <c r="G112" s="36" t="n"/>
      <c r="H112" s="30" t="n">
        <v>0</v>
      </c>
      <c r="I112" s="30" t="n">
        <v>0</v>
      </c>
      <c r="J112" s="31">
        <f>IF(H112="","",H112-I112)</f>
        <v/>
      </c>
      <c r="K112" s="43" t="n"/>
      <c r="L112" s="32">
        <f>IF(OR(K112="",$F112=""),"",DATE(YEAR(K112),MONTH(K112)+VLOOKUP($F112,'Membership Level'!$A$3:$B$15,2,FALSE),DAY(K112)))</f>
        <v/>
      </c>
      <c r="M112" s="36" t="n"/>
      <c r="N112" s="34">
        <f>IF($L112="","",DATE(YEAR($L112),MONTH($L112),DAY($L112)-$M112))</f>
        <v/>
      </c>
      <c r="O112" s="33">
        <f>IF($L112="","",IF(DAYS360(NOW(),$L112)&gt;=0,DAYS360(NOW(),$L112),""))</f>
        <v/>
      </c>
      <c r="P112" s="34">
        <f>IF(OR(H112="",H112=0,F112="",K112=""),"",I112/H112*VLOOKUP(F112,'Membership Level'!$A$3:$C$15,3,FALSE)+K112)</f>
        <v/>
      </c>
      <c r="Q112" s="36" t="n"/>
    </row>
    <row r="113">
      <c r="A113" s="33" t="n"/>
      <c r="B113" s="33" t="n"/>
      <c r="C113" s="36" t="n"/>
      <c r="D113" s="36" t="n"/>
      <c r="E113" s="54" t="n"/>
      <c r="F113" s="36" t="n"/>
      <c r="G113" s="36" t="n"/>
      <c r="H113" s="30" t="n">
        <v>0</v>
      </c>
      <c r="I113" s="30" t="n">
        <v>0</v>
      </c>
      <c r="J113" s="31">
        <f>IF(H113="","",H113-I113)</f>
        <v/>
      </c>
      <c r="K113" s="43" t="n"/>
      <c r="L113" s="32">
        <f>IF(OR(K113="",$F113=""),"",DATE(YEAR(K113),MONTH(K113)+VLOOKUP($F113,'Membership Level'!$A$3:$B$15,2,FALSE),DAY(K113)))</f>
        <v/>
      </c>
      <c r="M113" s="36" t="n"/>
      <c r="N113" s="34">
        <f>IF($L113="","",DATE(YEAR($L113),MONTH($L113),DAY($L113)-$M113))</f>
        <v/>
      </c>
      <c r="O113" s="33">
        <f>IF($L113="","",IF(DAYS360(NOW(),$L113)&gt;=0,DAYS360(NOW(),$L113),""))</f>
        <v/>
      </c>
      <c r="P113" s="34">
        <f>IF(OR(H113="",H113=0,F113="",K113=""),"",I113/H113*VLOOKUP(F113,'Membership Level'!$A$3:$C$15,3,FALSE)+K113)</f>
        <v/>
      </c>
      <c r="Q113" s="36" t="n"/>
    </row>
    <row r="114">
      <c r="A114" s="33" t="n"/>
      <c r="B114" s="33" t="n"/>
      <c r="C114" s="36" t="n"/>
      <c r="D114" s="36" t="n"/>
      <c r="E114" s="54" t="n"/>
      <c r="F114" s="36" t="n"/>
      <c r="G114" s="36" t="n"/>
      <c r="H114" s="30" t="n">
        <v>0</v>
      </c>
      <c r="I114" s="30" t="n">
        <v>0</v>
      </c>
      <c r="J114" s="31">
        <f>IF(H114="","",H114-I114)</f>
        <v/>
      </c>
      <c r="K114" s="43" t="n"/>
      <c r="L114" s="32">
        <f>IF(OR(K114="",$F114=""),"",DATE(YEAR(K114),MONTH(K114)+VLOOKUP($F114,'Membership Level'!$A$3:$B$15,2,FALSE),DAY(K114)))</f>
        <v/>
      </c>
      <c r="M114" s="36" t="n"/>
      <c r="N114" s="34">
        <f>IF($L114="","",DATE(YEAR($L114),MONTH($L114),DAY($L114)-$M114))</f>
        <v/>
      </c>
      <c r="O114" s="33">
        <f>IF($L114="","",IF(DAYS360(NOW(),$L114)&gt;=0,DAYS360(NOW(),$L114),""))</f>
        <v/>
      </c>
      <c r="P114" s="34">
        <f>IF(OR(H114="",H114=0,F114="",K114=""),"",I114/H114*VLOOKUP(F114,'Membership Level'!$A$3:$C$15,3,FALSE)+K114)</f>
        <v/>
      </c>
      <c r="Q114" s="36">
        <f>216/18</f>
        <v/>
      </c>
    </row>
    <row r="115">
      <c r="A115" s="33" t="n"/>
      <c r="B115" s="33" t="n"/>
      <c r="C115" s="36" t="n"/>
      <c r="D115" s="36" t="n"/>
      <c r="E115" s="54" t="n"/>
      <c r="F115" s="36" t="n"/>
      <c r="G115" s="36" t="n"/>
      <c r="H115" s="30" t="n">
        <v>0</v>
      </c>
      <c r="I115" s="30" t="n">
        <v>0</v>
      </c>
      <c r="J115" s="31">
        <f>IF(H115="","",H115-I115)</f>
        <v/>
      </c>
      <c r="K115" s="43" t="n"/>
      <c r="L115" s="32">
        <f>IF(OR(K115="",$F115=""),"",DATE(YEAR(K115),MONTH(K115)+VLOOKUP($F115,'Membership Level'!$A$3:$B$15,2,FALSE),DAY(K115)))</f>
        <v/>
      </c>
      <c r="M115" s="36" t="n"/>
      <c r="N115" s="34">
        <f>IF($L115="","",DATE(YEAR($L115),MONTH($L115),DAY($L115)-$M115))</f>
        <v/>
      </c>
      <c r="O115" s="33">
        <f>IF($L115="","",IF(DAYS360(NOW(),$L115)&gt;=0,DAYS360(NOW(),$L115),""))</f>
        <v/>
      </c>
      <c r="P115" s="34">
        <f>IF(OR(H115="",H115=0,F115="",K115=""),"",I115/H115*VLOOKUP(F115,'Membership Level'!$A$3:$C$15,3,FALSE)+K115)</f>
        <v/>
      </c>
      <c r="Q115" s="36" t="n"/>
    </row>
    <row r="116">
      <c r="A116" s="33" t="n"/>
      <c r="B116" s="33" t="n"/>
      <c r="C116" s="36" t="n"/>
      <c r="D116" s="36" t="n"/>
      <c r="E116" s="54" t="n"/>
      <c r="F116" s="36" t="n"/>
      <c r="G116" s="36" t="n"/>
      <c r="H116" s="30" t="n">
        <v>0</v>
      </c>
      <c r="I116" s="30" t="n">
        <v>0</v>
      </c>
      <c r="J116" s="31">
        <f>IF(H116="","",H116-I116)</f>
        <v/>
      </c>
      <c r="K116" s="43" t="n"/>
      <c r="L116" s="32">
        <f>IF(OR(K116="",$F116=""),"",DATE(YEAR(K116),MONTH(K116)+VLOOKUP($F116,'Membership Level'!$A$3:$B$15,2,FALSE),DAY(K116)))</f>
        <v/>
      </c>
      <c r="M116" s="36" t="n"/>
      <c r="N116" s="34">
        <f>IF($L116="","",DATE(YEAR($L116),MONTH($L116),DAY($L116)-$M116))</f>
        <v/>
      </c>
      <c r="O116" s="33">
        <f>IF($L116="","",IF(DAYS360(NOW(),$L116)&gt;=0,DAYS360(NOW(),$L116),""))</f>
        <v/>
      </c>
      <c r="P116" s="34">
        <f>IF(OR(H116="",H116=0,F116="",K116=""),"",I116/H116*VLOOKUP(F116,'Membership Level'!$A$3:$C$15,3,FALSE)+K116)</f>
        <v/>
      </c>
      <c r="Q116" s="36" t="n"/>
    </row>
    <row r="117">
      <c r="A117" s="33" t="n"/>
      <c r="B117" s="33" t="n"/>
      <c r="C117" s="36" t="n"/>
      <c r="D117" s="36" t="n"/>
      <c r="E117" s="54" t="n"/>
      <c r="F117" s="36" t="n"/>
      <c r="G117" s="36" t="n"/>
      <c r="H117" s="30" t="n">
        <v>0</v>
      </c>
      <c r="I117" s="30" t="n">
        <v>0</v>
      </c>
      <c r="J117" s="31">
        <f>IF(H117="","",H117-I117)</f>
        <v/>
      </c>
      <c r="K117" s="43" t="n"/>
      <c r="L117" s="32">
        <f>IF(OR(K117="",$F117=""),"",DATE(YEAR(K117),MONTH(K117)+VLOOKUP($F117,'Membership Level'!$A$3:$B$15,2,FALSE),DAY(K117)))</f>
        <v/>
      </c>
      <c r="M117" s="36" t="n"/>
      <c r="N117" s="34">
        <f>IF($L117="","",DATE(YEAR($L117),MONTH($L117),DAY($L117)-$M117))</f>
        <v/>
      </c>
      <c r="O117" s="33">
        <f>IF($L117="","",IF(DAYS360(NOW(),$L117)&gt;=0,DAYS360(NOW(),$L117),""))</f>
        <v/>
      </c>
      <c r="P117" s="34">
        <f>IF(OR(H117="",H117=0,F117="",K117=""),"",I117/H117*VLOOKUP(F117,'Membership Level'!$A$3:$C$15,3,FALSE)+K117)</f>
        <v/>
      </c>
      <c r="Q117" s="36" t="n"/>
    </row>
    <row r="118">
      <c r="C118" s="36" t="n"/>
      <c r="D118" s="36" t="n"/>
      <c r="E118" s="54" t="n"/>
      <c r="F118" s="36" t="n"/>
      <c r="G118" s="36" t="n"/>
      <c r="H118" s="30" t="n">
        <v>0</v>
      </c>
      <c r="I118" s="30" t="n">
        <v>0</v>
      </c>
      <c r="J118" s="31">
        <f>IF(H118="","",H118-I118)</f>
        <v/>
      </c>
      <c r="K118" s="43" t="n"/>
      <c r="L118" s="32">
        <f>IF(OR(K118="",$F118=""),"",DATE(YEAR(K118),MONTH(K118)+VLOOKUP($F118,'Membership Level'!$A$3:$B$15,2,FALSE),DAY(K118)))</f>
        <v/>
      </c>
      <c r="M118" s="36" t="n"/>
      <c r="N118" s="34">
        <f>IF($L118="","",DATE(YEAR($L118),MONTH($L118),DAY($L118)-$M118))</f>
        <v/>
      </c>
      <c r="O118" s="33">
        <f>IF($L118="","",IF(DAYS360(NOW(),$L118)&gt;=0,DAYS360(NOW(),$L118),""))</f>
        <v/>
      </c>
      <c r="P118" s="34">
        <f>IF(OR(H118="",H118=0,F118="",K118=""),"",I118/H118*VLOOKUP(F118,'Membership Level'!$A$3:$C$15,3,FALSE)+K118)</f>
        <v/>
      </c>
      <c r="Q118" s="36" t="n"/>
    </row>
    <row r="119">
      <c r="C119" s="36" t="n"/>
      <c r="D119" s="36" t="n"/>
      <c r="E119" s="54" t="n"/>
      <c r="F119" s="36" t="n"/>
      <c r="G119" s="36" t="n"/>
      <c r="H119" s="30" t="n">
        <v>0</v>
      </c>
      <c r="I119" s="30" t="n">
        <v>0</v>
      </c>
      <c r="J119" s="31">
        <f>IF(H119="","",H119-I119)</f>
        <v/>
      </c>
      <c r="K119" s="43" t="n"/>
      <c r="L119" s="32">
        <f>IF(OR(K119="",$F119=""),"",DATE(YEAR(K119),MONTH(K119)+VLOOKUP($F119,'Membership Level'!$A$3:$B$15,2,FALSE),DAY(K119)))</f>
        <v/>
      </c>
      <c r="M119" s="36" t="n"/>
      <c r="N119" s="34">
        <f>IF($L119="","",DATE(YEAR($L119),MONTH($L119),DAY($L119)-$M119))</f>
        <v/>
      </c>
      <c r="O119" s="33">
        <f>IF($L119="","",IF(DAYS360(NOW(),$L119)&gt;=0,DAYS360(NOW(),$L119),""))</f>
        <v/>
      </c>
      <c r="P119" s="34">
        <f>IF(OR(H119="",H119=0,F119="",K119=""),"",I119/H119*VLOOKUP(F119,'Membership Level'!$A$3:$C$15,3,FALSE)+K119)</f>
        <v/>
      </c>
      <c r="Q119" s="35" t="n"/>
    </row>
    <row r="120">
      <c r="C120" s="36" t="n"/>
      <c r="D120" s="36" t="n"/>
      <c r="E120" s="54" t="n"/>
      <c r="F120" s="36" t="n"/>
      <c r="G120" s="36" t="n"/>
      <c r="H120" s="30" t="n">
        <v>0</v>
      </c>
      <c r="I120" s="30" t="n">
        <v>0</v>
      </c>
      <c r="J120" s="31">
        <f>IF(H120="","",H120-I120)</f>
        <v/>
      </c>
      <c r="K120" s="43" t="n"/>
      <c r="L120" s="32">
        <f>IF(OR(K120="",$F120=""),"",DATE(YEAR(K120),MONTH(K120)+VLOOKUP($F120,'Membership Level'!$A$3:$B$15,2,FALSE),DAY(K120)))</f>
        <v/>
      </c>
      <c r="M120" s="36" t="n"/>
      <c r="N120" s="34">
        <f>IF($L120="","",DATE(YEAR($L120),MONTH($L120),DAY($L120)-$M120))</f>
        <v/>
      </c>
      <c r="O120" s="33">
        <f>IF($L120="","",IF(DAYS360(NOW(),$L120)&gt;=0,DAYS360(NOW(),$L120),""))</f>
        <v/>
      </c>
      <c r="P120" s="34">
        <f>IF(OR(H120="",H120=0,F120="",K120=""),"",I120/H120*VLOOKUP(F120,'Membership Level'!$A$3:$C$15,3,FALSE)+K120)</f>
        <v/>
      </c>
      <c r="Q120" s="35" t="n"/>
    </row>
    <row r="121">
      <c r="C121" s="36" t="n"/>
      <c r="D121" s="36" t="n"/>
      <c r="E121" s="54" t="n"/>
      <c r="F121" s="36" t="n"/>
      <c r="G121" s="36" t="n"/>
      <c r="H121" s="30" t="n">
        <v>0</v>
      </c>
      <c r="I121" s="30" t="n">
        <v>0</v>
      </c>
      <c r="J121" s="31">
        <f>IF(H121="","",H121-I121)</f>
        <v/>
      </c>
      <c r="K121" s="43" t="n"/>
      <c r="L121" s="32">
        <f>IF(OR(K121="",$F121=""),"",DATE(YEAR(K121),MONTH(K121)+VLOOKUP($F121,'Membership Level'!$A$3:$B$15,2,FALSE),DAY(K121)))</f>
        <v/>
      </c>
      <c r="M121" s="36" t="n"/>
      <c r="N121" s="34">
        <f>IF($L121="","",DATE(YEAR($L121),MONTH($L121),DAY($L121)-$M121))</f>
        <v/>
      </c>
      <c r="O121" s="33">
        <f>IF($L121="","",IF(DAYS360(NOW(),$L121)&gt;=0,DAYS360(NOW(),$L121),""))</f>
        <v/>
      </c>
      <c r="P121" s="34">
        <f>IF(OR(H121="",H121=0,F121="",K121=""),"",I121/H121*VLOOKUP(F121,'Membership Level'!$A$3:$C$15,3,FALSE)+K121)</f>
        <v/>
      </c>
      <c r="Q121" s="36" t="n"/>
    </row>
    <row r="122">
      <c r="C122" s="36" t="n"/>
      <c r="D122" s="36" t="n"/>
      <c r="E122" s="54" t="n"/>
      <c r="F122" s="36" t="n"/>
      <c r="G122" s="36" t="n"/>
      <c r="H122" s="30" t="n">
        <v>0</v>
      </c>
      <c r="I122" s="30" t="n">
        <v>0</v>
      </c>
      <c r="J122" s="31">
        <f>IF(H122="","",H122-I122)</f>
        <v/>
      </c>
      <c r="K122" s="43" t="n"/>
      <c r="L122" s="32">
        <f>IF(OR(K122="",$F122=""),"",DATE(YEAR(K122),MONTH(K122)+VLOOKUP($F122,'Membership Level'!$A$3:$B$15,2,FALSE),DAY(K122)))</f>
        <v/>
      </c>
      <c r="M122" s="36" t="n"/>
      <c r="N122" s="34">
        <f>IF($L122="","",DATE(YEAR($L122),MONTH($L122),DAY($L122)-$M122))</f>
        <v/>
      </c>
      <c r="O122" s="33">
        <f>IF($L122="","",IF(DAYS360(NOW(),$L122)&gt;=0,DAYS360(NOW(),$L122),""))</f>
        <v/>
      </c>
      <c r="P122" s="34">
        <f>IF(OR(H122="",H122=0,F122="",K122=""),"",I122/H122*VLOOKUP(F122,'Membership Level'!$A$3:$C$15,3,FALSE)+K122)</f>
        <v/>
      </c>
      <c r="Q122" s="36" t="n"/>
    </row>
    <row r="123">
      <c r="C123" s="36" t="n"/>
      <c r="D123" s="36" t="n"/>
      <c r="E123" s="54" t="n"/>
      <c r="F123" s="36" t="n"/>
      <c r="G123" s="36" t="n"/>
      <c r="H123" s="30" t="n">
        <v>0</v>
      </c>
      <c r="I123" s="30" t="n">
        <v>0</v>
      </c>
      <c r="J123" s="31">
        <f>IF(H123="","",H123-I123)</f>
        <v/>
      </c>
      <c r="K123" s="43" t="n"/>
      <c r="L123" s="32">
        <f>IF(OR(K123="",$F123=""),"",DATE(YEAR(K123),MONTH(K123)+VLOOKUP($F123,'Membership Level'!$A$3:$B$15,2,FALSE),DAY(K123)))</f>
        <v/>
      </c>
      <c r="M123" s="36" t="n"/>
      <c r="N123" s="34">
        <f>IF($L123="","",DATE(YEAR($L123),MONTH($L123),DAY($L123)-$M123))</f>
        <v/>
      </c>
      <c r="O123" s="33">
        <f>IF($L123="","",IF(DAYS360(NOW(),$L123)&gt;=0,DAYS360(NOW(),$L123),""))</f>
        <v/>
      </c>
      <c r="P123" s="34">
        <f>IF(OR(H123="",H123=0,F123="",K123=""),"",I123/H123*VLOOKUP(F123,'Membership Level'!$A$3:$C$15,3,FALSE)+K123)</f>
        <v/>
      </c>
      <c r="Q123" s="36" t="n"/>
    </row>
    <row r="124">
      <c r="C124" s="36" t="n"/>
      <c r="D124" s="36" t="n"/>
      <c r="E124" s="54" t="n"/>
      <c r="F124" s="36" t="n"/>
      <c r="G124" s="36" t="n"/>
      <c r="H124" s="30" t="n">
        <v>0</v>
      </c>
      <c r="I124" s="30" t="n">
        <v>0</v>
      </c>
      <c r="J124" s="31">
        <f>IF(H124="","",H124-I124)</f>
        <v/>
      </c>
      <c r="K124" s="43" t="n"/>
      <c r="L124" s="32">
        <f>IF(OR(K124="",$F124=""),"",DATE(YEAR(K124),MONTH(K124)+VLOOKUP($F124,'Membership Level'!$A$3:$B$15,2,FALSE),DAY(K124)))</f>
        <v/>
      </c>
      <c r="M124" s="36" t="n"/>
      <c r="N124" s="34">
        <f>IF($L124="","",DATE(YEAR($L124),MONTH($L124),DAY($L124)-$M124))</f>
        <v/>
      </c>
      <c r="O124" s="33">
        <f>IF($L124="","",IF(DAYS360(NOW(),$L124)&gt;=0,DAYS360(NOW(),$L124),""))</f>
        <v/>
      </c>
      <c r="P124" s="34">
        <f>IF(OR(H124="",H124=0,F124="",K124=""),"",I124/H124*VLOOKUP(F124,'Membership Level'!$A$3:$C$15,3,FALSE)+K124)</f>
        <v/>
      </c>
      <c r="Q124" s="36" t="n"/>
    </row>
    <row r="125">
      <c r="C125" s="36" t="n"/>
      <c r="D125" s="36" t="n"/>
      <c r="E125" s="54" t="n"/>
      <c r="F125" s="36" t="n"/>
      <c r="G125" s="36" t="n"/>
      <c r="H125" s="30" t="n">
        <v>0</v>
      </c>
      <c r="I125" s="30" t="n">
        <v>0</v>
      </c>
      <c r="J125" s="31">
        <f>IF(H125="","",H125-I125)</f>
        <v/>
      </c>
      <c r="K125" s="43" t="n"/>
      <c r="L125" s="32">
        <f>IF(OR(K125="",$F125=""),"",DATE(YEAR(K125),MONTH(K125)+VLOOKUP($F125,'Membership Level'!$A$3:$B$15,2,FALSE),DAY(K125)))</f>
        <v/>
      </c>
      <c r="M125" s="36" t="n"/>
      <c r="N125" s="34">
        <f>IF($L125="","",DATE(YEAR($L125),MONTH($L125),DAY($L125)-$M125))</f>
        <v/>
      </c>
      <c r="O125" s="33">
        <f>IF($L125="","",IF(DAYS360(NOW(),$L125)&gt;=0,DAYS360(NOW(),$L125),""))</f>
        <v/>
      </c>
      <c r="P125" s="34">
        <f>IF(OR(H125="",H125=0,F125="",K125=""),"",I125/H125*VLOOKUP(F125,'Membership Level'!$A$3:$C$15,3,FALSE)+K125)</f>
        <v/>
      </c>
      <c r="Q125" s="36" t="n"/>
    </row>
    <row r="126">
      <c r="C126" s="36" t="n"/>
      <c r="D126" s="36" t="n"/>
      <c r="E126" s="54" t="n"/>
      <c r="F126" s="36" t="n"/>
      <c r="G126" s="36" t="n"/>
      <c r="H126" s="30" t="n">
        <v>0</v>
      </c>
      <c r="I126" s="30" t="n">
        <v>0</v>
      </c>
      <c r="J126" s="31">
        <f>IF(H126="","",H126-I126)</f>
        <v/>
      </c>
      <c r="K126" s="43" t="n"/>
      <c r="L126" s="32">
        <f>IF(OR(K126="",$F126=""),"",DATE(YEAR(K126),MONTH(K126)+VLOOKUP($F126,'Membership Level'!$A$3:$B$15,2,FALSE),DAY(K126)))</f>
        <v/>
      </c>
      <c r="M126" s="36" t="n"/>
      <c r="N126" s="34">
        <f>IF($L126="","",DATE(YEAR($L126),MONTH($L126),DAY($L126)-$M126))</f>
        <v/>
      </c>
      <c r="O126" s="33">
        <f>IF($L126="","",IF(DAYS360(NOW(),$L126)&gt;=0,DAYS360(NOW(),$L126),""))</f>
        <v/>
      </c>
      <c r="P126" s="34">
        <f>IF(OR(H126="",H126=0,F126="",K126=""),"",I126/H126*VLOOKUP(F126,'Membership Level'!$A$3:$C$15,3,FALSE)+K126)</f>
        <v/>
      </c>
      <c r="Q126" s="36" t="n"/>
    </row>
    <row r="127">
      <c r="C127" s="36" t="n"/>
      <c r="D127" s="36" t="n"/>
      <c r="E127" s="54" t="n"/>
      <c r="F127" s="36" t="n"/>
      <c r="G127" s="36" t="n"/>
      <c r="H127" s="30" t="n">
        <v>0</v>
      </c>
      <c r="I127" s="30" t="n">
        <v>0</v>
      </c>
      <c r="J127" s="31">
        <f>IF(H127="","",H127-I127)</f>
        <v/>
      </c>
      <c r="K127" s="43" t="n"/>
      <c r="L127" s="32">
        <f>IF(OR(K127="",$F127=""),"",DATE(YEAR(K127),MONTH(K127)+VLOOKUP($F127,'Membership Level'!$A$3:$B$15,2,FALSE),DAY(K127)))</f>
        <v/>
      </c>
      <c r="M127" s="36" t="n"/>
      <c r="N127" s="34">
        <f>IF($L127="","",DATE(YEAR($L127),MONTH($L127),DAY($L127)-$M127))</f>
        <v/>
      </c>
      <c r="O127" s="33">
        <f>IF($L127="","",IF(DAYS360(NOW(),$L127)&gt;=0,DAYS360(NOW(),$L127),""))</f>
        <v/>
      </c>
      <c r="P127" s="34">
        <f>IF(OR(H127="",H127=0,F127="",K127=""),"",I127/H127*VLOOKUP(F127,'Membership Level'!$A$3:$C$15,3,FALSE)+K127)</f>
        <v/>
      </c>
      <c r="Q127" s="36" t="n"/>
    </row>
    <row r="128">
      <c r="C128" s="36" t="n"/>
      <c r="D128" s="36" t="n"/>
      <c r="E128" s="54" t="n"/>
      <c r="F128" s="36" t="n"/>
      <c r="G128" s="36" t="n"/>
      <c r="H128" s="30" t="n">
        <v>0</v>
      </c>
      <c r="I128" s="30" t="n">
        <v>0</v>
      </c>
      <c r="J128" s="31">
        <f>IF(H128="","",H128-I128)</f>
        <v/>
      </c>
      <c r="K128" s="43" t="n"/>
      <c r="L128" s="32">
        <f>IF(OR(K128="",$F128=""),"",DATE(YEAR(K128),MONTH(K128)+VLOOKUP($F128,'Membership Level'!$A$3:$B$15,2,FALSE),DAY(K128)))</f>
        <v/>
      </c>
      <c r="M128" s="36" t="n"/>
      <c r="N128" s="34">
        <f>IF($L128="","",DATE(YEAR($L128),MONTH($L128),DAY($L128)-$M128))</f>
        <v/>
      </c>
      <c r="O128" s="33">
        <f>IF($L128="","",IF(DAYS360(NOW(),$L128)&gt;=0,DAYS360(NOW(),$L128),""))</f>
        <v/>
      </c>
      <c r="P128" s="34">
        <f>IF(OR(H128="",H128=0,F128="",K128=""),"",I128/H128*VLOOKUP(F128,'Membership Level'!$A$3:$C$15,3,FALSE)+K128)</f>
        <v/>
      </c>
      <c r="Q128" s="36" t="n"/>
    </row>
    <row r="129">
      <c r="C129" s="36" t="n"/>
      <c r="D129" s="36" t="n"/>
      <c r="E129" s="54" t="n"/>
      <c r="F129" s="36" t="n"/>
      <c r="G129" s="36" t="n"/>
      <c r="H129" s="30" t="n">
        <v>0</v>
      </c>
      <c r="I129" s="30" t="n">
        <v>0</v>
      </c>
      <c r="J129" s="31">
        <f>IF(H129="","",H129-I129)</f>
        <v/>
      </c>
      <c r="K129" s="43" t="n"/>
      <c r="L129" s="32">
        <f>IF(OR(K129="",$F129=""),"",DATE(YEAR(K129),MONTH(K129)+VLOOKUP($F129,'Membership Level'!$A$3:$B$15,2,FALSE),DAY(K129)))</f>
        <v/>
      </c>
      <c r="M129" s="36" t="n"/>
      <c r="N129" s="34">
        <f>IF($L129="","",DATE(YEAR($L129),MONTH($L129),DAY($L129)-$M129))</f>
        <v/>
      </c>
      <c r="O129" s="33">
        <f>IF($L129="","",IF(DAYS360(NOW(),$L129)&gt;=0,DAYS360(NOW(),$L129),""))</f>
        <v/>
      </c>
      <c r="P129" s="34">
        <f>IF(OR(H129="",H129=0,F129="",K129=""),"",I129/H129*VLOOKUP(F129,'Membership Level'!$A$3:$C$15,3,FALSE)+K129)</f>
        <v/>
      </c>
      <c r="Q129" s="36" t="n"/>
    </row>
    <row r="130">
      <c r="C130" s="36" t="n"/>
      <c r="D130" s="36" t="n"/>
      <c r="E130" s="54" t="n"/>
      <c r="F130" s="36" t="n"/>
      <c r="G130" s="36" t="n"/>
      <c r="H130" s="30" t="n">
        <v>0</v>
      </c>
      <c r="I130" s="30" t="n">
        <v>0</v>
      </c>
      <c r="J130" s="31">
        <f>IF(H130="","",H130-I130)</f>
        <v/>
      </c>
      <c r="K130" s="43" t="n"/>
      <c r="L130" s="32">
        <f>IF(OR(K130="",$F130=""),"",DATE(YEAR(K130),MONTH(K130)+VLOOKUP($F130,'Membership Level'!$A$3:$B$15,2,FALSE),DAY(K130)))</f>
        <v/>
      </c>
      <c r="M130" s="36" t="n"/>
      <c r="N130" s="34">
        <f>IF($L130="","",DATE(YEAR($L130),MONTH($L130),DAY($L130)-$M130))</f>
        <v/>
      </c>
      <c r="O130" s="33">
        <f>IF($L130="","",IF(DAYS360(NOW(),$L130)&gt;=0,DAYS360(NOW(),$L130),""))</f>
        <v/>
      </c>
      <c r="P130" s="34">
        <f>IF(OR(H130="",H130=0,F130="",K130=""),"",I130/H130*VLOOKUP(F130,'Membership Level'!$A$3:$C$15,3,FALSE)+K130)</f>
        <v/>
      </c>
      <c r="Q130" s="36" t="n"/>
    </row>
    <row r="131">
      <c r="C131" s="36" t="n"/>
      <c r="D131" s="36" t="n"/>
      <c r="E131" s="54" t="n"/>
      <c r="F131" s="36" t="n"/>
      <c r="G131" s="36" t="n"/>
      <c r="H131" s="30" t="n">
        <v>0</v>
      </c>
      <c r="I131" s="30" t="n">
        <v>0</v>
      </c>
      <c r="J131" s="31">
        <f>IF(H131="","",H131-I131)</f>
        <v/>
      </c>
      <c r="K131" s="43" t="n"/>
      <c r="L131" s="32">
        <f>IF(OR(K131="",$F131=""),"",DATE(YEAR(K131),MONTH(K131)+VLOOKUP($F131,'Membership Level'!$A$3:$B$15,2,FALSE),DAY(K131)))</f>
        <v/>
      </c>
      <c r="M131" s="36" t="n"/>
      <c r="N131" s="34">
        <f>IF($L131="","",DATE(YEAR($L131),MONTH($L131),DAY($L131)-$M131))</f>
        <v/>
      </c>
      <c r="O131" s="33">
        <f>IF($L131="","",IF(DAYS360(NOW(),$L131)&gt;=0,DAYS360(NOW(),$L131),""))</f>
        <v/>
      </c>
      <c r="P131" s="34">
        <f>IF(OR(H131="",H131=0,F131="",K131=""),"",I131/H131*VLOOKUP(F131,'Membership Level'!$A$3:$C$15,3,FALSE)+K131)</f>
        <v/>
      </c>
      <c r="Q131" s="36" t="n"/>
    </row>
    <row r="132">
      <c r="C132" s="36" t="n"/>
      <c r="D132" s="36" t="n"/>
      <c r="E132" s="54" t="n"/>
      <c r="F132" s="36" t="n"/>
      <c r="G132" s="36" t="n"/>
      <c r="H132" s="30" t="n">
        <v>0</v>
      </c>
      <c r="I132" s="30" t="n">
        <v>0</v>
      </c>
      <c r="J132" s="31">
        <f>IF(H132="","",H132-I132)</f>
        <v/>
      </c>
      <c r="K132" s="43" t="n"/>
      <c r="L132" s="32">
        <f>IF(OR(K132="",$F132=""),"",DATE(YEAR(K132),MONTH(K132)+VLOOKUP($F132,'Membership Level'!$A$3:$B$15,2,FALSE),DAY(K132)))</f>
        <v/>
      </c>
      <c r="M132" s="36" t="n"/>
      <c r="N132" s="34">
        <f>IF($L132="","",DATE(YEAR($L132),MONTH($L132),DAY($L132)-$M132))</f>
        <v/>
      </c>
      <c r="O132" s="33">
        <f>IF($L132="","",IF(DAYS360(NOW(),$L132)&gt;=0,DAYS360(NOW(),$L132),""))</f>
        <v/>
      </c>
      <c r="P132" s="34">
        <f>IF(OR(H132="",H132=0,F132="",K132=""),"",I132/H132*VLOOKUP(F132,'Membership Level'!$A$3:$C$15,3,FALSE)+K132)</f>
        <v/>
      </c>
      <c r="Q132" s="36" t="n"/>
    </row>
    <row r="133">
      <c r="C133" s="36" t="n"/>
      <c r="D133" s="36" t="n"/>
      <c r="E133" s="54" t="n"/>
      <c r="F133" s="36" t="n"/>
      <c r="G133" s="36" t="n"/>
      <c r="H133" s="30" t="n">
        <v>0</v>
      </c>
      <c r="I133" s="30" t="n">
        <v>0</v>
      </c>
      <c r="J133" s="31">
        <f>IF(H133="","",H133-I133)</f>
        <v/>
      </c>
      <c r="K133" s="43" t="n"/>
      <c r="L133" s="32">
        <f>IF(OR(K133="",$F133=""),"",DATE(YEAR(K133),MONTH(K133)+VLOOKUP($F133,'Membership Level'!$A$3:$B$15,2,FALSE),DAY(K133)))</f>
        <v/>
      </c>
      <c r="M133" s="36" t="n"/>
      <c r="N133" s="34">
        <f>IF($L133="","",DATE(YEAR($L133),MONTH($L133),DAY($L133)-$M133))</f>
        <v/>
      </c>
      <c r="O133" s="33">
        <f>IF($L133="","",IF(DAYS360(NOW(),$L133)&gt;=0,DAYS360(NOW(),$L133),""))</f>
        <v/>
      </c>
      <c r="P133" s="34">
        <f>IF(OR(H133="",H133=0,F133="",K133=""),"",I133/H133*VLOOKUP(F133,'Membership Level'!$A$3:$C$15,3,FALSE)+K133)</f>
        <v/>
      </c>
      <c r="Q133" s="36" t="n"/>
    </row>
    <row r="134">
      <c r="C134" s="36" t="n"/>
      <c r="D134" s="36" t="n"/>
      <c r="E134" s="54" t="n"/>
      <c r="F134" s="36" t="n"/>
      <c r="G134" s="36" t="n"/>
      <c r="H134" s="30" t="n">
        <v>0</v>
      </c>
      <c r="I134" s="30" t="n">
        <v>0</v>
      </c>
      <c r="J134" s="31">
        <f>IF(H134="","",H134-I134)</f>
        <v/>
      </c>
      <c r="K134" s="43" t="n"/>
      <c r="L134" s="32">
        <f>IF(OR(K134="",$F134=""),"",DATE(YEAR(K134),MONTH(K134)+VLOOKUP($F134,'Membership Level'!$A$3:$B$15,2,FALSE),DAY(K134)))</f>
        <v/>
      </c>
      <c r="M134" s="36" t="n"/>
      <c r="N134" s="34">
        <f>IF($L134="","",DATE(YEAR($L134),MONTH($L134),DAY($L134)-$M134))</f>
        <v/>
      </c>
      <c r="O134" s="33">
        <f>IF($L134="","",IF(DAYS360(NOW(),$L134)&gt;=0,DAYS360(NOW(),$L134),""))</f>
        <v/>
      </c>
      <c r="P134" s="34">
        <f>IF(OR(H134="",H134=0,F134="",K134=""),"",I134/H134*VLOOKUP(F134,'Membership Level'!$A$3:$C$15,3,FALSE)+K134)</f>
        <v/>
      </c>
      <c r="Q134" s="36" t="n"/>
    </row>
    <row r="135">
      <c r="C135" s="36" t="n"/>
      <c r="D135" s="36" t="n"/>
      <c r="E135" s="54" t="n"/>
      <c r="F135" s="36" t="n"/>
      <c r="G135" s="36" t="n"/>
      <c r="H135" s="30" t="n">
        <v>0</v>
      </c>
      <c r="I135" s="30" t="n">
        <v>0</v>
      </c>
      <c r="J135" s="31">
        <f>IF(H135="","",H135-I135)</f>
        <v/>
      </c>
      <c r="K135" s="43" t="n"/>
      <c r="L135" s="32">
        <f>IF(OR(K135="",$F135=""),"",DATE(YEAR(K135),MONTH(K135)+VLOOKUP($F135,'Membership Level'!$A$3:$B$15,2,FALSE),DAY(K135)))</f>
        <v/>
      </c>
      <c r="M135" s="36" t="n"/>
      <c r="N135" s="34">
        <f>IF($L135="","",DATE(YEAR($L135),MONTH($L135),DAY($L135)-$M135))</f>
        <v/>
      </c>
      <c r="O135" s="33">
        <f>IF($L135="","",IF(DAYS360(NOW(),$L135)&gt;=0,DAYS360(NOW(),$L135),""))</f>
        <v/>
      </c>
      <c r="P135" s="34">
        <f>IF(OR(H135="",H135=0,F135="",K135=""),"",I135/H135*VLOOKUP(F135,'Membership Level'!$A$3:$C$15,3,FALSE)+K135)</f>
        <v/>
      </c>
      <c r="Q135" s="36" t="n"/>
    </row>
    <row r="136">
      <c r="C136" s="36" t="n"/>
      <c r="D136" s="36" t="n"/>
      <c r="E136" s="54" t="n"/>
      <c r="F136" s="36" t="n"/>
      <c r="G136" s="36" t="n"/>
      <c r="H136" s="30" t="n">
        <v>0</v>
      </c>
      <c r="I136" s="30" t="n">
        <v>0</v>
      </c>
      <c r="J136" s="31">
        <f>IF(H136="","",H136-I136)</f>
        <v/>
      </c>
      <c r="K136" s="43" t="n"/>
      <c r="L136" s="32">
        <f>IF(OR(K136="",$F136=""),"",DATE(YEAR(K136),MONTH(K136)+VLOOKUP($F136,'Membership Level'!$A$3:$B$15,2,FALSE),DAY(K136)))</f>
        <v/>
      </c>
      <c r="M136" s="36" t="n"/>
      <c r="N136" s="34">
        <f>IF($L136="","",DATE(YEAR($L136),MONTH($L136),DAY($L136)-$M136))</f>
        <v/>
      </c>
      <c r="O136" s="33">
        <f>IF($L136="","",IF(DAYS360(NOW(),$L136)&gt;=0,DAYS360(NOW(),$L136),""))</f>
        <v/>
      </c>
      <c r="P136" s="34">
        <f>IF(OR(H136="",H136=0,F136="",K136=""),"",I136/H136*VLOOKUP(F136,'Membership Level'!$A$3:$C$15,3,FALSE)+K136)</f>
        <v/>
      </c>
      <c r="Q136" s="36" t="n"/>
    </row>
    <row r="137">
      <c r="C137" s="36" t="n"/>
      <c r="D137" s="36" t="n"/>
      <c r="E137" s="54" t="n"/>
      <c r="F137" s="36" t="n"/>
      <c r="G137" s="36" t="n"/>
      <c r="H137" s="30" t="n">
        <v>0</v>
      </c>
      <c r="I137" s="30" t="n">
        <v>0</v>
      </c>
      <c r="J137" s="31">
        <f>IF(H137="","",H137-I137)</f>
        <v/>
      </c>
      <c r="K137" s="43" t="n"/>
      <c r="L137" s="32">
        <f>IF(OR(K137="",$F137=""),"",DATE(YEAR(K137),MONTH(K137)+VLOOKUP($F137,'Membership Level'!$A$3:$B$15,2,FALSE),DAY(K137)))</f>
        <v/>
      </c>
      <c r="M137" s="36" t="n"/>
      <c r="N137" s="34">
        <f>IF($L137="","",DATE(YEAR($L137),MONTH($L137),DAY($L137)-$M137))</f>
        <v/>
      </c>
      <c r="O137" s="33">
        <f>IF($L137="","",IF(DAYS360(NOW(),$L137)&gt;=0,DAYS360(NOW(),$L137),""))</f>
        <v/>
      </c>
      <c r="P137" s="34">
        <f>IF(OR(H137="",H137=0,F137="",K137=""),"",I137/H137*VLOOKUP(F137,'Membership Level'!$A$3:$C$15,3,FALSE)+K137)</f>
        <v/>
      </c>
      <c r="Q137" s="36" t="n"/>
    </row>
    <row r="138">
      <c r="C138" s="36" t="n"/>
      <c r="D138" s="36" t="n"/>
      <c r="E138" s="54" t="n"/>
      <c r="F138" s="36" t="n"/>
      <c r="G138" s="36" t="n"/>
      <c r="H138" s="30" t="n">
        <v>0</v>
      </c>
      <c r="I138" s="30" t="n">
        <v>0</v>
      </c>
      <c r="J138" s="31">
        <f>IF(H138="","",H138-I138)</f>
        <v/>
      </c>
      <c r="K138" s="43" t="n"/>
      <c r="L138" s="32">
        <f>IF(OR(K138="",$F138=""),"",DATE(YEAR(K138),MONTH(K138)+VLOOKUP($F138,'Membership Level'!$A$3:$B$15,2,FALSE),DAY(K138)))</f>
        <v/>
      </c>
      <c r="M138" s="36" t="n"/>
      <c r="N138" s="34">
        <f>IF($L138="","",DATE(YEAR($L138),MONTH($L138),DAY($L138)-$M138))</f>
        <v/>
      </c>
      <c r="O138" s="33">
        <f>IF($L138="","",IF(DAYS360(NOW(),$L138)&gt;=0,DAYS360(NOW(),$L138),""))</f>
        <v/>
      </c>
      <c r="P138" s="34">
        <f>IF(OR(H138="",H138=0,F138="",K138=""),"",I138/H138*VLOOKUP(F138,'Membership Level'!$A$3:$C$15,3,FALSE)+K138)</f>
        <v/>
      </c>
      <c r="Q138" s="36" t="n"/>
    </row>
    <row r="139">
      <c r="C139" s="36" t="n"/>
      <c r="D139" s="36" t="n"/>
      <c r="E139" s="54" t="n"/>
      <c r="F139" s="36" t="n"/>
      <c r="G139" s="36" t="n"/>
      <c r="H139" s="30" t="n">
        <v>0</v>
      </c>
      <c r="I139" s="30" t="n">
        <v>0</v>
      </c>
      <c r="J139" s="31">
        <f>IF(H139="","",H139-I139)</f>
        <v/>
      </c>
      <c r="K139" s="43" t="n"/>
      <c r="L139" s="32">
        <f>IF(OR(K139="",$F139=""),"",DATE(YEAR(K139),MONTH(K139)+VLOOKUP($F139,'Membership Level'!$A$3:$B$15,2,FALSE),DAY(K139)))</f>
        <v/>
      </c>
      <c r="M139" s="36" t="n"/>
      <c r="N139" s="34">
        <f>IF($L139="","",DATE(YEAR($L139),MONTH($L139),DAY($L139)-$M139))</f>
        <v/>
      </c>
      <c r="O139" s="33">
        <f>IF($L139="","",IF(DAYS360(NOW(),$L139)&gt;=0,DAYS360(NOW(),$L139),""))</f>
        <v/>
      </c>
      <c r="P139" s="34">
        <f>IF(OR(H139="",H139=0,F139="",K139=""),"",I139/H139*VLOOKUP(F139,'Membership Level'!$A$3:$C$15,3,FALSE)+K139)</f>
        <v/>
      </c>
      <c r="Q139" s="36" t="n"/>
    </row>
    <row r="140">
      <c r="C140" s="36" t="n"/>
      <c r="D140" s="36" t="n"/>
      <c r="E140" s="54" t="n"/>
      <c r="F140" s="36" t="n"/>
      <c r="G140" s="36" t="n"/>
      <c r="H140" s="30" t="n">
        <v>0</v>
      </c>
      <c r="I140" s="30" t="n">
        <v>0</v>
      </c>
      <c r="J140" s="31">
        <f>IF(H140="","",H140-I140)</f>
        <v/>
      </c>
      <c r="K140" s="43" t="n"/>
      <c r="L140" s="32">
        <f>IF(OR(K140="",$F140=""),"",DATE(YEAR(K140),MONTH(K140)+VLOOKUP($F140,'Membership Level'!$A$3:$B$15,2,FALSE),DAY(K140)))</f>
        <v/>
      </c>
      <c r="M140" s="36" t="n"/>
      <c r="N140" s="34">
        <f>IF($L140="","",DATE(YEAR($L140),MONTH($L140),DAY($L140)-$M140))</f>
        <v/>
      </c>
      <c r="O140" s="33">
        <f>IF($L140="","",IF(DAYS360(NOW(),$L140)&gt;=0,DAYS360(NOW(),$L140),""))</f>
        <v/>
      </c>
      <c r="P140" s="34">
        <f>IF(OR(H140="",H140=0,F140="",K140=""),"",I140/H140*VLOOKUP(F140,'Membership Level'!$A$3:$C$15,3,FALSE)+K140)</f>
        <v/>
      </c>
      <c r="Q140" s="36" t="n"/>
    </row>
    <row r="141">
      <c r="C141" s="36" t="n"/>
      <c r="D141" s="36" t="n"/>
      <c r="E141" s="54" t="n"/>
      <c r="F141" s="36" t="n"/>
      <c r="G141" s="36" t="n"/>
      <c r="H141" s="30" t="n">
        <v>0</v>
      </c>
      <c r="I141" s="30" t="n">
        <v>0</v>
      </c>
      <c r="J141" s="31">
        <f>IF(H141="","",H141-I141)</f>
        <v/>
      </c>
      <c r="K141" s="43" t="n"/>
      <c r="L141" s="32">
        <f>IF(OR(K141="",$F141=""),"",DATE(YEAR(K141),MONTH(K141)+VLOOKUP($F141,'Membership Level'!$A$3:$B$15,2,FALSE),DAY(K141)))</f>
        <v/>
      </c>
      <c r="M141" s="36" t="n"/>
      <c r="N141" s="34">
        <f>IF($L141="","",DATE(YEAR($L141),MONTH($L141),DAY($L141)-$M141))</f>
        <v/>
      </c>
      <c r="O141" s="33">
        <f>IF($L141="","",IF(DAYS360(NOW(),$L141)&gt;=0,DAYS360(NOW(),$L141),""))</f>
        <v/>
      </c>
      <c r="P141" s="34">
        <f>IF(OR(H141="",H141=0,F141="",K141=""),"",I141/H141*VLOOKUP(F141,'Membership Level'!$A$3:$C$15,3,FALSE)+K141)</f>
        <v/>
      </c>
      <c r="Q141" s="36" t="n"/>
    </row>
    <row r="142" customFormat="1" s="56">
      <c r="C142" s="36" t="n"/>
      <c r="D142" s="36" t="n"/>
      <c r="E142" s="54" t="n"/>
      <c r="F142" s="36" t="n"/>
      <c r="G142" s="36" t="n"/>
      <c r="H142" s="30" t="n">
        <v>0</v>
      </c>
      <c r="I142" s="30" t="n">
        <v>0</v>
      </c>
      <c r="J142" s="31">
        <f>IF(H142="","",H142-I142)</f>
        <v/>
      </c>
      <c r="K142" s="43" t="n"/>
      <c r="L142" s="32">
        <f>IF(OR(K142="",$F142=""),"",DATE(YEAR(K142),MONTH(K142)+VLOOKUP($F142,'Membership Level'!$A$3:$B$15,2,FALSE),DAY(K142)))</f>
        <v/>
      </c>
      <c r="M142" s="36" t="n"/>
      <c r="N142" s="34">
        <f>IF($L142="","",DATE(YEAR($L142),MONTH($L142),DAY($L142)-$M142))</f>
        <v/>
      </c>
      <c r="O142" s="33">
        <f>IF($L142="","",IF(DAYS360(NOW(),$L142)&gt;=0,DAYS360(NOW(),$L142),""))</f>
        <v/>
      </c>
      <c r="P142" s="34">
        <f>IF(OR(H142="",H142=0,F142="",K142=""),"",I142/H142*VLOOKUP(F142,'Membership Level'!$A$3:$C$15,3,FALSE)+K142)</f>
        <v/>
      </c>
      <c r="Q142" s="36" t="n"/>
    </row>
    <row r="143">
      <c r="C143" s="36" t="n"/>
      <c r="D143" s="36" t="n"/>
      <c r="E143" s="55" t="n"/>
      <c r="F143" s="36" t="n"/>
      <c r="G143" s="36" t="n"/>
      <c r="H143" s="30" t="n">
        <v>0</v>
      </c>
      <c r="I143" s="30" t="n">
        <v>0</v>
      </c>
      <c r="J143" s="31">
        <f>IF(H143="","",H143-I143)</f>
        <v/>
      </c>
      <c r="K143" s="43" t="n"/>
      <c r="L143" s="32">
        <f>IF(OR(K143="",$F143=""),"",DATE(YEAR(K143),MONTH(K143)+VLOOKUP($F143,'Membership Level'!$A$3:$B$15,2,FALSE),DAY(K143)))</f>
        <v/>
      </c>
      <c r="M143" s="36" t="n"/>
      <c r="N143" s="34">
        <f>IF($L143="","",DATE(YEAR($L143),MONTH($L143),DAY($L143)-$M143))</f>
        <v/>
      </c>
      <c r="O143" s="33">
        <f>IF($L143="","",IF(DAYS360(NOW(),$L143)&gt;=0,DAYS360(NOW(),$L143),""))</f>
        <v/>
      </c>
      <c r="P143" s="34">
        <f>IF(OR(H143="",H143=0,F143="",K143=""),"",I143/H143*VLOOKUP(F143,'Membership Level'!$A$3:$C$15,3,FALSE)+K143)</f>
        <v/>
      </c>
      <c r="Q143" s="36" t="n"/>
    </row>
    <row r="144">
      <c r="C144" s="36" t="n"/>
      <c r="D144" s="36" t="n"/>
      <c r="E144" s="54" t="n"/>
      <c r="F144" s="36" t="n"/>
      <c r="G144" s="36" t="n"/>
      <c r="H144" s="30" t="n">
        <v>0</v>
      </c>
      <c r="I144" s="30" t="n">
        <v>0</v>
      </c>
      <c r="J144" s="31">
        <f>IF(H144="","",H144-I144)</f>
        <v/>
      </c>
      <c r="K144" s="43" t="n"/>
      <c r="L144" s="32">
        <f>IF(OR(K144="",$F144=""),"",DATE(YEAR(K144),MONTH(K144)+VLOOKUP($F144,'Membership Level'!$A$3:$B$15,2,FALSE),DAY(K144)))</f>
        <v/>
      </c>
      <c r="M144" s="36" t="n"/>
      <c r="N144" s="34">
        <f>IF($L144="","",DATE(YEAR($L144),MONTH($L144),DAY($L144)-$M144))</f>
        <v/>
      </c>
      <c r="O144" s="33">
        <f>IF($L144="","",IF(DAYS360(NOW(),$L144)&gt;=0,DAYS360(NOW(),$L144),""))</f>
        <v/>
      </c>
      <c r="P144" s="34">
        <f>IF(OR(H144="",H144=0,F144="",K144=""),"",I144/H144*VLOOKUP(F144,'Membership Level'!$A$3:$C$15,3,FALSE)+K144)</f>
        <v/>
      </c>
      <c r="Q144" s="36" t="n"/>
    </row>
    <row r="145">
      <c r="C145" s="36" t="n"/>
      <c r="D145" s="36" t="n"/>
      <c r="E145" s="54" t="n"/>
      <c r="F145" s="36" t="n"/>
      <c r="G145" s="36" t="n"/>
      <c r="H145" s="30" t="n">
        <v>0</v>
      </c>
      <c r="I145" s="30" t="n">
        <v>0</v>
      </c>
      <c r="J145" s="31">
        <f>IF(H145="","",H145-I145)</f>
        <v/>
      </c>
      <c r="K145" s="43" t="n"/>
      <c r="L145" s="32">
        <f>IF(OR(K145="",$F145=""),"",DATE(YEAR(K145),MONTH(K145)+VLOOKUP($F145,'Membership Level'!$A$3:$B$15,2,FALSE),DAY(K145)))</f>
        <v/>
      </c>
      <c r="M145" s="36" t="n"/>
      <c r="N145" s="34">
        <f>IF($L145="","",DATE(YEAR($L145),MONTH($L145),DAY($L145)-$M145))</f>
        <v/>
      </c>
      <c r="O145" s="33">
        <f>IF($L145="","",IF(DAYS360(NOW(),$L145)&gt;=0,DAYS360(NOW(),$L145),""))</f>
        <v/>
      </c>
      <c r="P145" s="34">
        <f>IF(OR(H145="",H145=0,F145="",K145=""),"",I145/H145*VLOOKUP(F145,'Membership Level'!$A$3:$C$15,3,FALSE)+K145)</f>
        <v/>
      </c>
      <c r="Q145" s="36" t="n"/>
    </row>
    <row r="146">
      <c r="C146" s="36" t="n"/>
      <c r="D146" s="36" t="n"/>
      <c r="E146" s="54" t="n"/>
      <c r="F146" s="36" t="n"/>
      <c r="G146" s="36" t="n"/>
      <c r="H146" s="30" t="n">
        <v>0</v>
      </c>
      <c r="I146" s="30" t="n">
        <v>0</v>
      </c>
      <c r="J146" s="31">
        <f>IF(H146="","",H146-I146)</f>
        <v/>
      </c>
      <c r="K146" s="43" t="n"/>
      <c r="L146" s="32">
        <f>IF(OR(K146="",$F146=""),"",DATE(YEAR(K146),MONTH(K146)+VLOOKUP($F146,'Membership Level'!$A$3:$B$15,2,FALSE),DAY(K146)))</f>
        <v/>
      </c>
      <c r="M146" s="36" t="n"/>
      <c r="N146" s="34">
        <f>IF($L146="","",DATE(YEAR($L146),MONTH($L146),DAY($L146)-$M146))</f>
        <v/>
      </c>
      <c r="O146" s="33">
        <f>IF($L146="","",IF(DAYS360(NOW(),$L146)&gt;=0,DAYS360(NOW(),$L146),""))</f>
        <v/>
      </c>
      <c r="P146" s="34">
        <f>IF(OR(H146="",H146=0,F146="",K146=""),"",I146/H146*VLOOKUP(F146,'Membership Level'!$A$3:$C$15,3,FALSE)+K146)</f>
        <v/>
      </c>
      <c r="Q146" s="36" t="n"/>
    </row>
    <row r="147">
      <c r="C147" s="36" t="n"/>
      <c r="D147" s="36" t="n"/>
      <c r="E147" s="54" t="n"/>
      <c r="F147" s="36" t="n"/>
      <c r="G147" s="36" t="n"/>
      <c r="H147" s="30" t="n">
        <v>0</v>
      </c>
      <c r="I147" s="30" t="n">
        <v>0</v>
      </c>
      <c r="J147" s="31">
        <f>IF(H147="","",H147-I147)</f>
        <v/>
      </c>
      <c r="K147" s="43" t="n"/>
      <c r="L147" s="32">
        <f>IF(OR(K147="",$F147=""),"",DATE(YEAR(K147),MONTH(K147)+VLOOKUP($F147,'Membership Level'!$A$3:$B$15,2,FALSE),DAY(K147)))</f>
        <v/>
      </c>
      <c r="M147" s="36" t="n"/>
      <c r="N147" s="34">
        <f>IF($L147="","",DATE(YEAR($L147),MONTH($L147),DAY($L147)-$M147))</f>
        <v/>
      </c>
      <c r="O147" s="33">
        <f>IF($L147="","",IF(DAYS360(NOW(),$L147)&gt;=0,DAYS360(NOW(),$L147),""))</f>
        <v/>
      </c>
      <c r="P147" s="34">
        <f>IF(OR(H147="",H147=0,F147="",K147=""),"",I147/H147*VLOOKUP(F147,'Membership Level'!$A$3:$C$15,3,FALSE)+K147)</f>
        <v/>
      </c>
      <c r="Q147" s="36" t="n"/>
    </row>
    <row r="148">
      <c r="C148" s="36" t="n"/>
      <c r="D148" s="36" t="n"/>
      <c r="E148" s="54" t="n"/>
      <c r="F148" s="36" t="n"/>
      <c r="G148" s="36" t="n"/>
      <c r="H148" s="30" t="n">
        <v>0</v>
      </c>
      <c r="I148" s="30" t="n">
        <v>0</v>
      </c>
      <c r="J148" s="31">
        <f>IF(H148="","",H148-I148)</f>
        <v/>
      </c>
      <c r="K148" s="43" t="n"/>
      <c r="L148" s="32">
        <f>IF(OR(K148="",$F148=""),"",DATE(YEAR(K148),MONTH(K148)+VLOOKUP($F148,'Membership Level'!$A$3:$B$15,2,FALSE),DAY(K148)))</f>
        <v/>
      </c>
      <c r="M148" s="36" t="n"/>
      <c r="N148" s="34">
        <f>IF($L148="","",DATE(YEAR($L148),MONTH($L148),DAY($L148)-$M148))</f>
        <v/>
      </c>
      <c r="O148" s="33">
        <f>IF($L148="","",IF(DAYS360(NOW(),$L148)&gt;=0,DAYS360(NOW(),$L148),""))</f>
        <v/>
      </c>
      <c r="P148" s="34">
        <f>IF(OR(H148="",H148=0,F148="",K148=""),"",I148/H148*VLOOKUP(F148,'Membership Level'!$A$3:$C$15,3,FALSE)+K148)</f>
        <v/>
      </c>
      <c r="Q148" s="36" t="n"/>
    </row>
    <row r="149">
      <c r="C149" s="36" t="n"/>
      <c r="D149" s="36" t="n"/>
      <c r="E149" s="54" t="n"/>
      <c r="F149" s="36" t="n"/>
      <c r="G149" s="36" t="n"/>
      <c r="H149" s="30" t="n">
        <v>0</v>
      </c>
      <c r="I149" s="30" t="n">
        <v>0</v>
      </c>
      <c r="J149" s="31">
        <f>IF(H149="","",H149-I149)</f>
        <v/>
      </c>
      <c r="K149" s="43" t="n"/>
      <c r="L149" s="32">
        <f>IF(OR(K149="",$F149=""),"",DATE(YEAR(K149),MONTH(K149)+VLOOKUP($F149,'Membership Level'!$A$3:$B$15,2,FALSE),DAY(K149)))</f>
        <v/>
      </c>
      <c r="M149" s="36" t="n"/>
      <c r="N149" s="34">
        <f>IF($L149="","",DATE(YEAR($L149),MONTH($L149),DAY($L149)-$M149))</f>
        <v/>
      </c>
      <c r="O149" s="33">
        <f>IF($L149="","",IF(DAYS360(NOW(),$L149)&gt;=0,DAYS360(NOW(),$L149),""))</f>
        <v/>
      </c>
      <c r="P149" s="34">
        <f>IF(OR(H149="",H149=0,F149="",K149=""),"",I149/H149*VLOOKUP(F149,'Membership Level'!$A$3:$C$15,3,FALSE)+K149)</f>
        <v/>
      </c>
      <c r="Q149" s="36" t="n"/>
    </row>
    <row r="150">
      <c r="C150" s="36" t="n"/>
      <c r="D150" s="36" t="n"/>
      <c r="E150" s="54" t="n"/>
      <c r="F150" s="36" t="n"/>
      <c r="G150" s="36" t="n"/>
      <c r="H150" s="30" t="n">
        <v>0</v>
      </c>
      <c r="I150" s="30" t="n">
        <v>0</v>
      </c>
      <c r="J150" s="31">
        <f>IF(H150="","",H150-I150)</f>
        <v/>
      </c>
      <c r="K150" s="43" t="n"/>
      <c r="L150" s="32">
        <f>IF(OR(K150="",$F150=""),"",DATE(YEAR(K150),MONTH(K150)+VLOOKUP($F150,'Membership Level'!$A$3:$B$15,2,FALSE),DAY(K150)))</f>
        <v/>
      </c>
      <c r="M150" s="36" t="n"/>
      <c r="N150" s="34">
        <f>IF($L150="","",DATE(YEAR($L150),MONTH($L150),DAY($L150)-$M150))</f>
        <v/>
      </c>
      <c r="O150" s="33">
        <f>IF($L150="","",IF(DAYS360(NOW(),$L150)&gt;=0,DAYS360(NOW(),$L150),""))</f>
        <v/>
      </c>
      <c r="P150" s="34">
        <f>IF(OR(H150="",H150=0,F150="",K150=""),"",I150/H150*VLOOKUP(F150,'Membership Level'!$A$3:$C$15,3,FALSE)+K150)</f>
        <v/>
      </c>
      <c r="Q150" s="36" t="n"/>
    </row>
    <row r="151">
      <c r="C151" s="36" t="n"/>
      <c r="D151" s="36" t="n"/>
      <c r="E151" s="54" t="n"/>
      <c r="F151" s="36" t="n"/>
      <c r="G151" s="36" t="n"/>
      <c r="H151" s="30" t="n">
        <v>0</v>
      </c>
      <c r="I151" s="30" t="n">
        <v>0</v>
      </c>
      <c r="J151" s="31">
        <f>IF(H151="","",H151-I151)</f>
        <v/>
      </c>
      <c r="K151" s="43" t="n"/>
      <c r="L151" s="32">
        <f>IF(OR(K151="",$F151=""),"",DATE(YEAR(K151),MONTH(K151)+VLOOKUP($F151,'Membership Level'!$A$3:$B$15,2,FALSE),DAY(K151)))</f>
        <v/>
      </c>
      <c r="M151" s="36" t="n"/>
      <c r="N151" s="34">
        <f>IF($L151="","",DATE(YEAR($L151),MONTH($L151),DAY($L151)-$M151))</f>
        <v/>
      </c>
      <c r="O151" s="33">
        <f>IF($L151="","",IF(DAYS360(NOW(),$L151)&gt;=0,DAYS360(NOW(),$L151),""))</f>
        <v/>
      </c>
      <c r="P151" s="34">
        <f>IF(OR(H151="",H151=0,F151="",K151=""),"",I151/H151*VLOOKUP(F151,'Membership Level'!$A$3:$C$15,3,FALSE)+K151)</f>
        <v/>
      </c>
      <c r="Q151" s="36" t="n"/>
    </row>
    <row r="152">
      <c r="C152" s="36" t="n"/>
      <c r="D152" s="36" t="n"/>
      <c r="E152" s="54" t="n"/>
      <c r="F152" s="36" t="n"/>
      <c r="G152" s="36" t="n"/>
      <c r="H152" s="30" t="n">
        <v>0</v>
      </c>
      <c r="I152" s="30" t="n">
        <v>0</v>
      </c>
      <c r="J152" s="31">
        <f>IF(H152="","",H152-I152)</f>
        <v/>
      </c>
      <c r="K152" s="43" t="n"/>
      <c r="L152" s="32">
        <f>IF(OR(K152="",$F152=""),"",DATE(YEAR(K152),MONTH(K152)+VLOOKUP($F152,'Membership Level'!$A$3:$B$15,2,FALSE),DAY(K152)))</f>
        <v/>
      </c>
      <c r="M152" s="36" t="n"/>
      <c r="N152" s="34">
        <f>IF($L152="","",DATE(YEAR($L152),MONTH($L152),DAY($L152)-$M152))</f>
        <v/>
      </c>
      <c r="O152" s="33">
        <f>IF($L152="","",IF(DAYS360(NOW(),$L152)&gt;=0,DAYS360(NOW(),$L152),""))</f>
        <v/>
      </c>
      <c r="P152" s="34">
        <f>IF(OR(H152="",H152=0,F152="",K152=""),"",I152/H152*VLOOKUP(F152,'Membership Level'!$A$3:$C$15,3,FALSE)+K152)</f>
        <v/>
      </c>
      <c r="Q152" s="36" t="n"/>
    </row>
    <row r="153">
      <c r="C153" s="36" t="n"/>
      <c r="D153" s="36" t="n"/>
      <c r="E153" s="54" t="n"/>
      <c r="F153" s="36" t="n"/>
      <c r="G153" s="36" t="n"/>
      <c r="H153" s="30" t="n">
        <v>0</v>
      </c>
      <c r="I153" s="30" t="n">
        <v>0</v>
      </c>
      <c r="J153" s="31">
        <f>IF(H153="","",H153-I153)</f>
        <v/>
      </c>
      <c r="K153" s="43" t="n"/>
      <c r="L153" s="32">
        <f>IF(OR(K153="",$F153=""),"",DATE(YEAR(K153),MONTH(K153)+VLOOKUP($F153,'Membership Level'!$A$3:$B$15,2,FALSE),DAY(K153)))</f>
        <v/>
      </c>
      <c r="M153" s="36" t="n"/>
      <c r="N153" s="34">
        <f>IF($L153="","",DATE(YEAR($L153),MONTH($L153),DAY($L153)-$M153))</f>
        <v/>
      </c>
      <c r="O153" s="33">
        <f>IF($L153="","",IF(DAYS360(NOW(),$L153)&gt;=0,DAYS360(NOW(),$L153),""))</f>
        <v/>
      </c>
      <c r="P153" s="34">
        <f>IF(OR(H153="",H153=0,F153="",K153=""),"",I153/H153*VLOOKUP(F153,'Membership Level'!$A$3:$C$15,3,FALSE)+K153)</f>
        <v/>
      </c>
      <c r="Q153" s="36" t="n"/>
    </row>
    <row r="154">
      <c r="C154" s="36" t="n"/>
      <c r="D154" s="36" t="n"/>
      <c r="E154" s="54" t="n"/>
      <c r="F154" s="36" t="n"/>
      <c r="G154" s="36" t="n"/>
      <c r="H154" s="30" t="n">
        <v>0</v>
      </c>
      <c r="I154" s="30" t="n">
        <v>0</v>
      </c>
      <c r="J154" s="31">
        <f>IF(H154="","",H154-I154)</f>
        <v/>
      </c>
      <c r="K154" s="43" t="n"/>
      <c r="L154" s="32">
        <f>IF(OR(K154="",$F154=""),"",DATE(YEAR(K154),MONTH(K154)+VLOOKUP($F154,'Membership Level'!$A$3:$B$15,2,FALSE),DAY(K154)))</f>
        <v/>
      </c>
      <c r="M154" s="36" t="n"/>
      <c r="N154" s="34">
        <f>IF($L154="","",DATE(YEAR($L154),MONTH($L154),DAY($L154)-$M154))</f>
        <v/>
      </c>
      <c r="O154" s="33">
        <f>IF($L154="","",IF(DAYS360(NOW(),$L154)&gt;=0,DAYS360(NOW(),$L154),""))</f>
        <v/>
      </c>
      <c r="P154" s="34">
        <f>IF(OR(H154="",H154=0,F154="",K154=""),"",I154/H154*VLOOKUP(F154,'Membership Level'!$A$3:$C$15,3,FALSE)+K154)</f>
        <v/>
      </c>
      <c r="Q154" s="36" t="n"/>
    </row>
    <row r="155">
      <c r="C155" s="36" t="n"/>
      <c r="D155" s="36" t="n"/>
      <c r="E155" s="54" t="n"/>
      <c r="F155" s="36" t="n"/>
      <c r="G155" s="36" t="n"/>
      <c r="H155" s="30" t="n">
        <v>0</v>
      </c>
      <c r="I155" s="30" t="n">
        <v>0</v>
      </c>
      <c r="J155" s="31">
        <f>IF(H155="","",H155-I155)</f>
        <v/>
      </c>
      <c r="K155" s="43" t="n"/>
      <c r="L155" s="32">
        <f>IF(OR(K155="",$F155=""),"",DATE(YEAR(K155),MONTH(K155)+VLOOKUP($F155,'Membership Level'!$A$3:$B$15,2,FALSE),DAY(K155)))</f>
        <v/>
      </c>
      <c r="M155" s="36" t="n"/>
      <c r="N155" s="34">
        <f>IF($L155="","",DATE(YEAR($L155),MONTH($L155),DAY($L155)-$M155))</f>
        <v/>
      </c>
      <c r="O155" s="33">
        <f>IF($L155="","",IF(DAYS360(NOW(),$L155)&gt;=0,DAYS360(NOW(),$L155),""))</f>
        <v/>
      </c>
      <c r="P155" s="34">
        <f>IF(OR(H155="",H155=0,F155="",K155=""),"",I155/H155*VLOOKUP(F155,'Membership Level'!$A$3:$C$15,3,FALSE)+K155)</f>
        <v/>
      </c>
      <c r="Q155" s="36" t="n"/>
    </row>
    <row r="156">
      <c r="C156" s="36" t="n"/>
      <c r="D156" s="36" t="n"/>
      <c r="E156" s="54" t="n"/>
      <c r="F156" s="36" t="n"/>
      <c r="G156" s="36" t="n"/>
      <c r="H156" s="30" t="n">
        <v>0</v>
      </c>
      <c r="I156" s="30" t="n">
        <v>0</v>
      </c>
      <c r="J156" s="31">
        <f>IF(H156="","",H156-I156)</f>
        <v/>
      </c>
      <c r="K156" s="43" t="n"/>
      <c r="L156" s="32">
        <f>IF(OR(K156="",$F156=""),"",DATE(YEAR(K156),MONTH(K156)+VLOOKUP($F156,'Membership Level'!$A$3:$B$15,2,FALSE),DAY(K156)))</f>
        <v/>
      </c>
      <c r="M156" s="36" t="n"/>
      <c r="N156" s="34">
        <f>IF($L156="","",DATE(YEAR($L156),MONTH($L156),DAY($L156)-$M156))</f>
        <v/>
      </c>
      <c r="O156" s="33">
        <f>IF($L156="","",IF(DAYS360(NOW(),$L156)&gt;=0,DAYS360(NOW(),$L156),""))</f>
        <v/>
      </c>
      <c r="P156" s="34">
        <f>IF(OR(H156="",H156=0,F156="",K156=""),"",I156/H156*VLOOKUP(F156,'Membership Level'!$A$3:$C$15,3,FALSE)+K156)</f>
        <v/>
      </c>
      <c r="Q156" s="36" t="n"/>
    </row>
    <row r="157">
      <c r="C157" s="36" t="n"/>
      <c r="D157" s="36" t="n"/>
      <c r="E157" s="54" t="n"/>
      <c r="F157" s="36" t="n"/>
      <c r="G157" s="36" t="n"/>
      <c r="H157" s="30" t="n">
        <v>0</v>
      </c>
      <c r="I157" s="30" t="n">
        <v>0</v>
      </c>
      <c r="J157" s="31">
        <f>IF(H157="","",H157-I157)</f>
        <v/>
      </c>
      <c r="K157" s="43" t="n"/>
      <c r="L157" s="32">
        <f>IF(OR(K157="",$F157=""),"",DATE(YEAR(K157),MONTH(K157)+VLOOKUP($F157,'Membership Level'!$A$3:$B$15,2,FALSE),DAY(K157)))</f>
        <v/>
      </c>
      <c r="M157" s="36" t="n"/>
      <c r="N157" s="34">
        <f>IF($L157="","",DATE(YEAR($L157),MONTH($L157),DAY($L157)-$M157))</f>
        <v/>
      </c>
      <c r="O157" s="33">
        <f>IF($L157="","",IF(DAYS360(NOW(),$L157)&gt;=0,DAYS360(NOW(),$L157),""))</f>
        <v/>
      </c>
      <c r="P157" s="34">
        <f>IF(OR(H157="",H157=0,F157="",K157=""),"",I157/H157*VLOOKUP(F157,'Membership Level'!$A$3:$C$15,3,FALSE)+K157)</f>
        <v/>
      </c>
      <c r="Q157" s="36" t="n"/>
    </row>
    <row r="158">
      <c r="C158" s="36" t="n"/>
      <c r="D158" s="36" t="n"/>
      <c r="E158" s="54" t="n"/>
      <c r="F158" s="36" t="n"/>
      <c r="G158" s="36" t="n"/>
      <c r="H158" s="30" t="n">
        <v>0</v>
      </c>
      <c r="I158" s="30" t="n">
        <v>0</v>
      </c>
      <c r="J158" s="31">
        <f>IF(H158="","",H158-I158)</f>
        <v/>
      </c>
      <c r="K158" s="43" t="n"/>
      <c r="L158" s="32">
        <f>IF(OR(K158="",$F158=""),"",DATE(YEAR(K158),MONTH(K158)+VLOOKUP($F158,'Membership Level'!$A$3:$B$15,2,FALSE),DAY(K158)))</f>
        <v/>
      </c>
      <c r="M158" s="36" t="n"/>
      <c r="N158" s="34">
        <f>IF($L158="","",DATE(YEAR($L158),MONTH($L158),DAY($L158)-$M158))</f>
        <v/>
      </c>
      <c r="O158" s="33">
        <f>IF($L158="","",IF(DAYS360(NOW(),$L158)&gt;=0,DAYS360(NOW(),$L158),""))</f>
        <v/>
      </c>
      <c r="P158" s="34">
        <f>IF(OR(H158="",H158=0,F158="",K158=""),"",I158/H158*VLOOKUP(F158,'Membership Level'!$A$3:$C$15,3,FALSE)+K158)</f>
        <v/>
      </c>
      <c r="Q158" s="36" t="n"/>
    </row>
    <row r="159">
      <c r="C159" s="36" t="n"/>
      <c r="D159" s="36" t="n"/>
      <c r="E159" s="55" t="n"/>
      <c r="F159" s="36" t="n"/>
      <c r="G159" s="36" t="n"/>
      <c r="H159" s="30" t="n">
        <v>0</v>
      </c>
      <c r="I159" s="30" t="n">
        <v>0</v>
      </c>
      <c r="J159" s="31">
        <f>IF(H159="","",H159-I159)</f>
        <v/>
      </c>
      <c r="K159" s="43" t="n"/>
      <c r="L159" s="32">
        <f>IF(OR(K159="",$F159=""),"",DATE(YEAR(K159),MONTH(K159)+VLOOKUP($F159,'Membership Level'!$A$3:$B$15,2,FALSE),DAY(K159)))</f>
        <v/>
      </c>
      <c r="M159" s="36" t="n"/>
      <c r="N159" s="34">
        <f>IF($L159="","",DATE(YEAR($L159),MONTH($L159),DAY($L159)-$M159))</f>
        <v/>
      </c>
      <c r="O159" s="33">
        <f>IF($L159="","",IF(DAYS360(NOW(),$L159)&gt;=0,DAYS360(NOW(),$L159),""))</f>
        <v/>
      </c>
      <c r="P159" s="34">
        <f>IF(OR(H159="",H159=0,F159="",K159=""),"",I159/H159*VLOOKUP(F159,'Membership Level'!$A$3:$C$15,3,FALSE)+K159)</f>
        <v/>
      </c>
      <c r="Q159" s="36" t="n"/>
    </row>
    <row r="160">
      <c r="C160" s="36" t="n"/>
      <c r="D160" s="36" t="n"/>
      <c r="E160" s="54" t="n"/>
      <c r="F160" s="36" t="n"/>
      <c r="G160" s="36" t="n"/>
      <c r="H160" s="30" t="n">
        <v>0</v>
      </c>
      <c r="I160" s="30" t="n">
        <v>0</v>
      </c>
      <c r="J160" s="31">
        <f>IF(H160="","",H160-I160)</f>
        <v/>
      </c>
      <c r="K160" s="43" t="n"/>
      <c r="L160" s="32">
        <f>IF(OR(K160="",$F160=""),"",DATE(YEAR(K160),MONTH(K160)+VLOOKUP($F160,'Membership Level'!$A$3:$B$15,2,FALSE),DAY(K160)))</f>
        <v/>
      </c>
      <c r="M160" s="36" t="n"/>
      <c r="N160" s="34">
        <f>IF($L160="","",DATE(YEAR($L160),MONTH($L160),DAY($L160)-$M160))</f>
        <v/>
      </c>
      <c r="O160" s="33">
        <f>IF($L160="","",IF(DAYS360(NOW(),$L160)&gt;=0,DAYS360(NOW(),$L160),""))</f>
        <v/>
      </c>
      <c r="P160" s="34">
        <f>IF(OR(H160="",H160=0,F160="",K160=""),"",I160/H160*VLOOKUP(F160,'Membership Level'!$A$3:$C$15,3,FALSE)+K160)</f>
        <v/>
      </c>
      <c r="Q160" s="36" t="n"/>
    </row>
    <row r="161">
      <c r="C161" s="36" t="n"/>
      <c r="D161" s="36" t="n"/>
      <c r="E161" s="54" t="n"/>
      <c r="F161" s="36" t="n"/>
      <c r="G161" s="36" t="n"/>
      <c r="H161" s="30" t="n">
        <v>0</v>
      </c>
      <c r="I161" s="30" t="n">
        <v>0</v>
      </c>
      <c r="J161" s="31">
        <f>IF(H161="","",H161-I161)</f>
        <v/>
      </c>
      <c r="K161" s="43" t="n"/>
      <c r="L161" s="32">
        <f>IF(OR(K161="",$F161=""),"",DATE(YEAR(K161),MONTH(K161)+VLOOKUP($F161,'Membership Level'!$A$3:$B$15,2,FALSE),DAY(K161)))</f>
        <v/>
      </c>
      <c r="M161" s="36" t="n"/>
      <c r="N161" s="34">
        <f>IF($L161="","",DATE(YEAR($L161),MONTH($L161),DAY($L161)-$M161))</f>
        <v/>
      </c>
      <c r="O161" s="33">
        <f>IF($L161="","",IF(DAYS360(NOW(),$L161)&gt;=0,DAYS360(NOW(),$L161),""))</f>
        <v/>
      </c>
      <c r="P161" s="34">
        <f>IF(OR(H161="",H161=0,F161="",K161=""),"",I161/H161*VLOOKUP(F161,'Membership Level'!$A$3:$C$15,3,FALSE)+K161)</f>
        <v/>
      </c>
      <c r="Q161" s="36" t="n"/>
    </row>
    <row r="162">
      <c r="C162" s="36" t="n"/>
      <c r="D162" s="36" t="n"/>
      <c r="E162" s="54" t="n"/>
      <c r="F162" s="36" t="n"/>
      <c r="G162" s="36" t="n"/>
      <c r="H162" s="30" t="n">
        <v>0</v>
      </c>
      <c r="I162" s="30" t="n">
        <v>0</v>
      </c>
      <c r="J162" s="31">
        <f>IF(H162="","",H162-I162)</f>
        <v/>
      </c>
      <c r="K162" s="43" t="n"/>
      <c r="L162" s="32">
        <f>IF(OR(K162="",$F162=""),"",DATE(YEAR(K162),MONTH(K162)+VLOOKUP($F162,'Membership Level'!$A$3:$B$15,2,FALSE),DAY(K162)))</f>
        <v/>
      </c>
      <c r="M162" s="36" t="n"/>
      <c r="N162" s="34">
        <f>IF($L162="","",DATE(YEAR($L162),MONTH($L162),DAY($L162)-$M162))</f>
        <v/>
      </c>
      <c r="O162" s="33">
        <f>IF($L162="","",IF(DAYS360(NOW(),$L162)&gt;=0,DAYS360(NOW(),$L162),""))</f>
        <v/>
      </c>
      <c r="P162" s="34">
        <f>IF(OR(H162="",H162=0,F162="",K162=""),"",I162/H162*VLOOKUP(F162,'Membership Level'!$A$3:$C$15,3,FALSE)+K162)</f>
        <v/>
      </c>
      <c r="Q162" s="36" t="n"/>
    </row>
    <row r="163">
      <c r="C163" s="36" t="n"/>
      <c r="D163" s="36" t="n"/>
      <c r="E163" s="54" t="n"/>
      <c r="F163" s="36" t="n"/>
      <c r="G163" s="36" t="n"/>
      <c r="H163" s="30" t="n">
        <v>0</v>
      </c>
      <c r="I163" s="30" t="n">
        <v>0</v>
      </c>
      <c r="J163" s="31">
        <f>IF(H163="","",H163-I163)</f>
        <v/>
      </c>
      <c r="K163" s="43" t="n"/>
      <c r="L163" s="32">
        <f>IF(OR(K163="",$F163=""),"",DATE(YEAR(K163),MONTH(K163)+VLOOKUP($F163,'Membership Level'!$A$3:$B$15,2,FALSE),DAY(K163)))</f>
        <v/>
      </c>
      <c r="M163" s="36" t="n"/>
      <c r="N163" s="34">
        <f>IF($L163="","",DATE(YEAR($L163),MONTH($L163),DAY($L163)-$M163))</f>
        <v/>
      </c>
      <c r="O163" s="33">
        <f>IF($L163="","",IF(DAYS360(NOW(),$L163)&gt;=0,DAYS360(NOW(),$L163),""))</f>
        <v/>
      </c>
      <c r="P163" s="34">
        <f>IF(OR(H163="",H163=0,F163="",K163=""),"",I163/H163*VLOOKUP(F163,'Membership Level'!$A$3:$C$15,3,FALSE)+K163)</f>
        <v/>
      </c>
      <c r="Q163" s="36" t="n"/>
    </row>
    <row r="164">
      <c r="C164" s="36" t="n"/>
      <c r="D164" s="36" t="n"/>
      <c r="E164" s="54" t="n"/>
      <c r="F164" s="36" t="n"/>
      <c r="G164" s="36" t="n"/>
      <c r="H164" s="30" t="n">
        <v>0</v>
      </c>
      <c r="I164" s="30" t="n">
        <v>0</v>
      </c>
      <c r="J164" s="31">
        <f>IF(H164="","",H164-I164)</f>
        <v/>
      </c>
      <c r="K164" s="43" t="n"/>
      <c r="L164" s="32">
        <f>IF(OR(K164="",$F164=""),"",DATE(YEAR(K164),MONTH(K164)+VLOOKUP($F164,'Membership Level'!$A$3:$B$15,2,FALSE),DAY(K164)))</f>
        <v/>
      </c>
      <c r="M164" s="36" t="n"/>
      <c r="N164" s="34">
        <f>IF($L164="","",DATE(YEAR($L164),MONTH($L164),DAY($L164)-$M164))</f>
        <v/>
      </c>
      <c r="O164" s="33">
        <f>IF($L164="","",IF(DAYS360(NOW(),$L164)&gt;=0,DAYS360(NOW(),$L164),""))</f>
        <v/>
      </c>
      <c r="P164" s="34">
        <f>IF(OR(H164="",H164=0,F164="",K164=""),"",I164/H164*VLOOKUP(F164,'Membership Level'!$A$3:$C$15,3,FALSE)+K164)</f>
        <v/>
      </c>
      <c r="Q164" s="36" t="n"/>
    </row>
    <row r="165">
      <c r="C165" s="36" t="n"/>
      <c r="D165" s="36" t="n"/>
      <c r="E165" s="54" t="n"/>
      <c r="F165" s="36" t="n"/>
      <c r="G165" s="36" t="n"/>
      <c r="H165" s="30" t="n">
        <v>0</v>
      </c>
      <c r="I165" s="30" t="n">
        <v>0</v>
      </c>
      <c r="J165" s="31">
        <f>IF(H165="","",H165-I165)</f>
        <v/>
      </c>
      <c r="K165" s="43" t="n"/>
      <c r="L165" s="32">
        <f>IF(OR(K165="",$F165=""),"",DATE(YEAR(K165),MONTH(K165)+VLOOKUP($F165,'Membership Level'!$A$3:$B$15,2,FALSE),DAY(K165)))</f>
        <v/>
      </c>
      <c r="M165" s="36" t="n"/>
      <c r="N165" s="34">
        <f>IF($L165="","",DATE(YEAR($L165),MONTH($L165),DAY($L165)-$M165))</f>
        <v/>
      </c>
      <c r="O165" s="33">
        <f>IF($L165="","",IF(DAYS360(NOW(),$L165)&gt;=0,DAYS360(NOW(),$L165),""))</f>
        <v/>
      </c>
      <c r="P165" s="34">
        <f>IF(OR(H165="",H165=0,F165="",K165=""),"",I165/H165*VLOOKUP(F165,'Membership Level'!$A$3:$C$15,3,FALSE)+K165)</f>
        <v/>
      </c>
      <c r="Q165" s="36" t="n"/>
    </row>
    <row r="166">
      <c r="C166" s="36" t="n"/>
      <c r="D166" s="36" t="n"/>
      <c r="E166" s="54" t="n"/>
      <c r="F166" s="36" t="n"/>
      <c r="G166" s="36" t="n"/>
      <c r="H166" s="30" t="n">
        <v>0</v>
      </c>
      <c r="I166" s="30" t="n">
        <v>0</v>
      </c>
      <c r="J166" s="31">
        <f>IF(H166="","",H166-I166)</f>
        <v/>
      </c>
      <c r="K166" s="43" t="n"/>
      <c r="L166" s="32">
        <f>IF(OR(K166="",$F166=""),"",DATE(YEAR(K166),MONTH(K166)+VLOOKUP($F166,'Membership Level'!$A$3:$B$15,2,FALSE),DAY(K166)))</f>
        <v/>
      </c>
      <c r="M166" s="36" t="n"/>
      <c r="N166" s="34">
        <f>IF($L166="","",DATE(YEAR($L166),MONTH($L166),DAY($L166)-$M166))</f>
        <v/>
      </c>
      <c r="O166" s="33">
        <f>IF($L166="","",IF(DAYS360(NOW(),$L166)&gt;=0,DAYS360(NOW(),$L166),""))</f>
        <v/>
      </c>
      <c r="P166" s="34">
        <f>IF(OR(H166="",H166=0,F166="",K166=""),"",I166/H166*VLOOKUP(F166,'Membership Level'!$A$3:$C$15,3,FALSE)+K166)</f>
        <v/>
      </c>
      <c r="Q166" s="36" t="n"/>
    </row>
    <row r="167">
      <c r="C167" s="36" t="n"/>
      <c r="D167" s="36" t="n"/>
      <c r="E167" s="54" t="n"/>
      <c r="F167" s="36" t="n"/>
      <c r="G167" s="36" t="n"/>
      <c r="H167" s="30" t="n">
        <v>0</v>
      </c>
      <c r="I167" s="30" t="n">
        <v>0</v>
      </c>
      <c r="J167" s="31">
        <f>IF(H167="","",H167-I167)</f>
        <v/>
      </c>
      <c r="K167" s="43" t="n"/>
      <c r="L167" s="32">
        <f>IF(OR(K167="",$F167=""),"",DATE(YEAR(K167),MONTH(K167)+VLOOKUP($F167,'Membership Level'!$A$3:$B$15,2,FALSE),DAY(K167)))</f>
        <v/>
      </c>
      <c r="M167" s="36" t="n"/>
      <c r="N167" s="34">
        <f>IF($L167="","",DATE(YEAR($L167),MONTH($L167),DAY($L167)-$M167))</f>
        <v/>
      </c>
      <c r="O167" s="33">
        <f>IF($L167="","",IF(DAYS360(NOW(),$L167)&gt;=0,DAYS360(NOW(),$L167),""))</f>
        <v/>
      </c>
      <c r="P167" s="34">
        <f>IF(OR(H167="",H167=0,F167="",K167=""),"",I167/H167*VLOOKUP(F167,'Membership Level'!$A$3:$C$15,3,FALSE)+K167)</f>
        <v/>
      </c>
      <c r="Q167" s="36" t="n"/>
    </row>
    <row r="168">
      <c r="C168" s="36" t="n"/>
      <c r="D168" s="36" t="n"/>
      <c r="E168" s="54" t="n"/>
      <c r="F168" s="36" t="n"/>
      <c r="G168" s="36" t="n"/>
      <c r="H168" s="30" t="n">
        <v>0</v>
      </c>
      <c r="I168" s="30" t="n">
        <v>0</v>
      </c>
      <c r="J168" s="31">
        <f>IF(H168="","",H168-I168)</f>
        <v/>
      </c>
      <c r="K168" s="43" t="n"/>
      <c r="L168" s="32">
        <f>IF(OR(K168="",$F168=""),"",DATE(YEAR(K168),MONTH(K168)+VLOOKUP($F168,'Membership Level'!$A$3:$B$15,2,FALSE),DAY(K168)))</f>
        <v/>
      </c>
      <c r="M168" s="36" t="n"/>
      <c r="N168" s="34">
        <f>IF($L168="","",DATE(YEAR($L168),MONTH($L168),DAY($L168)-$M168))</f>
        <v/>
      </c>
      <c r="O168" s="33">
        <f>IF($L168="","",IF(DAYS360(NOW(),$L168)&gt;=0,DAYS360(NOW(),$L168),""))</f>
        <v/>
      </c>
      <c r="P168" s="34">
        <f>IF(OR(H168="",H168=0,F168="",K168=""),"",I168/H168*VLOOKUP(F168,'Membership Level'!$A$3:$C$15,3,FALSE)+K168)</f>
        <v/>
      </c>
      <c r="Q168" s="36" t="n"/>
    </row>
    <row r="169">
      <c r="C169" s="36" t="n"/>
      <c r="D169" s="36" t="n"/>
      <c r="E169" s="54" t="n"/>
      <c r="F169" s="36" t="n"/>
      <c r="G169" s="36" t="n"/>
      <c r="H169" s="30" t="n">
        <v>0</v>
      </c>
      <c r="I169" s="30" t="n">
        <v>0</v>
      </c>
      <c r="J169" s="31">
        <f>IF(H169="","",H169-I169)</f>
        <v/>
      </c>
      <c r="K169" s="43" t="n"/>
      <c r="L169" s="32">
        <f>IF(OR(K169="",$F169=""),"",DATE(YEAR(K169),MONTH(K169)+VLOOKUP($F169,'Membership Level'!$A$3:$B$15,2,FALSE),DAY(K169)))</f>
        <v/>
      </c>
      <c r="M169" s="36" t="n"/>
      <c r="N169" s="34">
        <f>IF($L169="","",DATE(YEAR($L169),MONTH($L169),DAY($L169)-$M169))</f>
        <v/>
      </c>
      <c r="O169" s="33">
        <f>IF($L169="","",IF(DAYS360(NOW(),$L169)&gt;=0,DAYS360(NOW(),$L169),""))</f>
        <v/>
      </c>
      <c r="P169" s="34">
        <f>IF(OR(H169="",H169=0,F169="",K169=""),"",I169/H169*VLOOKUP(F169,'Membership Level'!$A$3:$C$15,3,FALSE)+K169)</f>
        <v/>
      </c>
      <c r="Q169" s="36" t="n"/>
    </row>
    <row r="170">
      <c r="C170" s="36" t="n"/>
      <c r="D170" s="36" t="n"/>
      <c r="E170" s="54" t="n"/>
      <c r="F170" s="36" t="n"/>
      <c r="G170" s="36" t="n"/>
      <c r="H170" s="30" t="n">
        <v>0</v>
      </c>
      <c r="I170" s="30" t="n">
        <v>0</v>
      </c>
      <c r="J170" s="31">
        <f>IF(H170="","",H170-I170)</f>
        <v/>
      </c>
      <c r="K170" s="43" t="n"/>
      <c r="L170" s="32">
        <f>IF(OR(K170="",$F170=""),"",DATE(YEAR(K170),MONTH(K170)+VLOOKUP($F170,'Membership Level'!$A$3:$B$15,2,FALSE),DAY(K170)))</f>
        <v/>
      </c>
      <c r="M170" s="36" t="n"/>
      <c r="N170" s="34">
        <f>IF($L170="","",DATE(YEAR($L170),MONTH($L170),DAY($L170)-$M170))</f>
        <v/>
      </c>
      <c r="O170" s="33">
        <f>IF($L170="","",IF(DAYS360(NOW(),$L170)&gt;=0,DAYS360(NOW(),$L170),""))</f>
        <v/>
      </c>
      <c r="P170" s="34">
        <f>IF(OR(H170="",H170=0,F170="",K170=""),"",I170/H170*VLOOKUP(F170,'Membership Level'!$A$3:$C$15,3,FALSE)+K170)</f>
        <v/>
      </c>
      <c r="Q170" s="36" t="n"/>
    </row>
    <row r="171">
      <c r="C171" s="36" t="n"/>
      <c r="D171" s="36" t="n"/>
      <c r="E171" s="54" t="n"/>
      <c r="F171" s="36" t="n"/>
      <c r="G171" s="36" t="n"/>
      <c r="H171" s="30" t="n">
        <v>0</v>
      </c>
      <c r="I171" s="30" t="n">
        <v>0</v>
      </c>
      <c r="J171" s="31">
        <f>IF(H171="","",H171-I171)</f>
        <v/>
      </c>
      <c r="K171" s="43" t="n"/>
      <c r="L171" s="32">
        <f>IF(OR(K171="",$F171=""),"",DATE(YEAR(K171),MONTH(K171)+VLOOKUP($F171,'Membership Level'!$A$3:$B$15,2,FALSE),DAY(K171)))</f>
        <v/>
      </c>
      <c r="M171" s="36" t="n"/>
      <c r="N171" s="34">
        <f>IF($L171="","",DATE(YEAR($L171),MONTH($L171),DAY($L171)-$M171))</f>
        <v/>
      </c>
      <c r="O171" s="33">
        <f>IF($L171="","",IF(DAYS360(NOW(),$L171)&gt;=0,DAYS360(NOW(),$L171),""))</f>
        <v/>
      </c>
      <c r="P171" s="34">
        <f>IF(OR(H171="",H171=0,F171="",K171=""),"",I171/H171*VLOOKUP(F171,'Membership Level'!$A$3:$C$15,3,FALSE)+K171)</f>
        <v/>
      </c>
      <c r="Q171" s="36" t="n"/>
    </row>
    <row r="172">
      <c r="C172" s="36" t="n"/>
      <c r="D172" s="36" t="n"/>
      <c r="E172" s="54" t="n"/>
      <c r="F172" s="33" t="n"/>
      <c r="G172" s="36" t="n"/>
      <c r="H172" s="30" t="n">
        <v>0</v>
      </c>
      <c r="I172" s="30" t="n">
        <v>0</v>
      </c>
      <c r="J172" s="31">
        <f>IF(H172="","",H172-I172)</f>
        <v/>
      </c>
      <c r="K172" s="43" t="n"/>
      <c r="L172" s="32">
        <f>IF(OR(K172="",$F172=""),"",DATE(YEAR(K172),MONTH(K172)+VLOOKUP($F172,'Membership Level'!$A$3:$B$15,2,FALSE),DAY(K172)))</f>
        <v/>
      </c>
      <c r="M172" s="36" t="n"/>
      <c r="N172" s="34">
        <f>IF($L172="","",DATE(YEAR($L172),MONTH($L172),DAY($L172)-$M172))</f>
        <v/>
      </c>
      <c r="O172" s="33">
        <f>IF($L172="","",IF(DAYS360(NOW(),$L172)&gt;=0,DAYS360(NOW(),$L172),""))</f>
        <v/>
      </c>
      <c r="P172" s="34">
        <f>IF(OR(H172="",H172=0,F172="",K172=""),"",I172/H172*VLOOKUP(F172,'Membership Level'!$A$3:$C$15,3,FALSE)+K172)</f>
        <v/>
      </c>
      <c r="Q172" s="36" t="n"/>
    </row>
    <row r="173">
      <c r="C173" s="33" t="n"/>
      <c r="D173" s="36" t="n"/>
      <c r="E173" s="55" t="n"/>
      <c r="F173" s="33" t="n"/>
      <c r="G173" s="36" t="n"/>
      <c r="H173" s="30" t="n">
        <v>0</v>
      </c>
      <c r="I173" s="30" t="n">
        <v>0</v>
      </c>
      <c r="J173" s="31">
        <f>IF(H173="","",H173-I173)</f>
        <v/>
      </c>
      <c r="K173" s="43" t="n"/>
      <c r="L173" s="32">
        <f>IF(OR(K173="",$F173=""),"",DATE(YEAR(K173),MONTH(K173)+VLOOKUP($F173,'Membership Level'!$A$3:$B$15,2,FALSE),DAY(K173)))</f>
        <v/>
      </c>
      <c r="M173" s="36" t="n"/>
      <c r="N173" s="34">
        <f>IF($L173="","",DATE(YEAR($L173),MONTH($L173),DAY($L173)-$M173))</f>
        <v/>
      </c>
      <c r="O173" s="33">
        <f>IF($L173="","",IF(DAYS360(NOW(),$L173)&gt;=0,DAYS360(NOW(),$L173),""))</f>
        <v/>
      </c>
      <c r="P173" s="34">
        <f>IF(OR(H173="",H173=0,F173="",K173=""),"",I173/H173*VLOOKUP(F173,'Membership Level'!$A$3:$C$15,3,FALSE)+K173)</f>
        <v/>
      </c>
      <c r="Q173" s="36" t="n"/>
    </row>
    <row r="174" customFormat="1" s="22">
      <c r="C174" s="33" t="n"/>
      <c r="D174" s="33" t="n"/>
      <c r="E174" s="55" t="n"/>
      <c r="F174" s="33" t="n"/>
      <c r="G174" s="33" t="n"/>
      <c r="H174" s="30" t="n">
        <v>0</v>
      </c>
      <c r="I174" s="30" t="n">
        <v>0</v>
      </c>
      <c r="J174" s="31">
        <f>IF(H174="","",H174-I174)</f>
        <v/>
      </c>
      <c r="K174" s="32" t="n"/>
      <c r="L174" s="32">
        <f>IF(OR(K174="",$F174=""),"",DATE(YEAR(K174),MONTH(K174)+VLOOKUP($F174,'Membership Level'!$A$3:$B$15,2,FALSE),DAY(K174)))</f>
        <v/>
      </c>
      <c r="M174" s="33" t="n"/>
      <c r="N174" s="34">
        <f>IF($L174="","",DATE(YEAR($L174),MONTH($L174),DAY($L174)-$M174))</f>
        <v/>
      </c>
      <c r="O174" s="33">
        <f>IF($L174="","",IF(DAYS360(NOW(),$L174)&gt;=0,DAYS360(NOW(),$L174),""))</f>
        <v/>
      </c>
      <c r="P174" s="34">
        <f>IF(OR(H174="",H174=0,F174="",K174=""),"",I174/H174*VLOOKUP(F174,'Membership Level'!$A$3:$C$15,3,FALSE)+K174)</f>
        <v/>
      </c>
      <c r="Q174" s="33" t="n"/>
    </row>
    <row r="175" customFormat="1" s="22">
      <c r="C175" s="33" t="n"/>
      <c r="D175" s="33" t="n"/>
      <c r="E175" s="55" t="n"/>
      <c r="F175" s="36" t="n"/>
      <c r="G175" s="33" t="n"/>
      <c r="H175" s="30" t="n">
        <v>0</v>
      </c>
      <c r="I175" s="30" t="n">
        <v>0</v>
      </c>
      <c r="J175" s="31">
        <f>IF(H175="","",H175-I175)</f>
        <v/>
      </c>
      <c r="K175" s="32" t="n"/>
      <c r="L175" s="32">
        <f>IF(OR(K175="",$F175=""),"",DATE(YEAR(K175),MONTH(K175)+VLOOKUP($F175,'Membership Level'!$A$3:$B$15,2,FALSE),DAY(K175)))</f>
        <v/>
      </c>
      <c r="M175" s="33" t="n"/>
      <c r="N175" s="34">
        <f>IF($L175="","",DATE(YEAR($L175),MONTH($L175),DAY($L175)-$M175))</f>
        <v/>
      </c>
      <c r="O175" s="33">
        <f>IF($L175="","",IF(DAYS360(NOW(),$L175)&gt;=0,DAYS360(NOW(),$L175),""))</f>
        <v/>
      </c>
      <c r="P175" s="34">
        <f>IF(OR(H175="",H175=0,F175="",K175=""),"",I175/H175*VLOOKUP(F175,'Membership Level'!$A$3:$C$15,3,FALSE)+K175)</f>
        <v/>
      </c>
      <c r="Q175" s="33" t="n"/>
    </row>
    <row r="176" customFormat="1" s="22">
      <c r="C176" s="33" t="n"/>
      <c r="D176" s="33" t="n"/>
      <c r="E176" s="54" t="n"/>
      <c r="F176" s="36" t="n"/>
      <c r="G176" s="33" t="n"/>
      <c r="H176" s="30" t="n">
        <v>0</v>
      </c>
      <c r="I176" s="30" t="n">
        <v>0</v>
      </c>
      <c r="J176" s="31">
        <f>IF(H176="","",H176-I176)</f>
        <v/>
      </c>
      <c r="K176" s="32" t="n"/>
      <c r="L176" s="32">
        <f>IF(OR(K176="",$F176=""),"",DATE(YEAR(K176),MONTH(K176)+VLOOKUP($F176,'Membership Level'!$A$3:$B$15,2,FALSE),DAY(K176)))</f>
        <v/>
      </c>
      <c r="M176" s="33" t="n"/>
      <c r="N176" s="34">
        <f>IF($L176="","",DATE(YEAR($L176),MONTH($L176),DAY($L176)-$M176))</f>
        <v/>
      </c>
      <c r="O176" s="33">
        <f>IF($L176="","",IF(DAYS360(NOW(),$L176)&gt;=0,DAYS360(NOW(),$L176),""))</f>
        <v/>
      </c>
      <c r="P176" s="34">
        <f>IF(OR(H176="",H176=0,F176="",K176=""),"",I176/H176*VLOOKUP(F176,'Membership Level'!$A$3:$C$15,3,FALSE)+K176)</f>
        <v/>
      </c>
      <c r="Q176" s="33" t="n"/>
    </row>
    <row r="177">
      <c r="C177" s="36" t="n"/>
      <c r="D177" s="36" t="n"/>
      <c r="E177" s="54" t="n"/>
      <c r="F177" s="36" t="n"/>
      <c r="G177" s="36" t="n"/>
      <c r="H177" s="30" t="n">
        <v>0</v>
      </c>
      <c r="I177" s="30" t="n">
        <v>0</v>
      </c>
      <c r="J177" s="31">
        <f>IF(H177="","",H177-I177)</f>
        <v/>
      </c>
      <c r="K177" s="43" t="n"/>
      <c r="L177" s="32">
        <f>IF(OR(K177="",$F177=""),"",DATE(YEAR(K177),MONTH(K177)+VLOOKUP($F177,'Membership Level'!$A$3:$B$15,2,FALSE),DAY(K177)))</f>
        <v/>
      </c>
      <c r="M177" s="36" t="n"/>
      <c r="N177" s="34">
        <f>IF($L177="","",DATE(YEAR($L177),MONTH($L177),DAY($L177)-$M177))</f>
        <v/>
      </c>
      <c r="O177" s="33">
        <f>IF($L177="","",IF(DAYS360(NOW(),$L177)&gt;=0,DAYS360(NOW(),$L177),""))</f>
        <v/>
      </c>
      <c r="P177" s="34">
        <f>IF(OR(H177="",H177=0,F177="",K177=""),"",I177/H177*VLOOKUP(F177,'Membership Level'!$A$3:$C$15,3,FALSE)+K177)</f>
        <v/>
      </c>
      <c r="Q177" s="36" t="n"/>
    </row>
    <row r="178">
      <c r="C178" s="36" t="n"/>
      <c r="D178" s="36" t="n"/>
      <c r="E178" s="54" t="n"/>
      <c r="F178" s="36" t="n"/>
      <c r="G178" s="36" t="n"/>
      <c r="H178" s="30" t="n">
        <v>0</v>
      </c>
      <c r="I178" s="30" t="n">
        <v>0</v>
      </c>
      <c r="J178" s="31">
        <f>IF(H178="","",H178-I178)</f>
        <v/>
      </c>
      <c r="K178" s="43" t="n"/>
      <c r="L178" s="32">
        <f>IF(OR(K178="",$F178=""),"",DATE(YEAR(K178),MONTH(K178)+VLOOKUP($F178,'Membership Level'!$A$3:$B$15,2,FALSE),DAY(K178)))</f>
        <v/>
      </c>
      <c r="M178" s="36" t="n"/>
      <c r="N178" s="34">
        <f>IF($L178="","",DATE(YEAR($L178),MONTH($L178),DAY($L178)-$M178))</f>
        <v/>
      </c>
      <c r="O178" s="33">
        <f>IF($L178="","",IF(DAYS360(NOW(),$L178)&gt;=0,DAYS360(NOW(),$L178),""))</f>
        <v/>
      </c>
      <c r="P178" s="34">
        <f>IF(OR(H178="",H178=0,F178="",K178=""),"",I178/H178*VLOOKUP(F178,'Membership Level'!$A$3:$C$15,3,FALSE)+K178)</f>
        <v/>
      </c>
      <c r="Q178" s="36" t="n"/>
    </row>
    <row r="179">
      <c r="C179" s="36" t="n"/>
      <c r="D179" s="36" t="n"/>
      <c r="E179" s="54" t="n"/>
      <c r="F179" s="36" t="n"/>
      <c r="G179" s="36" t="n"/>
      <c r="H179" s="30" t="n">
        <v>0</v>
      </c>
      <c r="I179" s="30" t="n">
        <v>0</v>
      </c>
      <c r="J179" s="31">
        <f>IF(H179="","",H179-I179)</f>
        <v/>
      </c>
      <c r="K179" s="43" t="n"/>
      <c r="L179" s="32">
        <f>IF(OR(K179="",$F179=""),"",DATE(YEAR(K179),MONTH(K179)+VLOOKUP($F179,'Membership Level'!$A$3:$B$15,2,FALSE),DAY(K179)))</f>
        <v/>
      </c>
      <c r="M179" s="36" t="n"/>
      <c r="N179" s="34">
        <f>IF($L179="","",DATE(YEAR($L179),MONTH($L179),DAY($L179)-$M179))</f>
        <v/>
      </c>
      <c r="O179" s="33">
        <f>IF($L179="","",IF(DAYS360(NOW(),$L179)&gt;=0,DAYS360(NOW(),$L179),""))</f>
        <v/>
      </c>
      <c r="P179" s="34">
        <f>IF(OR(H179="",H179=0,F179="",K179=""),"",I179/H179*VLOOKUP(F179,'Membership Level'!$A$3:$C$15,3,FALSE)+K179)</f>
        <v/>
      </c>
      <c r="Q179" s="36" t="n"/>
    </row>
    <row r="180">
      <c r="C180" s="36" t="n"/>
      <c r="D180" s="36" t="n"/>
      <c r="E180" s="54" t="n"/>
      <c r="F180" s="36" t="n"/>
      <c r="G180" s="36" t="n"/>
      <c r="H180" s="30" t="n">
        <v>0</v>
      </c>
      <c r="I180" s="30" t="n">
        <v>0</v>
      </c>
      <c r="J180" s="31">
        <f>IF(H180="","",H180-I180)</f>
        <v/>
      </c>
      <c r="K180" s="43" t="n"/>
      <c r="L180" s="32">
        <f>IF(OR(K180="",$F180=""),"",DATE(YEAR(K180),MONTH(K180)+VLOOKUP($F180,'Membership Level'!$A$3:$B$15,2,FALSE),DAY(K180)))</f>
        <v/>
      </c>
      <c r="M180" s="36" t="n"/>
      <c r="N180" s="34">
        <f>IF($L180="","",DATE(YEAR($L180),MONTH($L180),DAY($L180)-$M180))</f>
        <v/>
      </c>
      <c r="O180" s="33">
        <f>IF($L180="","",IF(DAYS360(NOW(),$L180)&gt;=0,DAYS360(NOW(),$L180),""))</f>
        <v/>
      </c>
      <c r="P180" s="34">
        <f>IF(OR(H180="",H180=0,F180="",K180=""),"",I180/H180*VLOOKUP(F180,'Membership Level'!$A$3:$C$15,3,FALSE)+K180)</f>
        <v/>
      </c>
      <c r="Q180" s="36" t="n"/>
    </row>
    <row r="181">
      <c r="C181" s="36" t="n"/>
      <c r="D181" s="36" t="n"/>
      <c r="E181" s="54" t="n"/>
      <c r="F181" s="36" t="n"/>
      <c r="G181" s="36" t="n"/>
      <c r="H181" s="30" t="n">
        <v>0</v>
      </c>
      <c r="I181" s="30" t="n">
        <v>0</v>
      </c>
      <c r="J181" s="31">
        <f>IF(H181="","",H181-I181)</f>
        <v/>
      </c>
      <c r="K181" s="43" t="n"/>
      <c r="L181" s="32">
        <f>IF(OR(K181="",$F181=""),"",DATE(YEAR(K181),MONTH(K181)+VLOOKUP($F181,'Membership Level'!$A$3:$B$15,2,FALSE),DAY(K181)))</f>
        <v/>
      </c>
      <c r="M181" s="36" t="n"/>
      <c r="N181" s="34">
        <f>IF($L181="","",DATE(YEAR($L181),MONTH($L181),DAY($L181)-$M181))</f>
        <v/>
      </c>
      <c r="O181" s="33">
        <f>IF($L181="","",IF(DAYS360(NOW(),$L181)&gt;=0,DAYS360(NOW(),$L181),""))</f>
        <v/>
      </c>
      <c r="P181" s="34">
        <f>IF(OR(H181="",H181=0,F181="",K181=""),"",I181/H181*VLOOKUP(F181,'Membership Level'!$A$3:$C$15,3,FALSE)+K181)</f>
        <v/>
      </c>
      <c r="Q181" s="36" t="n"/>
    </row>
    <row r="182">
      <c r="C182" s="36" t="n"/>
      <c r="D182" s="36" t="n"/>
      <c r="E182" s="54" t="n"/>
      <c r="F182" s="36" t="n"/>
      <c r="G182" s="36" t="n"/>
      <c r="H182" s="30" t="n">
        <v>0</v>
      </c>
      <c r="I182" s="30" t="n">
        <v>0</v>
      </c>
      <c r="J182" s="31">
        <f>IF(H182="","",H182-I182)</f>
        <v/>
      </c>
      <c r="K182" s="43" t="n"/>
      <c r="L182" s="32">
        <f>IF(OR(K182="",$F182=""),"",DATE(YEAR(K182),MONTH(K182)+VLOOKUP($F182,'Membership Level'!$A$3:$B$15,2,FALSE),DAY(K182)))</f>
        <v/>
      </c>
      <c r="M182" s="36" t="n"/>
      <c r="N182" s="34">
        <f>IF($L182="","",DATE(YEAR($L182),MONTH($L182),DAY($L182)-$M182))</f>
        <v/>
      </c>
      <c r="O182" s="33">
        <f>IF($L182="","",IF(DAYS360(NOW(),$L182)&gt;=0,DAYS360(NOW(),$L182),""))</f>
        <v/>
      </c>
      <c r="P182" s="34">
        <f>IF(OR(H182="",H182=0,F182="",K182=""),"",I182/H182*VLOOKUP(F182,'Membership Level'!$A$3:$C$15,3,FALSE)+K182)</f>
        <v/>
      </c>
      <c r="Q182" s="36" t="n"/>
    </row>
    <row r="183">
      <c r="C183" s="36" t="n"/>
      <c r="D183" s="36" t="n"/>
      <c r="E183" s="54" t="n"/>
      <c r="F183" s="36" t="n"/>
      <c r="G183" s="36" t="n"/>
      <c r="H183" s="30" t="n">
        <v>0</v>
      </c>
      <c r="I183" s="30" t="n">
        <v>0</v>
      </c>
      <c r="J183" s="31">
        <f>IF(H183="","",H183-I183)</f>
        <v/>
      </c>
      <c r="K183" s="43" t="n"/>
      <c r="L183" s="32">
        <f>IF(OR(K183="",$F183=""),"",DATE(YEAR(K183),MONTH(K183)+VLOOKUP($F183,'Membership Level'!$A$3:$B$15,2,FALSE),DAY(K183)))</f>
        <v/>
      </c>
      <c r="M183" s="36" t="n"/>
      <c r="N183" s="34">
        <f>IF($L183="","",DATE(YEAR($L183),MONTH($L183),DAY($L183)-$M183))</f>
        <v/>
      </c>
      <c r="O183" s="33">
        <f>IF($L183="","",IF(DAYS360(NOW(),$L183)&gt;=0,DAYS360(NOW(),$L183),""))</f>
        <v/>
      </c>
      <c r="P183" s="34">
        <f>IF(OR(H183="",H183=0,F183="",K183=""),"",I183/H183*VLOOKUP(F183,'Membership Level'!$A$3:$C$15,3,FALSE)+K183)</f>
        <v/>
      </c>
      <c r="Q183" s="36" t="n"/>
    </row>
    <row r="184">
      <c r="C184" s="36" t="n"/>
      <c r="D184" s="36" t="n"/>
      <c r="E184" s="54" t="n"/>
      <c r="F184" s="36" t="n"/>
      <c r="G184" s="36" t="n"/>
      <c r="H184" s="30" t="n">
        <v>0</v>
      </c>
      <c r="I184" s="30" t="n">
        <v>0</v>
      </c>
      <c r="J184" s="31">
        <f>IF(H184="","",H184-I184)</f>
        <v/>
      </c>
      <c r="K184" s="43" t="n"/>
      <c r="L184" s="32">
        <f>IF(OR(K184="",$F184=""),"",DATE(YEAR(K184),MONTH(K184)+VLOOKUP($F184,'Membership Level'!$A$3:$B$15,2,FALSE),DAY(K184)))</f>
        <v/>
      </c>
      <c r="M184" s="36" t="n"/>
      <c r="N184" s="34">
        <f>IF($L184="","",DATE(YEAR($L184),MONTH($L184),DAY($L184)-$M184))</f>
        <v/>
      </c>
      <c r="O184" s="33">
        <f>IF($L184="","",IF(DAYS360(NOW(),$L184)&gt;=0,DAYS360(NOW(),$L184),""))</f>
        <v/>
      </c>
      <c r="P184" s="34">
        <f>IF(OR(H184="",H184=0,F184="",K184=""),"",I184/H184*VLOOKUP(F184,'Membership Level'!$A$3:$C$15,3,FALSE)+K184)</f>
        <v/>
      </c>
      <c r="Q184" s="36" t="n"/>
    </row>
    <row r="185">
      <c r="C185" s="36" t="n"/>
      <c r="D185" s="36" t="n"/>
      <c r="E185" s="54" t="n"/>
      <c r="F185" s="36" t="n"/>
      <c r="G185" s="36" t="n"/>
      <c r="H185" s="30" t="n">
        <v>0</v>
      </c>
      <c r="I185" s="30" t="n">
        <v>0</v>
      </c>
      <c r="J185" s="31">
        <f>IF(H185="","",H185-I185)</f>
        <v/>
      </c>
      <c r="K185" s="43" t="n"/>
      <c r="L185" s="32">
        <f>IF(OR(K185="",$F185=""),"",DATE(YEAR(K185),MONTH(K185)+VLOOKUP($F185,'Membership Level'!$A$3:$B$15,2,FALSE),DAY(K185)))</f>
        <v/>
      </c>
      <c r="M185" s="36" t="n"/>
      <c r="N185" s="34">
        <f>IF($L185="","",DATE(YEAR($L185),MONTH($L185),DAY($L185)-$M185))</f>
        <v/>
      </c>
      <c r="O185" s="33">
        <f>IF($L185="","",IF(DAYS360(NOW(),$L185)&gt;=0,DAYS360(NOW(),$L185),""))</f>
        <v/>
      </c>
      <c r="P185" s="34">
        <f>IF(OR(H185="",H185=0,F185="",K185=""),"",I185/H185*VLOOKUP(F185,'Membership Level'!$A$3:$C$15,3,FALSE)+K185)</f>
        <v/>
      </c>
      <c r="Q185" s="36" t="n"/>
    </row>
    <row r="186">
      <c r="C186" s="36" t="n"/>
      <c r="D186" s="36" t="n"/>
      <c r="E186" s="54" t="n"/>
      <c r="F186" s="36" t="n"/>
      <c r="G186" s="36" t="n"/>
      <c r="H186" s="30" t="n">
        <v>0</v>
      </c>
      <c r="I186" s="30" t="n">
        <v>0</v>
      </c>
      <c r="J186" s="31">
        <f>IF(H186="","",H186-I186)</f>
        <v/>
      </c>
      <c r="K186" s="43" t="n"/>
      <c r="L186" s="32">
        <f>IF(OR(K186="",$F186=""),"",DATE(YEAR(K186),MONTH(K186)+VLOOKUP($F186,'Membership Level'!$A$3:$B$15,2,FALSE),DAY(K186)))</f>
        <v/>
      </c>
      <c r="M186" s="36" t="n"/>
      <c r="N186" s="34">
        <f>IF($L186="","",DATE(YEAR($L186),MONTH($L186),DAY($L186)-$M186))</f>
        <v/>
      </c>
      <c r="O186" s="33">
        <f>IF($L186="","",IF(DAYS360(NOW(),$L186)&gt;=0,DAYS360(NOW(),$L186),""))</f>
        <v/>
      </c>
      <c r="P186" s="34">
        <f>IF(OR(H186="",H186=0,F186="",K186=""),"",I186/H186*VLOOKUP(F186,'Membership Level'!$A$3:$C$15,3,FALSE)+K186)</f>
        <v/>
      </c>
      <c r="Q186" s="36" t="n"/>
    </row>
    <row r="187">
      <c r="C187" s="36" t="n"/>
      <c r="D187" s="36" t="n"/>
      <c r="E187" s="54" t="n"/>
      <c r="F187" s="36" t="n"/>
      <c r="G187" s="36" t="n"/>
      <c r="H187" s="30" t="n">
        <v>0</v>
      </c>
      <c r="I187" s="30" t="n">
        <v>0</v>
      </c>
      <c r="J187" s="31">
        <f>IF(H187="","",H187-I187)</f>
        <v/>
      </c>
      <c r="K187" s="43" t="n"/>
      <c r="L187" s="32">
        <f>IF(OR(K187="",$F187=""),"",DATE(YEAR(K187),MONTH(K187)+VLOOKUP($F187,'Membership Level'!$A$3:$B$15,2,FALSE),DAY(K187)))</f>
        <v/>
      </c>
      <c r="M187" s="36" t="n"/>
      <c r="N187" s="34">
        <f>IF($L187="","",DATE(YEAR($L187),MONTH($L187),DAY($L187)-$M187))</f>
        <v/>
      </c>
      <c r="O187" s="33">
        <f>IF($L187="","",IF(DAYS360(NOW(),$L187)&gt;=0,DAYS360(NOW(),$L187),""))</f>
        <v/>
      </c>
      <c r="P187" s="34">
        <f>IF(OR(H187="",H187=0,F187="",K187=""),"",I187/H187*VLOOKUP(F187,'Membership Level'!$A$3:$C$15,3,FALSE)+K187)</f>
        <v/>
      </c>
      <c r="Q187" s="36" t="n"/>
    </row>
    <row r="188">
      <c r="C188" s="36" t="n"/>
      <c r="D188" s="36" t="n"/>
      <c r="E188" s="54" t="n"/>
      <c r="F188" s="36" t="n"/>
      <c r="G188" s="36" t="n"/>
      <c r="H188" s="30" t="n">
        <v>0</v>
      </c>
      <c r="I188" s="30" t="n">
        <v>0</v>
      </c>
      <c r="J188" s="31">
        <f>IF(H188="","",H188-I188)</f>
        <v/>
      </c>
      <c r="K188" s="43" t="n"/>
      <c r="L188" s="32">
        <f>IF(OR(K188="",$F188=""),"",DATE(YEAR(K188),MONTH(K188)+VLOOKUP($F188,'Membership Level'!$A$3:$B$15,2,FALSE),DAY(K188)))</f>
        <v/>
      </c>
      <c r="M188" s="36" t="n"/>
      <c r="N188" s="34">
        <f>IF($L188="","",DATE(YEAR($L188),MONTH($L188),DAY($L188)-$M188))</f>
        <v/>
      </c>
      <c r="O188" s="33">
        <f>IF($L188="","",IF(DAYS360(NOW(),$L188)&gt;=0,DAYS360(NOW(),$L188),""))</f>
        <v/>
      </c>
      <c r="P188" s="34">
        <f>IF(OR(H188="",H188=0,F188="",K188=""),"",I188/H188*VLOOKUP(F188,'Membership Level'!$A$3:$C$15,3,FALSE)+K188)</f>
        <v/>
      </c>
      <c r="Q188" s="36" t="n"/>
    </row>
    <row r="189">
      <c r="C189" s="36" t="n"/>
      <c r="D189" s="36" t="n"/>
      <c r="E189" s="54" t="n"/>
      <c r="F189" s="36" t="n"/>
      <c r="G189" s="36" t="n"/>
      <c r="H189" s="30" t="n">
        <v>0</v>
      </c>
      <c r="I189" s="30" t="n">
        <v>0</v>
      </c>
      <c r="J189" s="31">
        <f>IF(H189="","",H189-I189)</f>
        <v/>
      </c>
      <c r="K189" s="43" t="n"/>
      <c r="L189" s="32">
        <f>IF(OR(K189="",$F189=""),"",DATE(YEAR(K189),MONTH(K189)+VLOOKUP($F189,'Membership Level'!$A$3:$B$15,2,FALSE),DAY(K189)))</f>
        <v/>
      </c>
      <c r="M189" s="36" t="n"/>
      <c r="N189" s="34">
        <f>IF($L189="","",DATE(YEAR($L189),MONTH($L189),DAY($L189)-$M189))</f>
        <v/>
      </c>
      <c r="O189" s="33">
        <f>IF($L189="","",IF(DAYS360(NOW(),$L189)&gt;=0,DAYS360(NOW(),$L189),""))</f>
        <v/>
      </c>
      <c r="P189" s="34">
        <f>IF(OR(H189="",H189=0,F189="",K189=""),"",I189/H189*VLOOKUP(F189,'Membership Level'!$A$3:$C$15,3,FALSE)+K189)</f>
        <v/>
      </c>
      <c r="Q189" s="36" t="n"/>
    </row>
    <row r="190">
      <c r="C190" s="36" t="n"/>
      <c r="D190" s="36" t="n"/>
      <c r="E190" s="54" t="n"/>
      <c r="F190" s="36" t="n"/>
      <c r="G190" s="36" t="n"/>
      <c r="H190" s="30" t="n">
        <v>0</v>
      </c>
      <c r="I190" s="30" t="n">
        <v>0</v>
      </c>
      <c r="J190" s="31">
        <f>IF(H190="","",H190-I190)</f>
        <v/>
      </c>
      <c r="K190" s="43" t="n"/>
      <c r="L190" s="32">
        <f>IF(OR(K190="",$F190=""),"",DATE(YEAR(K190),MONTH(K190)+VLOOKUP($F190,'Membership Level'!$A$3:$B$15,2,FALSE),DAY(K190)))</f>
        <v/>
      </c>
      <c r="M190" s="36" t="n"/>
      <c r="N190" s="34">
        <f>IF($L190="","",DATE(YEAR($L190),MONTH($L190),DAY($L190)-$M190))</f>
        <v/>
      </c>
      <c r="O190" s="33">
        <f>IF($L190="","",IF(DAYS360(NOW(),$L190)&gt;=0,DAYS360(NOW(),$L190),""))</f>
        <v/>
      </c>
      <c r="P190" s="34">
        <f>IF(OR(H190="",H190=0,F190="",K190=""),"",I190/H190*VLOOKUP(F190,'Membership Level'!$A$3:$C$15,3,FALSE)+K190)</f>
        <v/>
      </c>
      <c r="Q190" s="36" t="n"/>
    </row>
    <row r="191">
      <c r="C191" s="36" t="n"/>
      <c r="D191" s="36" t="n"/>
      <c r="E191" s="54" t="n"/>
      <c r="F191" s="33" t="n"/>
      <c r="G191" s="36" t="n"/>
      <c r="H191" s="30" t="n">
        <v>0</v>
      </c>
      <c r="I191" s="30" t="n">
        <v>0</v>
      </c>
      <c r="J191" s="31">
        <f>IF(H191="","",H191-I191)</f>
        <v/>
      </c>
      <c r="K191" s="43" t="n"/>
      <c r="L191" s="32">
        <f>IF(OR(K191="",$F191=""),"",DATE(YEAR(K191),MONTH(K191)+VLOOKUP($F191,'Membership Level'!$A$3:$B$15,2,FALSE),DAY(K191)))</f>
        <v/>
      </c>
      <c r="M191" s="36" t="n"/>
      <c r="N191" s="34">
        <f>IF($L191="","",DATE(YEAR($L191),MONTH($L191),DAY($L191)-$M191))</f>
        <v/>
      </c>
      <c r="O191" s="33">
        <f>IF($L191="","",IF(DAYS360(NOW(),$L191)&gt;=0,DAYS360(NOW(),$L191),""))</f>
        <v/>
      </c>
      <c r="P191" s="34">
        <f>IF(OR(H191="",H191=0,F191="",K191=""),"",I191/H191*VLOOKUP(F191,'Membership Level'!$A$3:$C$15,3,FALSE)+K191)</f>
        <v/>
      </c>
      <c r="Q191" s="36" t="n"/>
    </row>
    <row r="192">
      <c r="C192" s="36" t="n"/>
      <c r="D192" s="36" t="n"/>
      <c r="E192" s="55" t="n"/>
      <c r="F192" s="36" t="n"/>
      <c r="G192" s="36" t="n"/>
      <c r="H192" s="30" t="n">
        <v>0</v>
      </c>
      <c r="I192" s="30" t="n">
        <v>0</v>
      </c>
      <c r="J192" s="31">
        <f>IF(H192="","",H192-I192)</f>
        <v/>
      </c>
      <c r="K192" s="43" t="n"/>
      <c r="L192" s="32">
        <f>IF(OR(K192="",$F192=""),"",DATE(YEAR(K192),MONTH(K192)+VLOOKUP($F192,'Membership Level'!$A$3:$B$15,2,FALSE),DAY(K192)))</f>
        <v/>
      </c>
      <c r="M192" s="36" t="n"/>
      <c r="N192" s="34">
        <f>IF($L192="","",DATE(YEAR($L192),MONTH($L192),DAY($L192)-$M192))</f>
        <v/>
      </c>
      <c r="O192" s="33">
        <f>IF($L192="","",IF(DAYS360(NOW(),$L192)&gt;=0,DAYS360(NOW(),$L192),""))</f>
        <v/>
      </c>
      <c r="P192" s="34">
        <f>IF(OR(H192="",H192=0,F192="",K192=""),"",I192/H192*VLOOKUP(F192,'Membership Level'!$A$3:$C$15,3,FALSE)+K192)</f>
        <v/>
      </c>
      <c r="Q192" s="36" t="n"/>
    </row>
    <row r="193" customFormat="1" s="22">
      <c r="C193" s="33" t="n"/>
      <c r="D193" s="33" t="n"/>
      <c r="E193" s="54" t="n"/>
      <c r="F193" s="36" t="n"/>
      <c r="G193" s="33" t="n"/>
      <c r="H193" s="30" t="n">
        <v>0</v>
      </c>
      <c r="I193" s="30" t="n">
        <v>0</v>
      </c>
      <c r="J193" s="31">
        <f>IF(H193="","",H193-I193)</f>
        <v/>
      </c>
      <c r="K193" s="32" t="n"/>
      <c r="L193" s="32">
        <f>IF(OR(K193="",$F193=""),"",DATE(YEAR(K193),MONTH(K193)+VLOOKUP($F193,'Membership Level'!$A$3:$B$15,2,FALSE),DAY(K193)))</f>
        <v/>
      </c>
      <c r="M193" s="33" t="n"/>
      <c r="N193" s="34">
        <f>IF($L193="","",DATE(YEAR($L193),MONTH($L193),DAY($L193)-$M193))</f>
        <v/>
      </c>
      <c r="O193" s="33">
        <f>IF($L193="","",IF(DAYS360(NOW(),$L193)&gt;=0,DAYS360(NOW(),$L193),""))</f>
        <v/>
      </c>
      <c r="P193" s="34">
        <f>IF(OR(H193="",H193=0,F193="",K193=""),"",I193/H193*VLOOKUP(F193,'Membership Level'!$A$3:$C$15,3,FALSE)+K193)</f>
        <v/>
      </c>
      <c r="Q193" s="33" t="n"/>
    </row>
    <row r="194">
      <c r="C194" s="36" t="n"/>
      <c r="D194" s="36" t="n"/>
      <c r="E194" s="54" t="n"/>
      <c r="F194" s="36" t="n"/>
      <c r="G194" s="36" t="n"/>
      <c r="H194" s="30" t="n">
        <v>0</v>
      </c>
      <c r="I194" s="30" t="n">
        <v>0</v>
      </c>
      <c r="J194" s="31">
        <f>IF(H194="","",H194-I194)</f>
        <v/>
      </c>
      <c r="K194" s="43" t="n"/>
      <c r="L194" s="32">
        <f>IF(OR(K194="",$F194=""),"",DATE(YEAR(K194),MONTH(K194)+VLOOKUP($F194,'Membership Level'!$A$3:$B$15,2,FALSE),DAY(K194)))</f>
        <v/>
      </c>
      <c r="M194" s="36" t="n"/>
      <c r="N194" s="34">
        <f>IF($L194="","",DATE(YEAR($L194),MONTH($L194),DAY($L194)-$M194))</f>
        <v/>
      </c>
      <c r="O194" s="33">
        <f>IF($L194="","",IF(DAYS360(NOW(),$L194)&gt;=0,DAYS360(NOW(),$L194),""))</f>
        <v/>
      </c>
      <c r="P194" s="34">
        <f>IF(OR(H194="",H194=0,F194="",K194=""),"",I194/H194*VLOOKUP(F194,'Membership Level'!$A$3:$C$15,3,FALSE)+K194)</f>
        <v/>
      </c>
      <c r="Q194" s="36" t="n"/>
    </row>
    <row r="195">
      <c r="C195" s="36" t="n"/>
      <c r="D195" s="36" t="n"/>
      <c r="E195" s="54" t="n"/>
      <c r="F195" s="36" t="n"/>
      <c r="G195" s="36" t="n"/>
      <c r="H195" s="30" t="n">
        <v>0</v>
      </c>
      <c r="I195" s="30" t="n">
        <v>0</v>
      </c>
      <c r="J195" s="31">
        <f>IF(H195="","",H195-I195)</f>
        <v/>
      </c>
      <c r="K195" s="43" t="n"/>
      <c r="L195" s="32">
        <f>IF(OR(K195="",$F195=""),"",DATE(YEAR(K195),MONTH(K195)+VLOOKUP($F195,'Membership Level'!$A$3:$B$15,2,FALSE),DAY(K195)))</f>
        <v/>
      </c>
      <c r="M195" s="36" t="n"/>
      <c r="N195" s="34">
        <f>IF($L195="","",DATE(YEAR($L195),MONTH($L195),DAY($L195)-$M195))</f>
        <v/>
      </c>
      <c r="O195" s="33">
        <f>IF($L195="","",IF(DAYS360(NOW(),$L195)&gt;=0,DAYS360(NOW(),$L195),""))</f>
        <v/>
      </c>
      <c r="P195" s="34">
        <f>IF(OR(H195="",H195=0,F195="",K195=""),"",I195/H195*VLOOKUP(F195,'Membership Level'!$A$3:$C$15,3,FALSE)+K195)</f>
        <v/>
      </c>
      <c r="Q195" s="36" t="inlineStr">
        <is>
          <t>tommorow</t>
        </is>
      </c>
    </row>
    <row r="196">
      <c r="C196" s="36" t="n"/>
      <c r="D196" s="36" t="n"/>
      <c r="E196" s="54" t="n"/>
      <c r="F196" s="36" t="n"/>
      <c r="G196" s="36" t="n"/>
      <c r="H196" s="30" t="n">
        <v>0</v>
      </c>
      <c r="I196" s="30" t="n">
        <v>0</v>
      </c>
      <c r="J196" s="31">
        <f>IF(H196="","",H196-I196)</f>
        <v/>
      </c>
      <c r="K196" s="43" t="n"/>
      <c r="L196" s="32">
        <f>IF(OR(K196="",$F196=""),"",DATE(YEAR(K196),MONTH(K196)+VLOOKUP($F196,'Membership Level'!$A$3:$B$15,2,FALSE),DAY(K196)))</f>
        <v/>
      </c>
      <c r="M196" s="36" t="n"/>
      <c r="N196" s="34">
        <f>IF($L196="","",DATE(YEAR($L196),MONTH($L196),DAY($L196)-$M196))</f>
        <v/>
      </c>
      <c r="O196" s="33">
        <f>IF($L196="","",IF(DAYS360(NOW(),$L196)&gt;=0,DAYS360(NOW(),$L196),""))</f>
        <v/>
      </c>
      <c r="P196" s="34">
        <f>IF(OR(H196="",H196=0,F196="",K196=""),"",I196/H196*VLOOKUP(F196,'Membership Level'!$A$3:$C$15,3,FALSE)+K196)</f>
        <v/>
      </c>
      <c r="Q196" s="36" t="n"/>
    </row>
    <row r="197">
      <c r="C197" s="36" t="n"/>
      <c r="D197" s="36" t="n"/>
      <c r="E197" s="54" t="n"/>
      <c r="F197" s="36" t="n"/>
      <c r="G197" s="36" t="n"/>
      <c r="H197" s="30" t="n">
        <v>0</v>
      </c>
      <c r="I197" s="30" t="n">
        <v>0</v>
      </c>
      <c r="J197" s="31">
        <f>IF(H197="","",H197-I197)</f>
        <v/>
      </c>
      <c r="K197" s="43" t="n"/>
      <c r="L197" s="32">
        <f>IF(OR(K197="",$F197=""),"",DATE(YEAR(K197),MONTH(K197)+VLOOKUP($F197,'Membership Level'!$A$3:$B$15,2,FALSE),DAY(K197)))</f>
        <v/>
      </c>
      <c r="M197" s="36" t="n"/>
      <c r="N197" s="34">
        <f>IF($L197="","",DATE(YEAR($L197),MONTH($L197),DAY($L197)-$M197))</f>
        <v/>
      </c>
      <c r="O197" s="33">
        <f>IF($L197="","",IF(DAYS360(NOW(),$L197)&gt;=0,DAYS360(NOW(),$L197),""))</f>
        <v/>
      </c>
      <c r="P197" s="34">
        <f>IF(OR(H197="",H197=0,F197="",K197=""),"",I197/H197*VLOOKUP(F197,'Membership Level'!$A$3:$C$15,3,FALSE)+K197)</f>
        <v/>
      </c>
      <c r="Q197" s="36" t="n"/>
    </row>
    <row r="198">
      <c r="C198" s="36" t="n"/>
      <c r="D198" s="36" t="n"/>
      <c r="E198" s="54" t="n"/>
      <c r="F198" s="36" t="n"/>
      <c r="G198" s="36" t="n"/>
      <c r="H198" s="30" t="n">
        <v>0</v>
      </c>
      <c r="I198" s="30" t="n">
        <v>0</v>
      </c>
      <c r="J198" s="31">
        <f>IF(H198="","",H198-I198)</f>
        <v/>
      </c>
      <c r="K198" s="43" t="n"/>
      <c r="L198" s="32">
        <f>IF(OR(K198="",$F198=""),"",DATE(YEAR(K198),MONTH(K198)+VLOOKUP($F198,'Membership Level'!$A$3:$B$15,2,FALSE),DAY(K198)))</f>
        <v/>
      </c>
      <c r="M198" s="36" t="n"/>
      <c r="N198" s="34">
        <f>IF($L198="","",DATE(YEAR($L198),MONTH($L198),DAY($L198)-$M198))</f>
        <v/>
      </c>
      <c r="O198" s="33">
        <f>IF($L198="","",IF(DAYS360(NOW(),$L198)&gt;=0,DAYS360(NOW(),$L198),""))</f>
        <v/>
      </c>
      <c r="P198" s="34">
        <f>IF(OR(H198="",H198=0,F198="",K198=""),"",I198/H198*VLOOKUP(F198,'Membership Level'!$A$3:$C$15,3,FALSE)+K198)</f>
        <v/>
      </c>
      <c r="Q198" s="36" t="n"/>
    </row>
    <row r="199">
      <c r="C199" s="36" t="n"/>
      <c r="D199" s="36" t="n"/>
      <c r="E199" s="54" t="n"/>
      <c r="F199" s="36" t="n"/>
      <c r="G199" s="36" t="n"/>
      <c r="H199" s="30" t="n">
        <v>0</v>
      </c>
      <c r="I199" s="30" t="n">
        <v>0</v>
      </c>
      <c r="J199" s="31">
        <f>IF(H199="","",H199-I199)</f>
        <v/>
      </c>
      <c r="K199" s="43" t="n"/>
      <c r="L199" s="32">
        <f>IF(OR(K199="",$F199=""),"",DATE(YEAR(K199),MONTH(K199)+VLOOKUP($F199,'Membership Level'!$A$3:$B$15,2,FALSE),DAY(K199)))</f>
        <v/>
      </c>
      <c r="M199" s="36" t="n"/>
      <c r="N199" s="34">
        <f>IF($L199="","",DATE(YEAR($L199),MONTH($L199),DAY($L199)-$M199))</f>
        <v/>
      </c>
      <c r="O199" s="33">
        <f>IF($L199="","",IF(DAYS360(NOW(),$L199)&gt;=0,DAYS360(NOW(),$L199),""))</f>
        <v/>
      </c>
      <c r="P199" s="34">
        <f>IF(OR(H199="",H199=0,F199="",K199=""),"",I199/H199*VLOOKUP(F199,'Membership Level'!$A$3:$C$15,3,FALSE)+K199)</f>
        <v/>
      </c>
      <c r="Q199" s="36" t="n"/>
    </row>
    <row r="200">
      <c r="C200" s="36" t="n"/>
      <c r="D200" s="36" t="n"/>
      <c r="E200" s="54" t="n"/>
      <c r="F200" s="36" t="n"/>
      <c r="G200" s="36" t="n"/>
      <c r="H200" s="30" t="n">
        <v>0</v>
      </c>
      <c r="I200" s="30" t="n">
        <v>0</v>
      </c>
      <c r="J200" s="31">
        <f>IF(H200="","",H200-I200)</f>
        <v/>
      </c>
      <c r="K200" s="43" t="n"/>
      <c r="L200" s="32">
        <f>IF(OR(K200="",$F200=""),"",DATE(YEAR(K200),MONTH(K200)+VLOOKUP($F200,'Membership Level'!$A$3:$B$15,2,FALSE),DAY(K200)))</f>
        <v/>
      </c>
      <c r="M200" s="36" t="n"/>
      <c r="N200" s="34">
        <f>IF($L200="","",DATE(YEAR($L200),MONTH($L200),DAY($L200)-$M200))</f>
        <v/>
      </c>
      <c r="O200" s="33">
        <f>IF($L200="","",IF(DAYS360(NOW(),$L200)&gt;=0,DAYS360(NOW(),$L200),""))</f>
        <v/>
      </c>
      <c r="P200" s="34">
        <f>IF(OR(H200="",H200=0,F200="",K200=""),"",I200/H200*VLOOKUP(F200,'Membership Level'!$A$3:$C$15,3,FALSE)+K200)</f>
        <v/>
      </c>
      <c r="Q200" s="36" t="n"/>
    </row>
    <row r="201" customFormat="1" s="26">
      <c r="C201" s="36" t="n"/>
      <c r="D201" s="36" t="n"/>
      <c r="E201" s="54" t="n"/>
      <c r="F201" s="36" t="n"/>
      <c r="G201" s="36" t="n"/>
      <c r="H201" s="30" t="n">
        <v>0</v>
      </c>
      <c r="I201" s="30" t="n">
        <v>0</v>
      </c>
      <c r="J201" s="31">
        <f>IF(H201="","",H201-I201)</f>
        <v/>
      </c>
      <c r="K201" s="43" t="n"/>
      <c r="L201" s="32">
        <f>IF(OR(K201="",$F201=""),"",DATE(YEAR(K201),MONTH(K201)+VLOOKUP($F201,'Membership Level'!$A$3:$B$15,2,FALSE),DAY(K201)))</f>
        <v/>
      </c>
      <c r="M201" s="36" t="n"/>
      <c r="N201" s="34">
        <f>IF($L201="","",DATE(YEAR($L201),MONTH($L201),DAY($L201)-$M201))</f>
        <v/>
      </c>
      <c r="O201" s="33">
        <f>IF($L201="","",IF(DAYS360(NOW(),$L201)&gt;=0,DAYS360(NOW(),$L201),""))</f>
        <v/>
      </c>
      <c r="P201" s="34">
        <f>IF(OR(H201="",H201=0,F201="",K201=""),"",I201/H201*VLOOKUP(F201,'Membership Level'!$A$3:$C$15,3,FALSE)+K201)</f>
        <v/>
      </c>
      <c r="Q201" s="36" t="n"/>
    </row>
    <row r="202">
      <c r="C202" s="36" t="n"/>
      <c r="D202" s="36" t="n"/>
      <c r="E202" s="54" t="n"/>
      <c r="G202" s="36" t="n"/>
      <c r="H202" s="30" t="n">
        <v>0</v>
      </c>
      <c r="I202" s="30" t="n">
        <v>0</v>
      </c>
      <c r="J202" s="31">
        <f>IF(H202="","",H202-I202)</f>
        <v/>
      </c>
      <c r="K202" s="43" t="n"/>
      <c r="L202" s="32">
        <f>IF(OR(K202="",$F202=""),"",DATE(YEAR(K202),MONTH(K202)+VLOOKUP($F202,'Membership Level'!$A$3:$B$15,2,FALSE),DAY(K202)))</f>
        <v/>
      </c>
      <c r="M202" s="36" t="n"/>
      <c r="N202" s="34">
        <f>IF($L202="","",DATE(YEAR($L202),MONTH($L202),DAY($L202)-$M202))</f>
        <v/>
      </c>
      <c r="O202" s="33">
        <f>IF($L202="","",IF(DAYS360(NOW(),$L202)&gt;=0,DAYS360(NOW(),$L202),""))</f>
        <v/>
      </c>
      <c r="P202" s="34">
        <f>IF(OR(H202="",H202=0,F202="",K202=""),"",I202/H202*VLOOKUP(F202,'Membership Level'!$A$3:$C$15,3,FALSE)+K202)</f>
        <v/>
      </c>
      <c r="Q202" s="36" t="n"/>
    </row>
    <row r="203">
      <c r="C203" s="36" t="n"/>
      <c r="D203" s="36" t="n"/>
      <c r="E203" s="57" t="n"/>
      <c r="F203" s="36" t="n"/>
      <c r="G203" s="36" t="n"/>
      <c r="H203" s="30" t="n">
        <v>0</v>
      </c>
      <c r="I203" s="30" t="n">
        <v>0</v>
      </c>
      <c r="J203" s="31">
        <f>IF(H203="","",H203-I203)</f>
        <v/>
      </c>
      <c r="K203" s="43" t="n"/>
      <c r="L203" s="32">
        <f>IF(OR(K203="",$F203=""),"",DATE(YEAR(K203),MONTH(K203)+VLOOKUP($F203,'Membership Level'!$A$3:$B$15,2,FALSE),DAY(K203)))</f>
        <v/>
      </c>
      <c r="M203" s="36" t="n"/>
      <c r="N203" s="34">
        <f>IF($L203="","",DATE(YEAR($L203),MONTH($L203),DAY($L203)-$M203))</f>
        <v/>
      </c>
      <c r="O203" s="33">
        <f>IF($L203="","",IF(DAYS360(NOW(),$L203)&gt;=0,DAYS360(NOW(),$L203),""))</f>
        <v/>
      </c>
      <c r="P203" s="34">
        <f>IF(OR(H203="",H203=0,F203="",K203=""),"",I203/H203*VLOOKUP(F203,'Membership Level'!$A$3:$C$15,3,FALSE)+K203)</f>
        <v/>
      </c>
      <c r="Q203" s="36" t="n"/>
    </row>
    <row r="204">
      <c r="C204" s="58" t="n"/>
      <c r="E204" s="54" t="n"/>
      <c r="F204" s="36" t="n"/>
      <c r="H204" s="30" t="n">
        <v>0</v>
      </c>
      <c r="I204" s="30" t="n">
        <v>0</v>
      </c>
      <c r="J204" s="31">
        <f>IF(H204="","",H204-I204)</f>
        <v/>
      </c>
      <c r="L204" s="32">
        <f>IF(OR(K204="",$F204=""),"",DATE(YEAR(K204),MONTH(K204)+VLOOKUP($F204,'Membership Level'!$A$3:$B$15,2,FALSE),DAY(K204)))</f>
        <v/>
      </c>
      <c r="N204" s="34">
        <f>IF($L204="","",DATE(YEAR($L204),MONTH($L204),DAY($L204)-$M204))</f>
        <v/>
      </c>
      <c r="O204" s="33">
        <f>IF($L204="","",IF(DAYS360(NOW(),$L204)&gt;=0,DAYS360(NOW(),$L204),""))</f>
        <v/>
      </c>
      <c r="P204" s="34">
        <f>IF(OR(H204="",H204=0,F204="",K204=""),"",I204/H204*VLOOKUP(F204,'Membership Level'!$A$3:$C$15,3,FALSE)+K204)</f>
        <v/>
      </c>
      <c r="Q204" s="36" t="n"/>
    </row>
    <row r="205">
      <c r="C205" s="36" t="n"/>
      <c r="D205" s="36" t="n"/>
      <c r="E205" s="54" t="n"/>
      <c r="F205" s="36" t="n"/>
      <c r="G205" s="36" t="n"/>
      <c r="H205" s="30" t="n">
        <v>0</v>
      </c>
      <c r="I205" s="30" t="n">
        <v>0</v>
      </c>
      <c r="J205" s="31">
        <f>IF(H205="","",H205-I205)</f>
        <v/>
      </c>
      <c r="K205" s="43" t="n"/>
      <c r="L205" s="32">
        <f>IF(OR(K205="",$F205=""),"",DATE(YEAR(K205),MONTH(K205)+VLOOKUP($F205,'Membership Level'!$A$3:$B$15,2,FALSE),DAY(K205)))</f>
        <v/>
      </c>
      <c r="M205" s="36" t="n"/>
      <c r="N205" s="34">
        <f>IF($L205="","",DATE(YEAR($L205),MONTH($L205),DAY($L205)-$M205))</f>
        <v/>
      </c>
      <c r="O205" s="33">
        <f>IF($L205="","",IF(DAYS360(NOW(),$L205)&gt;=0,DAYS360(NOW(),$L205),""))</f>
        <v/>
      </c>
      <c r="P205" s="34">
        <f>IF(OR(H205="",H205=0,F205="",K205=""),"",I205/H205*VLOOKUP(F205,'Membership Level'!$A$3:$C$15,3,FALSE)+K205)</f>
        <v/>
      </c>
      <c r="Q205" s="36" t="n"/>
    </row>
    <row r="206">
      <c r="C206" s="36" t="n"/>
      <c r="D206" s="36" t="n"/>
      <c r="E206" s="54" t="n"/>
      <c r="F206" s="36" t="n"/>
      <c r="G206" s="36" t="n"/>
      <c r="H206" s="30" t="n">
        <v>0</v>
      </c>
      <c r="I206" s="30" t="n">
        <v>0</v>
      </c>
      <c r="J206" s="31">
        <f>IF(H206="","",H206-I206)</f>
        <v/>
      </c>
      <c r="K206" s="43" t="n"/>
      <c r="L206" s="32">
        <f>IF(OR(K206="",$F206=""),"",DATE(YEAR(K206),MONTH(K206)+VLOOKUP($F206,'Membership Level'!$A$3:$B$15,2,FALSE),DAY(K206)))</f>
        <v/>
      </c>
      <c r="M206" s="36" t="n"/>
      <c r="N206" s="34">
        <f>IF($L206="","",DATE(YEAR($L206),MONTH($L206),DAY($L206)-$M206))</f>
        <v/>
      </c>
      <c r="O206" s="33">
        <f>IF($L206="","",IF(DAYS360(NOW(),$L206)&gt;=0,DAYS360(NOW(),$L206),""))</f>
        <v/>
      </c>
      <c r="P206" s="34">
        <f>IF(OR(H206="",H206=0,F206="",K206=""),"",I206/H206*VLOOKUP(F206,'Membership Level'!$A$3:$C$15,3,FALSE)+K206)</f>
        <v/>
      </c>
      <c r="Q206" s="36" t="n"/>
    </row>
    <row r="207">
      <c r="C207" s="36" t="n"/>
      <c r="D207" s="36" t="n"/>
      <c r="E207" s="54" t="n"/>
      <c r="F207" s="36" t="n"/>
      <c r="G207" s="36" t="n"/>
      <c r="H207" s="30" t="n">
        <v>0</v>
      </c>
      <c r="I207" s="30" t="n">
        <v>0</v>
      </c>
      <c r="J207" s="31">
        <f>IF(H207="","",H207-I207)</f>
        <v/>
      </c>
      <c r="K207" s="43" t="n"/>
      <c r="L207" s="32">
        <f>IF(OR(K207="",$F207=""),"",DATE(YEAR(K207),MONTH(K207)+VLOOKUP($F207,'Membership Level'!$A$3:$B$15,2,FALSE),DAY(K207)))</f>
        <v/>
      </c>
      <c r="M207" s="36" t="n"/>
      <c r="N207" s="34">
        <f>IF($L207="","",DATE(YEAR($L207),MONTH($L207),DAY($L207)-$M207))</f>
        <v/>
      </c>
      <c r="O207" s="33">
        <f>IF($L207="","",IF(DAYS360(NOW(),$L207)&gt;=0,DAYS360(NOW(),$L207),""))</f>
        <v/>
      </c>
      <c r="P207" s="34">
        <f>IF(OR(H207="",H207=0,F207="",K207=""),"",I207/H207*VLOOKUP(F207,'Membership Level'!$A$3:$C$15,3,FALSE)+K207)</f>
        <v/>
      </c>
      <c r="Q207" s="36" t="n"/>
    </row>
    <row r="208">
      <c r="C208" s="36" t="n"/>
      <c r="D208" s="36" t="n"/>
      <c r="E208" s="54" t="n"/>
      <c r="F208" s="36" t="n"/>
      <c r="G208" s="36" t="n"/>
      <c r="H208" s="30" t="n">
        <v>0</v>
      </c>
      <c r="I208" s="30" t="n">
        <v>0</v>
      </c>
      <c r="J208" s="31">
        <f>IF(H208="","",H208-I208)</f>
        <v/>
      </c>
      <c r="K208" s="43" t="n"/>
      <c r="L208" s="32">
        <f>IF(OR(K208="",$F208=""),"",DATE(YEAR(K208),MONTH(K208)+VLOOKUP($F208,'Membership Level'!$A$3:$B$15,2,FALSE),DAY(K208)))</f>
        <v/>
      </c>
      <c r="M208" s="36" t="n"/>
      <c r="N208" s="34">
        <f>IF($L208="","",DATE(YEAR($L208),MONTH($L208),DAY($L208)-$M208))</f>
        <v/>
      </c>
      <c r="O208" s="33">
        <f>IF($L208="","",IF(DAYS360(NOW(),$L208)&gt;=0,DAYS360(NOW(),$L208),""))</f>
        <v/>
      </c>
      <c r="P208" s="34">
        <f>IF(OR(H208="",H208=0,F208="",K208=""),"",I208/H208*VLOOKUP(F208,'Membership Level'!$A$3:$C$15,3,FALSE)+K208)</f>
        <v/>
      </c>
      <c r="Q208" s="36" t="n"/>
    </row>
    <row r="209">
      <c r="C209" s="36" t="n"/>
      <c r="D209" s="36" t="n"/>
      <c r="E209" s="54" t="n"/>
      <c r="F209" s="36" t="n"/>
      <c r="G209" s="36" t="n"/>
      <c r="H209" s="30" t="n">
        <v>0</v>
      </c>
      <c r="I209" s="30" t="n">
        <v>0</v>
      </c>
      <c r="J209" s="31">
        <f>IF(H209="","",H209-I209)</f>
        <v/>
      </c>
      <c r="K209" s="43" t="n"/>
      <c r="L209" s="32">
        <f>IF(OR(K209="",$F209=""),"",DATE(YEAR(K209),MONTH(K209)+VLOOKUP($F209,'Membership Level'!$A$3:$B$15,2,FALSE),DAY(K209)))</f>
        <v/>
      </c>
      <c r="M209" s="36" t="n"/>
      <c r="N209" s="34">
        <f>IF($L209="","",DATE(YEAR($L209),MONTH($L209),DAY($L209)-$M209))</f>
        <v/>
      </c>
      <c r="O209" s="33">
        <f>IF($L209="","",IF(DAYS360(NOW(),$L209)&gt;=0,DAYS360(NOW(),$L209),""))</f>
        <v/>
      </c>
      <c r="P209" s="34">
        <f>IF(OR(H209="",H209=0,F209="",K209=""),"",I209/H209*VLOOKUP(F209,'Membership Level'!$A$3:$C$15,3,FALSE)+K209)</f>
        <v/>
      </c>
      <c r="Q209" s="36" t="n"/>
    </row>
    <row r="210">
      <c r="C210" s="36" t="n"/>
      <c r="D210" s="36" t="n"/>
      <c r="E210" s="54" t="n"/>
      <c r="F210" s="36" t="n"/>
      <c r="G210" s="36" t="n"/>
      <c r="H210" s="30" t="n">
        <v>0</v>
      </c>
      <c r="I210" s="30" t="n">
        <v>0</v>
      </c>
      <c r="J210" s="31">
        <f>IF(H210="","",H210-I210)</f>
        <v/>
      </c>
      <c r="K210" s="43" t="n"/>
      <c r="L210" s="32">
        <f>IF(OR(K210="",$F210=""),"",DATE(YEAR(K210),MONTH(K210)+VLOOKUP($F210,'Membership Level'!$A$3:$B$15,2,FALSE),DAY(K210)))</f>
        <v/>
      </c>
      <c r="M210" s="36" t="n"/>
      <c r="N210" s="34">
        <f>IF($L210="","",DATE(YEAR($L210),MONTH($L210),DAY($L210)-$M210))</f>
        <v/>
      </c>
      <c r="O210" s="33">
        <f>IF($L210="","",IF(DAYS360(NOW(),$L210)&gt;=0,DAYS360(NOW(),$L210),""))</f>
        <v/>
      </c>
      <c r="P210" s="34">
        <f>IF(OR(H210="",H210=0,F210="",K210=""),"",I210/H210*VLOOKUP(F210,'Membership Level'!$A$3:$C$15,3,FALSE)+K210)</f>
        <v/>
      </c>
      <c r="Q210" s="35" t="n"/>
    </row>
    <row r="211">
      <c r="C211" s="36" t="n"/>
      <c r="D211" s="36" t="n"/>
      <c r="E211" s="54" t="n"/>
      <c r="F211" s="36" t="n"/>
      <c r="G211" s="36" t="n"/>
      <c r="H211" s="30" t="n">
        <v>0</v>
      </c>
      <c r="I211" s="30" t="n">
        <v>0</v>
      </c>
      <c r="J211" s="31">
        <f>IF(H211="","",H211-I211)</f>
        <v/>
      </c>
      <c r="K211" s="43" t="n"/>
      <c r="L211" s="32">
        <f>IF(OR(K211="",$F211=""),"",DATE(YEAR(K211),MONTH(K211)+VLOOKUP($F211,'Membership Level'!$A$3:$B$15,2,FALSE),DAY(K211)))</f>
        <v/>
      </c>
      <c r="M211" s="36" t="n"/>
      <c r="N211" s="34">
        <f>IF($L211="","",DATE(YEAR($L211),MONTH($L211),DAY($L211)-$M211))</f>
        <v/>
      </c>
      <c r="O211" s="33">
        <f>IF($L211="","",IF(DAYS360(NOW(),$L211)&gt;=0,DAYS360(NOW(),$L211),""))</f>
        <v/>
      </c>
      <c r="P211" s="34">
        <f>IF(OR(H211="",H211=0,F211="",K211=""),"",I211/H211*VLOOKUP(F211,'Membership Level'!$A$3:$C$15,3,FALSE)+K211)</f>
        <v/>
      </c>
      <c r="Q211" s="36" t="n"/>
    </row>
    <row r="212">
      <c r="C212" s="36" t="n"/>
      <c r="D212" s="36" t="n"/>
      <c r="E212" s="54" t="n"/>
      <c r="F212" s="36" t="n"/>
      <c r="G212" s="36" t="n"/>
      <c r="H212" s="30" t="n">
        <v>0</v>
      </c>
      <c r="I212" s="30" t="n">
        <v>0</v>
      </c>
      <c r="J212" s="31">
        <f>IF(H212="","",H212-I212)</f>
        <v/>
      </c>
      <c r="K212" s="43" t="n"/>
      <c r="L212" s="32">
        <f>IF(OR(K212="",$F212=""),"",DATE(YEAR(K212),MONTH(K212)+VLOOKUP($F212,'Membership Level'!$A$3:$B$15,2,FALSE),DAY(K212)))</f>
        <v/>
      </c>
      <c r="M212" s="36" t="n"/>
      <c r="N212" s="34">
        <f>IF($L212="","",DATE(YEAR($L212),MONTH($L212),DAY($L212)-$M212))</f>
        <v/>
      </c>
      <c r="O212" s="33">
        <f>IF($L212="","",IF(DAYS360(NOW(),$L212)&gt;=0,DAYS360(NOW(),$L212),""))</f>
        <v/>
      </c>
      <c r="P212" s="34">
        <f>IF(OR(H212="",H212=0,F212="",K212=""),"",I212/H212*VLOOKUP(F212,'Membership Level'!$A$3:$C$15,3,FALSE)+K212)</f>
        <v/>
      </c>
      <c r="Q212" s="36" t="n"/>
    </row>
    <row r="213">
      <c r="C213" s="36" t="n"/>
      <c r="D213" s="36" t="n"/>
      <c r="E213" s="54" t="n"/>
      <c r="F213" s="36" t="n"/>
      <c r="G213" s="36" t="n"/>
      <c r="H213" s="30" t="n">
        <v>0</v>
      </c>
      <c r="I213" s="30" t="n">
        <v>0</v>
      </c>
      <c r="J213" s="31">
        <f>IF(H213="","",H213-I213)</f>
        <v/>
      </c>
      <c r="K213" s="43" t="n"/>
      <c r="L213" s="32">
        <f>IF(OR(K213="",$F213=""),"",DATE(YEAR(K213),MONTH(K213)+VLOOKUP($F213,'Membership Level'!$A$3:$B$15,2,FALSE),DAY(K213)))</f>
        <v/>
      </c>
      <c r="M213" s="36" t="n"/>
      <c r="N213" s="34">
        <f>IF($L213="","",DATE(YEAR($L213),MONTH($L213),DAY($L213)-$M213))</f>
        <v/>
      </c>
      <c r="O213" s="33">
        <f>IF($L213="","",IF(DAYS360(NOW(),$L213)&gt;=0,DAYS360(NOW(),$L213),""))</f>
        <v/>
      </c>
      <c r="P213" s="34">
        <f>IF(OR(H213="",H213=0,F213="",K213=""),"",I213/H213*VLOOKUP(F213,'Membership Level'!$A$3:$C$15,3,FALSE)+K213)</f>
        <v/>
      </c>
      <c r="Q213" s="36" t="n"/>
    </row>
    <row r="214">
      <c r="C214" s="36" t="n"/>
      <c r="D214" s="36" t="n"/>
      <c r="E214" s="54" t="n"/>
      <c r="F214" s="36" t="n"/>
      <c r="G214" s="36" t="n"/>
      <c r="H214" s="30" t="n">
        <v>0</v>
      </c>
      <c r="I214" s="30" t="n">
        <v>0</v>
      </c>
      <c r="J214" s="31">
        <f>IF(H214="","",H214-I214)</f>
        <v/>
      </c>
      <c r="K214" s="43" t="n"/>
      <c r="L214" s="32">
        <f>IF(OR(K214="",$F214=""),"",DATE(YEAR(K214),MONTH(K214)+VLOOKUP($F214,'Membership Level'!$A$3:$B$15,2,FALSE),DAY(K214)))</f>
        <v/>
      </c>
      <c r="M214" s="36" t="n"/>
      <c r="N214" s="34">
        <f>IF($L214="","",DATE(YEAR($L214),MONTH($L214),DAY($L214)-$M214))</f>
        <v/>
      </c>
      <c r="O214" s="33">
        <f>IF($L214="","",IF(DAYS360(NOW(),$L214)&gt;=0,DAYS360(NOW(),$L214),""))</f>
        <v/>
      </c>
      <c r="P214" s="34">
        <f>IF(OR(H214="",H214=0,F214="",K214=""),"",I214/H214*VLOOKUP(F214,'Membership Level'!$A$3:$C$15,3,FALSE)+K214)</f>
        <v/>
      </c>
      <c r="Q214" s="36" t="n"/>
    </row>
    <row r="215" customFormat="1" s="26">
      <c r="C215" s="36" t="n"/>
      <c r="D215" s="36" t="n"/>
      <c r="E215" s="54" t="n"/>
      <c r="F215" s="36" t="n"/>
      <c r="G215" s="36" t="n"/>
      <c r="H215" s="30" t="n"/>
      <c r="I215" s="30" t="n">
        <v>0</v>
      </c>
      <c r="J215" s="31">
        <f>IF(H215="","",H215-I215)</f>
        <v/>
      </c>
      <c r="K215" s="43" t="n"/>
      <c r="L215" s="32">
        <f>IF(OR(K215="",$F215=""),"",DATE(YEAR(K215),MONTH(K215)+VLOOKUP($F215,'Membership Level'!$A$3:$B$15,2,FALSE),DAY(K215)))</f>
        <v/>
      </c>
      <c r="M215" s="36" t="n"/>
      <c r="N215" s="34">
        <f>IF($L215="","",DATE(YEAR($L215),MONTH($L215),DAY($L215)-$M215))</f>
        <v/>
      </c>
      <c r="O215" s="33">
        <f>IF($L215="","",IF(DAYS360(NOW(),$L215)&gt;=0,DAYS360(NOW(),$L215),""))</f>
        <v/>
      </c>
      <c r="P215" s="34">
        <f>IF(OR(H215="",H215=0,F215="",K215=""),"",I215/H215*VLOOKUP(F215,'Membership Level'!$A$3:$C$15,3,FALSE)+K215)</f>
        <v/>
      </c>
      <c r="Q215" s="36" t="n"/>
    </row>
    <row r="216">
      <c r="C216" s="36" t="n"/>
      <c r="D216" s="36" t="n"/>
      <c r="E216" s="54" t="n"/>
      <c r="F216" s="36" t="n"/>
      <c r="G216" s="36" t="n"/>
      <c r="H216" s="30" t="n"/>
      <c r="I216" s="30" t="n">
        <v>0</v>
      </c>
      <c r="J216" s="31">
        <f>IF(H216="","",H216-I216)</f>
        <v/>
      </c>
      <c r="K216" s="43" t="n"/>
      <c r="L216" s="32">
        <f>IF(OR(K216="",$F216=""),"",DATE(YEAR(K216),MONTH(K216)+VLOOKUP($F216,'Membership Level'!$A$3:$B$15,2,FALSE),DAY(K216)))</f>
        <v/>
      </c>
      <c r="M216" s="36" t="n"/>
      <c r="N216" s="34">
        <f>IF($L216="","",DATE(YEAR($L216),MONTH($L216),DAY($L216)-$M216))</f>
        <v/>
      </c>
      <c r="O216" s="33">
        <f>IF($L216="","",IF(DAYS360(NOW(),$L216)&gt;=0,DAYS360(NOW(),$L216),""))</f>
        <v/>
      </c>
      <c r="P216" s="34">
        <f>IF(OR(H216="",H216=0,F216="",K216=""),"",I216/H216*VLOOKUP(F216,'Membership Level'!$A$3:$C$15,3,FALSE)+K216)</f>
        <v/>
      </c>
      <c r="Q216" s="36" t="n"/>
    </row>
    <row r="217">
      <c r="C217" s="36" t="n"/>
      <c r="D217" s="36" t="n"/>
      <c r="E217" s="54" t="n"/>
      <c r="F217" s="36" t="n"/>
      <c r="G217" s="36" t="n"/>
      <c r="H217" s="30" t="n"/>
      <c r="I217" s="30" t="n">
        <v>0</v>
      </c>
      <c r="J217" s="31">
        <f>IF(H217="","",H217-I217)</f>
        <v/>
      </c>
      <c r="K217" s="43" t="n"/>
      <c r="L217" s="32">
        <f>IF(OR(K217="",$F217=""),"",DATE(YEAR(K217),MONTH(K217)+VLOOKUP($F217,'Membership Level'!$A$3:$B$15,2,FALSE),DAY(K217)))</f>
        <v/>
      </c>
      <c r="M217" s="36" t="n"/>
      <c r="N217" s="34">
        <f>IF($L217="","",DATE(YEAR($L217),MONTH($L217),DAY($L217)-$M217))</f>
        <v/>
      </c>
      <c r="O217" s="33">
        <f>IF($L217="","",IF(DAYS360(NOW(),$L217)&gt;=0,DAYS360(NOW(),$L217),""))</f>
        <v/>
      </c>
      <c r="P217" s="34">
        <f>IF(OR(H217="",H217=0,F217="",K217=""),"",I217/H217*VLOOKUP(F217,'Membership Level'!$A$3:$C$15,3,FALSE)+K217)</f>
        <v/>
      </c>
      <c r="Q217" s="36" t="n"/>
    </row>
    <row r="218">
      <c r="C218" s="36" t="n"/>
      <c r="D218" s="36" t="n"/>
      <c r="E218" s="54" t="n"/>
      <c r="F218" s="36" t="n"/>
      <c r="G218" s="36" t="n"/>
      <c r="H218" s="30" t="n"/>
      <c r="I218" s="30" t="n">
        <v>0</v>
      </c>
      <c r="J218" s="31">
        <f>IF(H218="","",H218-I218)</f>
        <v/>
      </c>
      <c r="K218" s="43" t="n"/>
      <c r="L218" s="32">
        <f>IF(OR(K218="",$F218=""),"",DATE(YEAR(K218),MONTH(K218)+VLOOKUP($F218,'Membership Level'!$A$3:$B$15,2,FALSE),DAY(K218)))</f>
        <v/>
      </c>
      <c r="M218" s="36" t="n"/>
      <c r="N218" s="34">
        <f>IF($L218="","",DATE(YEAR($L218),MONTH($L218),DAY($L218)-$M218))</f>
        <v/>
      </c>
      <c r="O218" s="33">
        <f>IF($L218="","",IF(DAYS360(NOW(),$L218)&gt;=0,DAYS360(NOW(),$L218),""))</f>
        <v/>
      </c>
      <c r="P218" s="34">
        <f>IF(OR(H218="",H218=0,F218="",K218=""),"",I218/H218*VLOOKUP(F218,'Membership Level'!$A$3:$C$15,3,FALSE)+K218)</f>
        <v/>
      </c>
      <c r="Q218" s="36" t="n"/>
    </row>
    <row r="219">
      <c r="C219" s="36" t="n"/>
      <c r="D219" s="36" t="n"/>
      <c r="E219" s="54" t="n"/>
      <c r="F219" s="36" t="n"/>
      <c r="G219" s="36" t="n"/>
      <c r="H219" s="30" t="n"/>
      <c r="I219" s="30" t="n">
        <v>0</v>
      </c>
      <c r="J219" s="31">
        <f>IF(H219="","",H219-I219)</f>
        <v/>
      </c>
      <c r="K219" s="43" t="n"/>
      <c r="L219" s="32">
        <f>IF(OR(K219="",$F219=""),"",DATE(YEAR(K219),MONTH(K219)+VLOOKUP($F219,'Membership Level'!$A$3:$B$15,2,FALSE),DAY(K219)))</f>
        <v/>
      </c>
      <c r="M219" s="36" t="n"/>
      <c r="N219" s="34">
        <f>IF($L219="","",DATE(YEAR($L219),MONTH($L219),DAY($L219)-$M219))</f>
        <v/>
      </c>
      <c r="O219" s="33">
        <f>IF($L219="","",IF(DAYS360(NOW(),$L219)&gt;=0,DAYS360(NOW(),$L219),""))</f>
        <v/>
      </c>
      <c r="P219" s="34">
        <f>IF(OR(H219="",H219=0,F219="",K219=""),"",I219/H219*VLOOKUP(F219,'Membership Level'!$A$3:$C$15,3,FALSE)+K219)</f>
        <v/>
      </c>
      <c r="Q219" s="36" t="n"/>
    </row>
    <row r="220">
      <c r="C220" s="36" t="n"/>
      <c r="D220" s="36" t="n"/>
      <c r="E220" s="54" t="n"/>
      <c r="F220" s="36" t="n"/>
      <c r="G220" s="36" t="n"/>
      <c r="H220" s="30" t="n"/>
      <c r="I220" s="30" t="n">
        <v>0</v>
      </c>
      <c r="J220" s="31">
        <f>IF(H220="","",H220-I220)</f>
        <v/>
      </c>
      <c r="K220" s="43" t="n"/>
      <c r="L220" s="32">
        <f>IF(OR(K220="",$F220=""),"",DATE(YEAR(K220),MONTH(K220)+VLOOKUP($F220,'Membership Level'!$A$3:$B$15,2,FALSE),DAY(K220)))</f>
        <v/>
      </c>
      <c r="M220" s="36" t="n"/>
      <c r="N220" s="34">
        <f>IF($L220="","",DATE(YEAR($L220),MONTH($L220),DAY($L220)-$M220))</f>
        <v/>
      </c>
      <c r="O220" s="33">
        <f>IF($L220="","",IF(DAYS360(NOW(),$L220)&gt;=0,DAYS360(NOW(),$L220),""))</f>
        <v/>
      </c>
      <c r="P220" s="34">
        <f>IF(OR(H220="",H220=0,F220="",K220=""),"",I220/H220*VLOOKUP(F220,'Membership Level'!$A$3:$C$15,3,FALSE)+K220)</f>
        <v/>
      </c>
      <c r="Q220" s="36" t="n"/>
    </row>
    <row r="221">
      <c r="C221" s="36" t="n"/>
      <c r="D221" s="36" t="n"/>
      <c r="E221" s="54" t="n"/>
      <c r="F221" s="36" t="n"/>
      <c r="G221" s="36" t="n"/>
      <c r="H221" s="30" t="n"/>
      <c r="I221" s="30" t="n">
        <v>0</v>
      </c>
      <c r="J221" s="31">
        <f>IF(H221="","",H221-I221)</f>
        <v/>
      </c>
      <c r="K221" s="43" t="n"/>
      <c r="L221" s="32">
        <f>IF(OR(K221="",$F221=""),"",DATE(YEAR(K221),MONTH(K221)+VLOOKUP($F221,'Membership Level'!$A$3:$B$15,2,FALSE),DAY(K221)))</f>
        <v/>
      </c>
      <c r="M221" s="36" t="n"/>
      <c r="N221" s="34">
        <f>IF($L221="","",DATE(YEAR($L221),MONTH($L221),DAY($L221)-$M221))</f>
        <v/>
      </c>
      <c r="O221" s="33">
        <f>IF($L221="","",IF(DAYS360(NOW(),$L221)&gt;=0,DAYS360(NOW(),$L221),""))</f>
        <v/>
      </c>
      <c r="P221" s="34">
        <f>IF(OR(H221="",H221=0,F221="",K221=""),"",I221/H221*VLOOKUP(F221,'Membership Level'!$A$3:$C$15,3,FALSE)+K221)</f>
        <v/>
      </c>
      <c r="Q221" s="36" t="n"/>
    </row>
    <row r="222">
      <c r="C222" s="36" t="n"/>
      <c r="D222" s="36" t="n"/>
      <c r="E222" s="54" t="n"/>
      <c r="F222" s="36" t="n"/>
      <c r="G222" s="36" t="n"/>
      <c r="H222" s="30" t="n"/>
      <c r="I222" s="30" t="n">
        <v>0</v>
      </c>
      <c r="J222" s="31">
        <f>IF(H222="","",H222-I222)</f>
        <v/>
      </c>
      <c r="K222" s="43" t="n"/>
      <c r="L222" s="32">
        <f>IF(OR(K222="",$F222=""),"",DATE(YEAR(K222),MONTH(K222)+VLOOKUP($F222,'Membership Level'!$A$3:$B$15,2,FALSE),DAY(K222)))</f>
        <v/>
      </c>
      <c r="M222" s="36" t="n"/>
      <c r="N222" s="34">
        <f>IF($L222="","",DATE(YEAR($L222),MONTH($L222),DAY($L222)-$M222))</f>
        <v/>
      </c>
      <c r="O222" s="33">
        <f>IF($L222="","",IF(DAYS360(NOW(),$L222)&gt;=0,DAYS360(NOW(),$L222),""))</f>
        <v/>
      </c>
      <c r="P222" s="34">
        <f>IF(OR(H222="",H222=0,F222="",K222=""),"",I222/H222*VLOOKUP(F222,'Membership Level'!$A$3:$C$15,3,FALSE)+K222)</f>
        <v/>
      </c>
      <c r="Q222" s="36" t="n"/>
    </row>
    <row r="223">
      <c r="C223" s="36" t="n"/>
      <c r="D223" s="36" t="n"/>
      <c r="E223" s="54" t="n"/>
      <c r="F223" s="36" t="n"/>
      <c r="G223" s="36" t="n"/>
      <c r="H223" s="30" t="n"/>
      <c r="I223" s="30" t="n">
        <v>0</v>
      </c>
      <c r="J223" s="31">
        <f>IF(H223="","",H223-I223)</f>
        <v/>
      </c>
      <c r="K223" s="43" t="n"/>
      <c r="L223" s="32">
        <f>IF(OR(K223="",$F223=""),"",DATE(YEAR(K223),MONTH(K223)+VLOOKUP($F223,'Membership Level'!$A$3:$B$15,2,FALSE),DAY(K223)))</f>
        <v/>
      </c>
      <c r="M223" s="36" t="n"/>
      <c r="N223" s="34">
        <f>IF($L223="","",DATE(YEAR($L223),MONTH($L223),DAY($L223)-$M223))</f>
        <v/>
      </c>
      <c r="O223" s="33">
        <f>IF($L223="","",IF(DAYS360(NOW(),$L223)&gt;=0,DAYS360(NOW(),$L223),""))</f>
        <v/>
      </c>
      <c r="P223" s="34">
        <f>IF(OR(H223="",H223=0,F223="",K223=""),"",I223/H223*VLOOKUP(F223,'Membership Level'!$A$3:$C$15,3,FALSE)+K223)</f>
        <v/>
      </c>
      <c r="Q223" s="43" t="n"/>
    </row>
    <row r="224">
      <c r="C224" s="36" t="n"/>
      <c r="D224" s="36" t="n"/>
      <c r="E224" s="54" t="n"/>
      <c r="F224" s="36" t="n"/>
      <c r="G224" s="36" t="n"/>
      <c r="H224" s="30" t="n"/>
      <c r="I224" s="30" t="n">
        <v>0</v>
      </c>
      <c r="J224" s="31">
        <f>IF(H224="","",H224-I224)</f>
        <v/>
      </c>
      <c r="K224" s="43" t="n"/>
      <c r="L224" s="32">
        <f>IF(OR(K224="",$F224=""),"",DATE(YEAR(K224),MONTH(K224)+VLOOKUP($F224,'Membership Level'!$A$3:$B$15,2,FALSE),DAY(K224)))</f>
        <v/>
      </c>
      <c r="M224" s="36" t="n"/>
      <c r="N224" s="34">
        <f>IF($L224="","",DATE(YEAR($L224),MONTH($L224),DAY($L224)-$M224))</f>
        <v/>
      </c>
      <c r="O224" s="33">
        <f>IF($L224="","",IF(DAYS360(NOW(),$L224)&gt;=0,DAYS360(NOW(),$L224),""))</f>
        <v/>
      </c>
      <c r="P224" s="34">
        <f>IF(OR(H224="",H224=0,F224="",K224=""),"",I224/H224*VLOOKUP(F224,'Membership Level'!$A$3:$C$15,3,FALSE)+K224)</f>
        <v/>
      </c>
      <c r="Q224" s="36" t="n"/>
    </row>
    <row r="225">
      <c r="C225" s="36" t="n"/>
      <c r="D225" s="36" t="n"/>
      <c r="E225" s="54" t="n"/>
      <c r="F225" s="36" t="n"/>
      <c r="G225" s="36" t="n"/>
      <c r="H225" s="30" t="n"/>
      <c r="I225" s="30" t="n">
        <v>0</v>
      </c>
      <c r="J225" s="31">
        <f>IF(H225="","",H225-I225)</f>
        <v/>
      </c>
      <c r="K225" s="43" t="n"/>
      <c r="L225" s="32">
        <f>IF(OR(K225="",$F225=""),"",DATE(YEAR(K225),MONTH(K225)+VLOOKUP($F225,'Membership Level'!$A$3:$B$15,2,FALSE),DAY(K225)))</f>
        <v/>
      </c>
      <c r="M225" s="36" t="n"/>
      <c r="N225" s="34">
        <f>IF($L225="","",DATE(YEAR($L225),MONTH($L225),DAY($L225)-$M225))</f>
        <v/>
      </c>
      <c r="O225" s="33">
        <f>IF($L225="","",IF(DAYS360(NOW(),$L225)&gt;=0,DAYS360(NOW(),$L225),""))</f>
        <v/>
      </c>
      <c r="P225" s="34">
        <f>IF(OR(H225="",H225=0,F225="",K225=""),"",I225/H225*VLOOKUP(F225,'Membership Level'!$A$3:$C$15,3,FALSE)+K225)</f>
        <v/>
      </c>
      <c r="Q225" s="36" t="n"/>
    </row>
    <row r="226">
      <c r="C226" s="36" t="n"/>
      <c r="D226" s="36" t="n"/>
      <c r="E226" s="54" t="n"/>
      <c r="F226" s="36" t="n"/>
      <c r="G226" s="36" t="n"/>
      <c r="H226" s="30" t="n"/>
      <c r="I226" s="30" t="n">
        <v>0</v>
      </c>
      <c r="J226" s="31">
        <f>IF(H226="","",H226-I226)</f>
        <v/>
      </c>
      <c r="K226" s="43" t="n"/>
      <c r="L226" s="32">
        <f>IF(OR(K226="",$F226=""),"",DATE(YEAR(K226),MONTH(K226)+VLOOKUP($F226,'Membership Level'!$A$3:$B$15,2,FALSE),DAY(K226)))</f>
        <v/>
      </c>
      <c r="M226" s="36" t="n"/>
      <c r="N226" s="34">
        <f>IF($L226="","",DATE(YEAR($L226),MONTH($L226),DAY($L226)-$M226))</f>
        <v/>
      </c>
      <c r="O226" s="33">
        <f>IF($L226="","",IF(DAYS360(NOW(),$L226)&gt;=0,DAYS360(NOW(),$L226),""))</f>
        <v/>
      </c>
      <c r="P226" s="34">
        <f>IF(OR(H226="",H226=0,F226="",K226=""),"",I226/H226*VLOOKUP(F226,'Membership Level'!$A$3:$C$15,3,FALSE)+K226)</f>
        <v/>
      </c>
      <c r="Q226" s="36" t="n"/>
    </row>
    <row r="227">
      <c r="C227" s="36" t="n"/>
      <c r="D227" s="36" t="n"/>
      <c r="E227" s="54" t="n"/>
      <c r="F227" s="36" t="n"/>
      <c r="G227" s="36" t="n"/>
      <c r="H227" s="30" t="n"/>
      <c r="I227" s="30" t="n">
        <v>0</v>
      </c>
      <c r="J227" s="31">
        <f>IF(H227="","",H227-I227)</f>
        <v/>
      </c>
      <c r="K227" s="43" t="n"/>
      <c r="L227" s="32">
        <f>IF(OR(K227="",$F227=""),"",DATE(YEAR(K227),MONTH(K227)+VLOOKUP($F227,'Membership Level'!$A$3:$B$15,2,FALSE),DAY(K227)))</f>
        <v/>
      </c>
      <c r="M227" s="36" t="n"/>
      <c r="N227" s="34">
        <f>IF($L227="","",DATE(YEAR($L227),MONTH($L227),DAY($L227)-$M227))</f>
        <v/>
      </c>
      <c r="O227" s="33">
        <f>IF($L227="","",IF(DAYS360(NOW(),$L227)&gt;=0,DAYS360(NOW(),$L227),""))</f>
        <v/>
      </c>
      <c r="P227" s="34">
        <f>IF(OR(H227="",H227=0,F227="",K227=""),"",I227/H227*VLOOKUP(F227,'Membership Level'!$A$3:$C$15,3,FALSE)+K227)</f>
        <v/>
      </c>
      <c r="Q227" s="36" t="n"/>
    </row>
    <row r="228">
      <c r="C228" s="36" t="n"/>
      <c r="D228" s="36" t="n"/>
      <c r="E228" s="54" t="n"/>
      <c r="F228" s="36" t="n"/>
      <c r="G228" s="36" t="n"/>
      <c r="H228" s="30" t="n"/>
      <c r="I228" s="30" t="n">
        <v>0</v>
      </c>
      <c r="J228" s="31">
        <f>IF(H228="","",H228-I228)</f>
        <v/>
      </c>
      <c r="K228" s="43" t="n"/>
      <c r="L228" s="32">
        <f>IF(OR(K228="",$F228=""),"",DATE(YEAR(K228),MONTH(K228)+VLOOKUP($F228,'Membership Level'!$A$3:$B$15,2,FALSE),DAY(K228)))</f>
        <v/>
      </c>
      <c r="M228" s="36" t="n"/>
      <c r="N228" s="34">
        <f>IF($L228="","",DATE(YEAR($L228),MONTH($L228),DAY($L228)-$M228))</f>
        <v/>
      </c>
      <c r="O228" s="33">
        <f>IF($L228="","",IF(DAYS360(NOW(),$L228)&gt;=0,DAYS360(NOW(),$L228),""))</f>
        <v/>
      </c>
      <c r="P228" s="34">
        <f>IF(OR(H228="",H228=0,F228="",K228=""),"",I228/H228*VLOOKUP(F228,'Membership Level'!$A$3:$C$15,3,FALSE)+K228)</f>
        <v/>
      </c>
      <c r="Q228" s="36" t="n"/>
    </row>
    <row r="229">
      <c r="C229" s="36" t="n"/>
      <c r="D229" s="36" t="n"/>
      <c r="E229" s="54" t="n"/>
      <c r="F229" s="36" t="n"/>
      <c r="G229" s="36" t="n"/>
      <c r="H229" s="30" t="n"/>
      <c r="I229" s="30" t="n">
        <v>0</v>
      </c>
      <c r="J229" s="31">
        <f>IF(H229="","",H229-I229)</f>
        <v/>
      </c>
      <c r="K229" s="43" t="n"/>
      <c r="L229" s="32">
        <f>IF(OR(K229="",$F229=""),"",DATE(YEAR(K229),MONTH(K229)+VLOOKUP($F229,'Membership Level'!$A$3:$B$15,2,FALSE),DAY(K229)))</f>
        <v/>
      </c>
      <c r="M229" s="36" t="n"/>
      <c r="N229" s="34">
        <f>IF($L229="","",DATE(YEAR($L229),MONTH($L229),DAY($L229)-$M229))</f>
        <v/>
      </c>
      <c r="O229" s="33">
        <f>IF($L229="","",IF(DAYS360(NOW(),$L229)&gt;=0,DAYS360(NOW(),$L229),""))</f>
        <v/>
      </c>
      <c r="P229" s="34">
        <f>IF(OR(H229="",H229=0,F229="",K229=""),"",I229/H229*VLOOKUP(F229,'Membership Level'!$A$3:$C$15,3,FALSE)+K229)</f>
        <v/>
      </c>
      <c r="Q229" s="36" t="n"/>
    </row>
    <row r="230">
      <c r="C230" s="36" t="n"/>
      <c r="D230" s="36" t="n"/>
      <c r="E230" s="54" t="n"/>
      <c r="F230" s="36" t="n"/>
      <c r="G230" s="36" t="n"/>
      <c r="H230" s="30" t="n"/>
      <c r="I230" s="30" t="n">
        <v>0</v>
      </c>
      <c r="J230" s="31">
        <f>IF(H230="","",H230-I230)</f>
        <v/>
      </c>
      <c r="K230" s="43" t="n"/>
      <c r="L230" s="32">
        <f>IF(OR(K230="",$F230=""),"",DATE(YEAR(K230),MONTH(K230)+VLOOKUP($F230,'Membership Level'!$A$3:$B$15,2,FALSE),DAY(K230)))</f>
        <v/>
      </c>
      <c r="M230" s="36" t="n"/>
      <c r="N230" s="34">
        <f>IF($L230="","",DATE(YEAR($L230),MONTH($L230),DAY($L230)-$M230))</f>
        <v/>
      </c>
      <c r="O230" s="33">
        <f>IF($L230="","",IF(DAYS360(NOW(),$L230)&gt;=0,DAYS360(NOW(),$L230),""))</f>
        <v/>
      </c>
      <c r="P230" s="34">
        <f>IF(OR(H230="",H230=0,F230="",K230=""),"",I230/H230*VLOOKUP(F230,'Membership Level'!$A$3:$C$15,3,FALSE)+K230)</f>
        <v/>
      </c>
      <c r="Q230" s="36" t="n"/>
    </row>
    <row r="231">
      <c r="C231" s="36" t="n"/>
      <c r="D231" s="36" t="n"/>
      <c r="E231" s="54" t="n"/>
      <c r="F231" s="36" t="n"/>
      <c r="G231" s="36" t="n"/>
      <c r="H231" s="30" t="n"/>
      <c r="I231" s="30" t="n">
        <v>0</v>
      </c>
      <c r="J231" s="31">
        <f>IF(H231="","",H231-I231)</f>
        <v/>
      </c>
      <c r="K231" s="43" t="n"/>
      <c r="L231" s="32">
        <f>IF(OR(K231="",$F231=""),"",DATE(YEAR(K231),MONTH(K231)+VLOOKUP($F231,'Membership Level'!$A$3:$B$15,2,FALSE),DAY(K231)))</f>
        <v/>
      </c>
      <c r="M231" s="36" t="n"/>
      <c r="N231" s="34">
        <f>IF($L231="","",DATE(YEAR($L231),MONTH($L231),DAY($L231)-$M231))</f>
        <v/>
      </c>
      <c r="O231" s="33">
        <f>IF($L231="","",IF(DAYS360(NOW(),$L231)&gt;=0,DAYS360(NOW(),$L231),""))</f>
        <v/>
      </c>
      <c r="P231" s="34">
        <f>IF(OR(H231="",H231=0,F231="",K231=""),"",I231/H231*VLOOKUP(F231,'Membership Level'!$A$3:$C$15,3,FALSE)+K231)</f>
        <v/>
      </c>
      <c r="Q231" s="36" t="n"/>
    </row>
    <row r="232">
      <c r="C232" s="36" t="n"/>
      <c r="D232" s="36" t="n"/>
      <c r="E232" s="54" t="n"/>
      <c r="F232" s="45" t="n"/>
      <c r="G232" s="36" t="n"/>
      <c r="H232" s="30" t="n"/>
      <c r="I232" s="30" t="n">
        <v>0</v>
      </c>
      <c r="J232" s="31">
        <f>IF(H232="","",H232-I232)</f>
        <v/>
      </c>
      <c r="K232" s="43" t="n"/>
      <c r="L232" s="32">
        <f>IF(OR(K232="",$F232=""),"",DATE(YEAR(K232),MONTH(K232)+VLOOKUP($F232,'Membership Level'!$A$3:$B$15,2,FALSE),DAY(K232)))</f>
        <v/>
      </c>
      <c r="M232" s="36" t="n"/>
      <c r="N232" s="34">
        <f>IF($L232="","",DATE(YEAR($L232),MONTH($L232),DAY($L232)-$M232))</f>
        <v/>
      </c>
      <c r="O232" s="33">
        <f>IF($L232="","",IF(DAYS360(NOW(),$L232)&gt;=0,DAYS360(NOW(),$L232),""))</f>
        <v/>
      </c>
      <c r="P232" s="34">
        <f>IF(OR(H232="",H232=0,F232="",K232=""),"",I232/H232*VLOOKUP(F232,'Membership Level'!$A$3:$C$15,3,FALSE)+K232)</f>
        <v/>
      </c>
      <c r="Q232" s="36" t="n"/>
    </row>
    <row r="233">
      <c r="C233" s="36" t="n"/>
      <c r="D233" s="36" t="n"/>
      <c r="E233" s="59" t="n"/>
      <c r="F233" s="36" t="n"/>
      <c r="G233" s="36" t="n"/>
      <c r="H233" s="30" t="n"/>
      <c r="I233" s="30" t="n">
        <v>0</v>
      </c>
      <c r="J233" s="31">
        <f>IF(H233="","",H233-I233)</f>
        <v/>
      </c>
      <c r="K233" s="43" t="n"/>
      <c r="L233" s="32">
        <f>IF(OR(K233="",$F233=""),"",DATE(YEAR(K233),MONTH(K233)+VLOOKUP($F233,'Membership Level'!$A$3:$B$15,2,FALSE),DAY(K233)))</f>
        <v/>
      </c>
      <c r="M233" s="36" t="n"/>
      <c r="N233" s="34">
        <f>IF($L233="","",DATE(YEAR($L233),MONTH($L233),DAY($L233)-$M233))</f>
        <v/>
      </c>
      <c r="O233" s="33">
        <f>IF($L233="","",IF(DAYS360(NOW(),$L233)&gt;=0,DAYS360(NOW(),$L233),""))</f>
        <v/>
      </c>
      <c r="P233" s="34">
        <f>IF(OR(H233="",H233=0,F233="",K233=""),"",I233/H233*VLOOKUP(F233,'Membership Level'!$A$3:$C$15,3,FALSE)+K233)</f>
        <v/>
      </c>
      <c r="Q233" s="36" t="n"/>
    </row>
    <row r="234" customFormat="1" s="27">
      <c r="C234" s="45" t="n"/>
      <c r="D234" s="45" t="n"/>
      <c r="E234" s="54" t="n"/>
      <c r="F234" s="36" t="n"/>
      <c r="G234" s="45" t="n"/>
      <c r="H234" s="30" t="n"/>
      <c r="I234" s="30" t="n">
        <v>0</v>
      </c>
      <c r="J234" s="31">
        <f>IF(H234="","",H234-I234)</f>
        <v/>
      </c>
      <c r="K234" s="60" t="n"/>
      <c r="L234" s="32">
        <f>IF(OR(K234="",$F234=""),"",DATE(YEAR(K234),MONTH(K234)+VLOOKUP($F234,'Membership Level'!$A$3:$B$15,2,FALSE),DAY(K234)))</f>
        <v/>
      </c>
      <c r="M234" s="36" t="n"/>
      <c r="N234" s="34">
        <f>IF($L234="","",DATE(YEAR($L234),MONTH($L234),DAY($L234)-$M234))</f>
        <v/>
      </c>
      <c r="O234" s="33">
        <f>IF($L234="","",IF(DAYS360(NOW(),$L234)&gt;=0,DAYS360(NOW(),$L234),""))</f>
        <v/>
      </c>
      <c r="P234" s="34">
        <f>IF(OR(H234="",H234=0,F234="",K234=""),"",I234/H234*VLOOKUP(F234,'Membership Level'!$A$3:$C$15,3,FALSE)+K234)</f>
        <v/>
      </c>
      <c r="Q234" s="45" t="n"/>
    </row>
    <row r="235">
      <c r="C235" s="36" t="n"/>
      <c r="D235" s="36" t="n"/>
      <c r="E235" s="54" t="n"/>
      <c r="F235" s="36" t="n"/>
      <c r="G235" s="36" t="n"/>
      <c r="H235" s="30" t="n"/>
      <c r="I235" s="30" t="n">
        <v>0</v>
      </c>
      <c r="J235" s="31">
        <f>IF(H235="","",H235-I235)</f>
        <v/>
      </c>
      <c r="K235" s="43" t="n"/>
      <c r="L235" s="32">
        <f>IF(OR(K235="",$F235=""),"",DATE(YEAR(K235),MONTH(K235)+VLOOKUP($F235,'Membership Level'!$A$3:$B$15,2,FALSE),DAY(K235)))</f>
        <v/>
      </c>
      <c r="M235" s="36" t="n"/>
      <c r="N235" s="34">
        <f>IF($L235="","",DATE(YEAR($L235),MONTH($L235),DAY($L235)-$M235))</f>
        <v/>
      </c>
      <c r="O235" s="33">
        <f>IF($L235="","",IF(DAYS360(NOW(),$L235)&gt;=0,DAYS360(NOW(),$L235),""))</f>
        <v/>
      </c>
      <c r="P235" s="34">
        <f>IF(OR(H235="",H235=0,F235="",K235=""),"",I235/H235*VLOOKUP(F235,'Membership Level'!$A$3:$C$15,3,FALSE)+K235)</f>
        <v/>
      </c>
      <c r="Q235" s="36" t="n"/>
    </row>
    <row r="236">
      <c r="C236" s="36" t="n"/>
      <c r="D236" s="36" t="n"/>
      <c r="E236" s="54" t="n"/>
      <c r="F236" s="36" t="n"/>
      <c r="G236" s="36" t="n"/>
      <c r="H236" s="30" t="n"/>
      <c r="I236" s="30" t="n">
        <v>0</v>
      </c>
      <c r="J236" s="31">
        <f>IF(H236="","",H236-I236)</f>
        <v/>
      </c>
      <c r="K236" s="43" t="n"/>
      <c r="L236" s="32">
        <f>IF(OR(K236="",$F236=""),"",DATE(YEAR(K236),MONTH(K236)+VLOOKUP($F236,'Membership Level'!$A$3:$B$15,2,FALSE),DAY(K236)))</f>
        <v/>
      </c>
      <c r="M236" s="36" t="n"/>
      <c r="N236" s="34">
        <f>IF($L236="","",DATE(YEAR($L236),MONTH($L236),DAY($L236)-$M236))</f>
        <v/>
      </c>
      <c r="O236" s="33">
        <f>IF($L236="","",IF(DAYS360(NOW(),$L236)&gt;=0,DAYS360(NOW(),$L236),""))</f>
        <v/>
      </c>
      <c r="P236" s="34">
        <f>IF(OR(H236="",H236=0,F236="",K236=""),"",I236/H236*VLOOKUP(F236,'Membership Level'!$A$3:$C$15,3,FALSE)+K236)</f>
        <v/>
      </c>
      <c r="Q236" s="36" t="n"/>
    </row>
    <row r="237">
      <c r="C237" s="36" t="n"/>
      <c r="D237" s="36" t="n"/>
      <c r="E237" s="54" t="n"/>
      <c r="F237" s="36" t="n"/>
      <c r="G237" s="36" t="n"/>
      <c r="H237" s="30" t="n"/>
      <c r="I237" s="30" t="n">
        <v>0</v>
      </c>
      <c r="J237" s="31">
        <f>IF(H237="","",H237-I237)</f>
        <v/>
      </c>
      <c r="K237" s="43" t="n"/>
      <c r="L237" s="32">
        <f>IF(OR(K237="",$F237=""),"",DATE(YEAR(K237),MONTH(K237)+VLOOKUP($F237,'Membership Level'!$A$3:$B$15,2,FALSE),DAY(K237)))</f>
        <v/>
      </c>
      <c r="M237" s="36" t="n"/>
      <c r="N237" s="34">
        <f>IF($L237="","",DATE(YEAR($L237),MONTH($L237),DAY($L237)-$M237))</f>
        <v/>
      </c>
      <c r="O237" s="33">
        <f>IF($L237="","",IF(DAYS360(NOW(),$L237)&gt;=0,DAYS360(NOW(),$L237),""))</f>
        <v/>
      </c>
      <c r="P237" s="34">
        <f>IF(OR(H237="",H237=0,F237="",K237=""),"",I237/H237*VLOOKUP(F237,'Membership Level'!$A$3:$C$15,3,FALSE)+K237)</f>
        <v/>
      </c>
      <c r="Q237" s="36" t="n"/>
    </row>
    <row r="238">
      <c r="C238" s="36" t="n"/>
      <c r="D238" s="36" t="n"/>
      <c r="E238" s="54" t="n"/>
      <c r="F238" s="36" t="n"/>
      <c r="G238" s="36" t="n"/>
      <c r="H238" s="30" t="n"/>
      <c r="I238" s="30" t="n">
        <v>0</v>
      </c>
      <c r="J238" s="31">
        <f>IF(H238="","",H238-I238)</f>
        <v/>
      </c>
      <c r="K238" s="43" t="n"/>
      <c r="L238" s="32">
        <f>IF(OR(K238="",$F238=""),"",DATE(YEAR(K238),MONTH(K238)+VLOOKUP($F238,'Membership Level'!$A$3:$B$15,2,FALSE),DAY(K238)))</f>
        <v/>
      </c>
      <c r="M238" s="36" t="n"/>
      <c r="N238" s="34">
        <f>IF($L238="","",DATE(YEAR($L238),MONTH($L238),DAY($L238)-$M238))</f>
        <v/>
      </c>
      <c r="O238" s="33">
        <f>IF($L238="","",IF(DAYS360(NOW(),$L238)&gt;=0,DAYS360(NOW(),$L238),""))</f>
        <v/>
      </c>
      <c r="P238" s="34">
        <f>IF(OR(H238="",H238=0,F238="",K238=""),"",I238/H238*VLOOKUP(F238,'Membership Level'!$A$3:$C$15,3,FALSE)+K238)</f>
        <v/>
      </c>
      <c r="Q238" s="36" t="n"/>
    </row>
    <row r="239">
      <c r="C239" s="36" t="n"/>
      <c r="D239" s="36" t="n"/>
      <c r="E239" s="54" t="n"/>
      <c r="F239" s="36" t="n"/>
      <c r="G239" s="36" t="n"/>
      <c r="H239" s="30" t="n"/>
      <c r="I239" s="30" t="n">
        <v>0</v>
      </c>
      <c r="J239" s="31">
        <f>IF(H239="","",H239-I239)</f>
        <v/>
      </c>
      <c r="K239" s="43" t="n"/>
      <c r="L239" s="32">
        <f>IF(OR(K239="",$F239=""),"",DATE(YEAR(K239),MONTH(K239)+VLOOKUP($F239,'Membership Level'!$A$3:$B$15,2,FALSE),DAY(K239)))</f>
        <v/>
      </c>
      <c r="M239" s="36" t="n"/>
      <c r="N239" s="34">
        <f>IF($L239="","",DATE(YEAR($L239),MONTH($L239),DAY($L239)-$M239))</f>
        <v/>
      </c>
      <c r="O239" s="33">
        <f>IF($L239="","",IF(DAYS360(NOW(),$L239)&gt;=0,DAYS360(NOW(),$L239),""))</f>
        <v/>
      </c>
      <c r="P239" s="34">
        <f>IF(OR(H239="",H239=0,F239="",K239=""),"",I239/H239*VLOOKUP(F239,'Membership Level'!$A$3:$C$15,3,FALSE)+K239)</f>
        <v/>
      </c>
      <c r="Q239" s="36" t="n"/>
    </row>
    <row r="240">
      <c r="C240" s="36" t="n"/>
      <c r="D240" s="36" t="n"/>
      <c r="E240" s="54" t="n"/>
      <c r="F240" s="36" t="n"/>
      <c r="G240" s="36" t="n"/>
      <c r="H240" s="30" t="n"/>
      <c r="I240" s="30" t="n">
        <v>0</v>
      </c>
      <c r="J240" s="31">
        <f>IF(H240="","",H240-I240)</f>
        <v/>
      </c>
      <c r="K240" s="43" t="n"/>
      <c r="L240" s="32">
        <f>IF(OR(K240="",$F240=""),"",DATE(YEAR(K240),MONTH(K240)+VLOOKUP($F240,'Membership Level'!$A$3:$B$15,2,FALSE),DAY(K240)))</f>
        <v/>
      </c>
      <c r="M240" s="36" t="n"/>
      <c r="N240" s="34">
        <f>IF($L240="","",DATE(YEAR($L240),MONTH($L240),DAY($L240)-$M240))</f>
        <v/>
      </c>
      <c r="O240" s="33">
        <f>IF($L240="","",IF(DAYS360(NOW(),$L240)&gt;=0,DAYS360(NOW(),$L240),""))</f>
        <v/>
      </c>
      <c r="P240" s="34">
        <f>IF(OR(H240="",H240=0,F240="",K240=""),"",I240/H240*VLOOKUP(F240,'Membership Level'!$A$3:$C$15,3,FALSE)+K240)</f>
        <v/>
      </c>
      <c r="Q240" s="36" t="n"/>
    </row>
    <row r="241">
      <c r="C241" s="36" t="n"/>
      <c r="D241" s="36" t="n"/>
      <c r="E241" s="54" t="n"/>
      <c r="F241" s="36" t="n"/>
      <c r="G241" s="36" t="n"/>
      <c r="H241" s="30" t="n"/>
      <c r="I241" s="30" t="n">
        <v>0</v>
      </c>
      <c r="J241" s="31">
        <f>IF(H241="","",H241-I241)</f>
        <v/>
      </c>
      <c r="K241" s="43" t="n"/>
      <c r="L241" s="32">
        <f>IF(OR(K241="",$F241=""),"",DATE(YEAR(K241),MONTH(K241)+VLOOKUP($F241,'Membership Level'!$A$3:$B$15,2,FALSE),DAY(K241)))</f>
        <v/>
      </c>
      <c r="M241" s="36" t="n"/>
      <c r="N241" s="34">
        <f>IF($L241="","",DATE(YEAR($L241),MONTH($L241),DAY($L241)-$M241))</f>
        <v/>
      </c>
      <c r="O241" s="33">
        <f>IF($L241="","",IF(DAYS360(NOW(),$L241)&gt;=0,DAYS360(NOW(),$L241),""))</f>
        <v/>
      </c>
      <c r="P241" s="34">
        <f>IF(OR(H241="",H241=0,F241="",K241=""),"",I241/H241*VLOOKUP(F241,'Membership Level'!$A$3:$C$15,3,FALSE)+K241)</f>
        <v/>
      </c>
      <c r="Q241" s="35" t="n"/>
    </row>
    <row r="242">
      <c r="C242" s="36" t="n"/>
      <c r="D242" s="36" t="n"/>
      <c r="E242" s="54" t="n"/>
      <c r="F242" s="36" t="n"/>
      <c r="G242" s="36" t="n"/>
      <c r="H242" s="30" t="n"/>
      <c r="I242" s="30" t="n">
        <v>0</v>
      </c>
      <c r="J242" s="31">
        <f>IF(H242="","",H242-I242)</f>
        <v/>
      </c>
      <c r="K242" s="43" t="n"/>
      <c r="L242" s="32">
        <f>IF(OR(K242="",$F242=""),"",DATE(YEAR(K242),MONTH(K242)+VLOOKUP($F242,'Membership Level'!$A$3:$B$15,2,FALSE),DAY(K242)))</f>
        <v/>
      </c>
      <c r="M242" s="36" t="n"/>
      <c r="N242" s="34">
        <f>IF($L242="","",DATE(YEAR($L242),MONTH($L242),DAY($L242)-$M242))</f>
        <v/>
      </c>
      <c r="O242" s="33">
        <f>IF($L242="","",IF(DAYS360(NOW(),$L242)&gt;=0,DAYS360(NOW(),$L242),""))</f>
        <v/>
      </c>
      <c r="P242" s="34">
        <f>IF(OR(H242="",H242=0,F242="",K242=""),"",I242/H242*VLOOKUP(F242,'Membership Level'!$A$3:$C$15,3,FALSE)+K242)</f>
        <v/>
      </c>
      <c r="Q242" s="36" t="n"/>
    </row>
    <row r="243">
      <c r="C243" s="36" t="n"/>
      <c r="D243" s="36" t="n"/>
      <c r="E243" s="54" t="n"/>
      <c r="F243" s="36" t="n"/>
      <c r="G243" s="36" t="n"/>
      <c r="H243" s="30" t="n"/>
      <c r="I243" s="30" t="n">
        <v>0</v>
      </c>
      <c r="J243" s="31">
        <f>IF(H243="","",H243-I243)</f>
        <v/>
      </c>
      <c r="K243" s="43" t="n"/>
      <c r="L243" s="32">
        <f>IF(OR(K243="",$F243=""),"",DATE(YEAR(K243),MONTH(K243)+VLOOKUP($F243,'Membership Level'!$A$3:$B$15,2,FALSE),DAY(K243)))</f>
        <v/>
      </c>
      <c r="M243" s="36" t="n"/>
      <c r="N243" s="34">
        <f>IF($L243="","",DATE(YEAR($L243),MONTH($L243),DAY($L243)-$M243))</f>
        <v/>
      </c>
      <c r="O243" s="33">
        <f>IF($L243="","",IF(DAYS360(NOW(),$L243)&gt;=0,DAYS360(NOW(),$L243),""))</f>
        <v/>
      </c>
      <c r="P243" s="34">
        <f>IF(OR(H243="",H243=0,F243="",K243=""),"",I243/H243*VLOOKUP(F243,'Membership Level'!$A$3:$C$15,3,FALSE)+K243)</f>
        <v/>
      </c>
      <c r="Q243" s="36" t="n"/>
    </row>
    <row r="244">
      <c r="C244" s="36" t="n"/>
      <c r="D244" s="36" t="n"/>
      <c r="E244" s="54" t="n"/>
      <c r="F244" s="36" t="n"/>
      <c r="G244" s="36" t="n"/>
      <c r="H244" s="30" t="n"/>
      <c r="I244" s="30" t="n">
        <v>0</v>
      </c>
      <c r="J244" s="31">
        <f>IF(H244="","",H244-I244)</f>
        <v/>
      </c>
      <c r="K244" s="43" t="n"/>
      <c r="L244" s="32">
        <f>IF(OR(K244="",$F244=""),"",DATE(YEAR(K244),MONTH(K244)+VLOOKUP($F244,'Membership Level'!$A$3:$B$15,2,FALSE),DAY(K244)))</f>
        <v/>
      </c>
      <c r="M244" s="36" t="n"/>
      <c r="N244" s="34">
        <f>IF($L244="","",DATE(YEAR($L244),MONTH($L244),DAY($L244)-$M244))</f>
        <v/>
      </c>
      <c r="O244" s="33">
        <f>IF($L244="","",IF(DAYS360(NOW(),$L244)&gt;=0,DAYS360(NOW(),$L244),""))</f>
        <v/>
      </c>
      <c r="P244" s="34">
        <f>IF(OR(H244="",H244=0,F244="",K244=""),"",I244/H244*VLOOKUP(F244,'Membership Level'!$A$3:$C$15,3,FALSE)+K244)</f>
        <v/>
      </c>
      <c r="Q244" s="36" t="n"/>
    </row>
    <row r="245">
      <c r="C245" s="36" t="n"/>
      <c r="D245" s="36" t="n"/>
      <c r="E245" s="54" t="n"/>
      <c r="F245" s="36" t="n"/>
      <c r="G245" s="36" t="n"/>
      <c r="H245" s="30" t="n"/>
      <c r="I245" s="30" t="n">
        <v>0</v>
      </c>
      <c r="J245" s="31">
        <f>IF(H245="","",H245-I245)</f>
        <v/>
      </c>
      <c r="K245" s="43" t="n"/>
      <c r="L245" s="32">
        <f>IF(OR(K245="",$F245=""),"",DATE(YEAR(K245),MONTH(K245)+VLOOKUP($F245,'Membership Level'!$A$3:$B$15,2,FALSE),DAY(K245)))</f>
        <v/>
      </c>
      <c r="M245" s="36" t="n"/>
      <c r="N245" s="34">
        <f>IF($L245="","",DATE(YEAR($L245),MONTH($L245),DAY($L245)-$M245))</f>
        <v/>
      </c>
      <c r="O245" s="33">
        <f>IF($L245="","",IF(DAYS360(NOW(),$L245)&gt;=0,DAYS360(NOW(),$L245),""))</f>
        <v/>
      </c>
      <c r="P245" s="34">
        <f>IF(OR(H245="",H245=0,F245="",K245=""),"",I245/H245*VLOOKUP(F245,'Membership Level'!$A$3:$C$15,3,FALSE)+K245)</f>
        <v/>
      </c>
      <c r="Q245" s="36" t="n"/>
    </row>
    <row r="246">
      <c r="C246" s="36" t="n"/>
      <c r="D246" s="36" t="n"/>
      <c r="E246" s="54" t="n"/>
      <c r="F246" s="36" t="n"/>
      <c r="G246" s="36" t="n"/>
      <c r="H246" s="30" t="n"/>
      <c r="I246" s="30" t="n">
        <v>0</v>
      </c>
      <c r="J246" s="31">
        <f>IF(H246="","",H246-I246)</f>
        <v/>
      </c>
      <c r="K246" s="43" t="n"/>
      <c r="L246" s="32">
        <f>IF(OR(K246="",$F246=""),"",DATE(YEAR(K246),MONTH(K246)+VLOOKUP($F246,'Membership Level'!$A$3:$B$15,2,FALSE),DAY(K246)))</f>
        <v/>
      </c>
      <c r="M246" s="36" t="n"/>
      <c r="N246" s="34">
        <f>IF($L246="","",DATE(YEAR($L246),MONTH($L246),DAY($L246)-$M246))</f>
        <v/>
      </c>
      <c r="O246" s="33">
        <f>IF($L246="","",IF(DAYS360(NOW(),$L246)&gt;=0,DAYS360(NOW(),$L246),""))</f>
        <v/>
      </c>
      <c r="P246" s="34">
        <f>IF(OR(H246="",H246=0,F246="",K246=""),"",I246/H246*VLOOKUP(F246,'Membership Level'!$A$3:$C$15,3,FALSE)+K246)</f>
        <v/>
      </c>
      <c r="Q246" s="36" t="n"/>
    </row>
    <row r="247">
      <c r="C247" s="36" t="n"/>
      <c r="D247" s="36" t="n"/>
      <c r="E247" s="54" t="n"/>
      <c r="F247" s="36" t="n"/>
      <c r="G247" s="36" t="n"/>
      <c r="H247" s="30" t="n"/>
      <c r="I247" s="30" t="n">
        <v>0</v>
      </c>
      <c r="J247" s="31">
        <f>IF(H247="","",H247-I247)</f>
        <v/>
      </c>
      <c r="K247" s="43" t="n"/>
      <c r="L247" s="32">
        <f>IF(OR(K247="",$F247=""),"",DATE(YEAR(K247),MONTH(K247)+VLOOKUP($F247,'Membership Level'!$A$3:$B$15,2,FALSE),DAY(K247)))</f>
        <v/>
      </c>
      <c r="M247" s="36" t="n"/>
      <c r="N247" s="34">
        <f>IF($L247="","",DATE(YEAR($L247),MONTH($L247),DAY($L247)-$M247))</f>
        <v/>
      </c>
      <c r="O247" s="33">
        <f>IF($L247="","",IF(DAYS360(NOW(),$L247)&gt;=0,DAYS360(NOW(),$L247),""))</f>
        <v/>
      </c>
      <c r="P247" s="34">
        <f>IF(OR(H247="",H247=0,F247="",K247=""),"",I247/H247*VLOOKUP(F247,'Membership Level'!$A$3:$C$15,3,FALSE)+K247)</f>
        <v/>
      </c>
      <c r="Q247" s="36" t="n"/>
    </row>
    <row r="248">
      <c r="C248" s="36" t="n"/>
      <c r="D248" s="36" t="n"/>
      <c r="E248" s="54" t="n"/>
      <c r="F248" s="36" t="n"/>
      <c r="G248" s="36" t="n"/>
      <c r="H248" s="30" t="n"/>
      <c r="I248" s="30" t="n">
        <v>0</v>
      </c>
      <c r="J248" s="31">
        <f>IF(H248="","",H248-I248)</f>
        <v/>
      </c>
      <c r="K248" s="43" t="n"/>
      <c r="L248" s="32">
        <f>IF(OR(K248="",$F248=""),"",DATE(YEAR(K248),MONTH(K248)+VLOOKUP($F248,'Membership Level'!$A$3:$B$15,2,FALSE),DAY(K248)))</f>
        <v/>
      </c>
      <c r="M248" s="36" t="n"/>
      <c r="N248" s="34">
        <f>IF($L248="","",DATE(YEAR($L248),MONTH($L248),DAY($L248)-$M248))</f>
        <v/>
      </c>
      <c r="O248" s="33">
        <f>IF($L248="","",IF(DAYS360(NOW(),$L248)&gt;=0,DAYS360(NOW(),$L248),""))</f>
        <v/>
      </c>
      <c r="P248" s="34">
        <f>IF(OR(H248="",H248=0,F248="",K248=""),"",I248/H248*VLOOKUP(F248,'Membership Level'!$A$3:$C$15,3,FALSE)+K248)</f>
        <v/>
      </c>
      <c r="Q248" s="36" t="n"/>
    </row>
    <row r="249">
      <c r="C249" s="36" t="n"/>
      <c r="D249" s="36" t="n"/>
      <c r="E249" s="54" t="n"/>
      <c r="F249" s="36" t="n"/>
      <c r="G249" s="36" t="n"/>
      <c r="H249" s="30" t="n"/>
      <c r="I249" s="30" t="n">
        <v>0</v>
      </c>
      <c r="J249" s="31">
        <f>IF(H249="","",H249-I249)</f>
        <v/>
      </c>
      <c r="K249" s="43" t="n"/>
      <c r="L249" s="32">
        <f>IF(OR(K249="",$F249=""),"",DATE(YEAR(K249),MONTH(K249)+VLOOKUP($F249,'Membership Level'!$A$3:$B$15,2,FALSE),DAY(K249)))</f>
        <v/>
      </c>
      <c r="M249" s="36" t="n"/>
      <c r="N249" s="34">
        <f>IF($L249="","",DATE(YEAR($L249),MONTH($L249),DAY($L249)-$M249))</f>
        <v/>
      </c>
      <c r="O249" s="33">
        <f>IF($L249="","",IF(DAYS360(NOW(),$L249)&gt;=0,DAYS360(NOW(),$L249),""))</f>
        <v/>
      </c>
      <c r="P249" s="34">
        <f>IF(OR(H249="",H249=0,F249="",K249=""),"",I249/H249*VLOOKUP(F249,'Membership Level'!$A$3:$C$15,3,FALSE)+K249)</f>
        <v/>
      </c>
      <c r="Q249" s="36" t="n"/>
    </row>
    <row r="250" customFormat="1" s="26">
      <c r="C250" s="36" t="n"/>
      <c r="D250" s="36" t="n"/>
      <c r="E250" s="54" t="n"/>
      <c r="F250" s="36" t="n"/>
      <c r="G250" s="36" t="n"/>
      <c r="H250" s="30" t="n"/>
      <c r="I250" s="30" t="n">
        <v>0</v>
      </c>
      <c r="J250" s="31">
        <f>IF(H250="","",H250-I250)</f>
        <v/>
      </c>
      <c r="K250" s="43" t="n"/>
      <c r="L250" s="32">
        <f>IF(OR(K250="",$F250=""),"",DATE(YEAR(K250),MONTH(K250)+VLOOKUP($F250,'Membership Level'!$A$3:$B$15,2,FALSE),DAY(K250)))</f>
        <v/>
      </c>
      <c r="M250" s="36" t="n"/>
      <c r="N250" s="34">
        <f>IF($L250="","",DATE(YEAR($L250),MONTH($L250),DAY($L250)-$M250))</f>
        <v/>
      </c>
      <c r="O250" s="33">
        <f>IF($L250="","",IF(DAYS360(NOW(),$L250)&gt;=0,DAYS360(NOW(),$L250),""))</f>
        <v/>
      </c>
      <c r="P250" s="34">
        <f>IF(OR(H250="",H250=0,F250="",K250=""),"",I250/H250*VLOOKUP(F250,'Membership Level'!$A$3:$C$15,3,FALSE)+K250)</f>
        <v/>
      </c>
      <c r="Q250" s="36" t="n"/>
    </row>
    <row r="251">
      <c r="C251" s="36" t="n"/>
      <c r="D251" s="36" t="n"/>
      <c r="E251" s="54" t="n"/>
      <c r="F251" s="36" t="n"/>
      <c r="G251" s="36" t="n"/>
      <c r="H251" s="30" t="n"/>
      <c r="I251" s="30" t="n">
        <v>0</v>
      </c>
      <c r="J251" s="31">
        <f>IF(H251="","",H251-I251)</f>
        <v/>
      </c>
      <c r="K251" s="43" t="n"/>
      <c r="L251" s="32">
        <f>IF(OR(K251="",$F251=""),"",DATE(YEAR(K251),MONTH(K251)+VLOOKUP($F251,'Membership Level'!$A$3:$B$15,2,FALSE),DAY(K251)))</f>
        <v/>
      </c>
      <c r="M251" s="36" t="n"/>
      <c r="N251" s="34">
        <f>IF($L251="","",DATE(YEAR($L251),MONTH($L251),DAY($L251)-$M251))</f>
        <v/>
      </c>
      <c r="O251" s="33">
        <f>IF($L251="","",IF(DAYS360(NOW(),$L251)&gt;=0,DAYS360(NOW(),$L251),""))</f>
        <v/>
      </c>
      <c r="P251" s="34">
        <f>IF(OR(H251="",H251=0,F251="",K251=""),"",I251/H251*VLOOKUP(F251,'Membership Level'!$A$3:$C$15,3,FALSE)+K251)</f>
        <v/>
      </c>
      <c r="Q251" s="36" t="n"/>
    </row>
    <row r="252">
      <c r="C252" s="36" t="n"/>
      <c r="D252" s="36" t="n"/>
      <c r="E252" s="54" t="n"/>
      <c r="F252" s="36" t="n"/>
      <c r="G252" s="36" t="n"/>
      <c r="H252" s="30" t="n"/>
      <c r="I252" s="30" t="n">
        <v>0</v>
      </c>
      <c r="J252" s="31">
        <f>IF(H252="","",H252-I252)</f>
        <v/>
      </c>
      <c r="K252" s="43" t="n"/>
      <c r="L252" s="32">
        <f>IF(OR(K252="",$F252=""),"",DATE(YEAR(K252),MONTH(K252)+VLOOKUP($F252,'Membership Level'!$A$3:$B$15,2,FALSE),DAY(K252)))</f>
        <v/>
      </c>
      <c r="M252" s="36" t="n"/>
      <c r="N252" s="34">
        <f>IF($L252="","",DATE(YEAR($L252),MONTH($L252),DAY($L252)-$M252))</f>
        <v/>
      </c>
      <c r="O252" s="33">
        <f>IF($L252="","",IF(DAYS360(NOW(),$L252)&gt;=0,DAYS360(NOW(),$L252),""))</f>
        <v/>
      </c>
      <c r="P252" s="34">
        <f>IF(OR(H252="",H252=0,F252="",K252=""),"",I252/H252*VLOOKUP(F252,'Membership Level'!$A$3:$C$15,3,FALSE)+K252)</f>
        <v/>
      </c>
      <c r="Q252" s="36" t="n"/>
    </row>
    <row r="253" customFormat="1" s="22">
      <c r="C253" s="36" t="n"/>
      <c r="D253" s="36" t="n"/>
      <c r="E253" s="54" t="n"/>
      <c r="F253" s="36" t="n"/>
      <c r="G253" s="36" t="n"/>
      <c r="H253" s="30" t="n"/>
      <c r="I253" s="30" t="n">
        <v>0</v>
      </c>
      <c r="J253" s="31">
        <f>IF(H253="","",H253-I253)</f>
        <v/>
      </c>
      <c r="K253" s="43" t="n"/>
      <c r="L253" s="32">
        <f>IF(OR(K253="",$F253=""),"",DATE(YEAR(K253),MONTH(K253)+VLOOKUP($F253,'Membership Level'!$A$3:$B$15,2,FALSE),DAY(K253)))</f>
        <v/>
      </c>
      <c r="M253" s="36" t="n"/>
      <c r="N253" s="34">
        <f>IF($L253="","",DATE(YEAR($L253),MONTH($L253),DAY($L253)-$M253))</f>
        <v/>
      </c>
      <c r="O253" s="33">
        <f>IF($L253="","",IF(DAYS360(NOW(),$L253)&gt;=0,DAYS360(NOW(),$L253),""))</f>
        <v/>
      </c>
      <c r="P253" s="34">
        <f>IF(OR(H253="",H253=0,F253="",K253=""),"",I253/H253*VLOOKUP(F253,'Membership Level'!$A$3:$C$15,3,FALSE)+K253)</f>
        <v/>
      </c>
      <c r="Q253" s="36" t="n"/>
    </row>
    <row r="254" customFormat="1" s="61">
      <c r="C254" s="36" t="n"/>
      <c r="D254" s="36" t="n"/>
      <c r="E254" s="54" t="n"/>
      <c r="F254" s="36" t="n"/>
      <c r="G254" s="36" t="n"/>
      <c r="H254" s="30" t="n"/>
      <c r="I254" s="30" t="n">
        <v>0</v>
      </c>
      <c r="J254" s="31">
        <f>IF(H254="","",H254-I254)</f>
        <v/>
      </c>
      <c r="K254" s="43" t="n"/>
      <c r="L254" s="32">
        <f>IF(OR(K254="",$F254=""),"",DATE(YEAR(K254),MONTH(K254)+VLOOKUP($F254,'Membership Level'!$A$3:$B$15,2,FALSE),DAY(K254)))</f>
        <v/>
      </c>
      <c r="M254" s="36" t="n"/>
      <c r="N254" s="34">
        <f>IF($L254="","",DATE(YEAR($L254),MONTH($L254),DAY($L254)-$M254))</f>
        <v/>
      </c>
      <c r="O254" s="33">
        <f>IF($L254="","",IF(DAYS360(NOW(),$L254)&gt;=0,DAYS360(NOW(),$L254),""))</f>
        <v/>
      </c>
      <c r="P254" s="34">
        <f>IF(OR(H254="",H254=0,F254="",K254=""),"",I254/H254*VLOOKUP(F254,'Membership Level'!$A$3:$C$15,3,FALSE)+K254)</f>
        <v/>
      </c>
      <c r="Q254" s="35" t="n"/>
    </row>
    <row r="255" customFormat="1" s="62">
      <c r="C255" s="36" t="n"/>
      <c r="D255" s="36" t="n"/>
      <c r="E255" s="54" t="n"/>
      <c r="F255" s="36" t="n"/>
      <c r="G255" s="36" t="n"/>
      <c r="H255" s="30" t="n"/>
      <c r="I255" s="30" t="n">
        <v>0</v>
      </c>
      <c r="J255" s="31">
        <f>IF(H255="","",H255-I255)</f>
        <v/>
      </c>
      <c r="K255" s="43" t="n"/>
      <c r="L255" s="32">
        <f>IF(OR(K255="",$F255=""),"",DATE(YEAR(K255),MONTH(K255)+VLOOKUP($F255,'Membership Level'!$A$3:$B$15,2,FALSE),DAY(K255)))</f>
        <v/>
      </c>
      <c r="M255" s="36" t="n"/>
      <c r="N255" s="34">
        <f>IF($L255="","",DATE(YEAR($L255),MONTH($L255),DAY($L255)-$M255))</f>
        <v/>
      </c>
      <c r="O255" s="33">
        <f>IF($L255="","",IF(DAYS360(NOW(),$L255)&gt;=0,DAYS360(NOW(),$L255),""))</f>
        <v/>
      </c>
      <c r="P255" s="34">
        <f>IF(OR(H255="",H255=0,F255="",K255=""),"",I255/H255*VLOOKUP(F255,'Membership Level'!$A$3:$C$15,3,FALSE)+K255)</f>
        <v/>
      </c>
      <c r="Q255" s="36" t="n"/>
    </row>
    <row r="256">
      <c r="C256" s="36" t="n"/>
      <c r="D256" s="36" t="n"/>
      <c r="E256" s="54" t="n"/>
      <c r="F256" s="36" t="n"/>
      <c r="G256" s="36" t="n"/>
      <c r="H256" s="30" t="n"/>
      <c r="I256" s="30" t="n">
        <v>0</v>
      </c>
      <c r="J256" s="31">
        <f>IF(H256="","",H256-I256)</f>
        <v/>
      </c>
      <c r="K256" s="43" t="n"/>
      <c r="L256" s="32">
        <f>IF(OR(K256="",$F256=""),"",DATE(YEAR(K256),MONTH(K256)+VLOOKUP($F256,'Membership Level'!$A$3:$B$15,2,FALSE),DAY(K256)))</f>
        <v/>
      </c>
      <c r="M256" s="36" t="n"/>
      <c r="N256" s="34">
        <f>IF($L256="","",DATE(YEAR($L256),MONTH($L256),DAY($L256)-$M256))</f>
        <v/>
      </c>
      <c r="O256" s="33">
        <f>IF($L256="","",IF(DAYS360(NOW(),$L256)&gt;=0,DAYS360(NOW(),$L256),""))</f>
        <v/>
      </c>
      <c r="P256" s="34">
        <f>IF(OR(H256="",H256=0,F256="",K256=""),"",I256/H256*VLOOKUP(F256,'Membership Level'!$A$3:$C$15,3,FALSE)+K256)</f>
        <v/>
      </c>
      <c r="Q256" s="36" t="n"/>
    </row>
    <row r="257">
      <c r="C257" s="36" t="n"/>
      <c r="D257" s="36" t="n"/>
      <c r="E257" s="54" t="n"/>
      <c r="F257" s="36" t="n"/>
      <c r="G257" s="36" t="n"/>
      <c r="H257" s="30" t="n"/>
      <c r="I257" s="30" t="n">
        <v>0</v>
      </c>
      <c r="J257" s="31">
        <f>IF(H257="","",H257-I257)</f>
        <v/>
      </c>
      <c r="K257" s="43" t="n"/>
      <c r="L257" s="32">
        <f>IF(OR(K257="",$F257=""),"",DATE(YEAR(K257),MONTH(K257)+VLOOKUP($F257,'Membership Level'!$A$3:$B$15,2,FALSE),DAY(K257)))</f>
        <v/>
      </c>
      <c r="M257" s="36" t="n"/>
      <c r="N257" s="34">
        <f>IF($L257="","",DATE(YEAR($L257),MONTH($L257),DAY($L257)-$M257))</f>
        <v/>
      </c>
      <c r="O257" s="33">
        <f>IF($L257="","",IF(DAYS360(NOW(),$L257)&gt;=0,DAYS360(NOW(),$L257),""))</f>
        <v/>
      </c>
      <c r="P257" s="34">
        <f>IF(OR(H257="",H257=0,F257="",K257=""),"",I257/H257*VLOOKUP(F257,'Membership Level'!$A$3:$C$15,3,FALSE)+K257)</f>
        <v/>
      </c>
      <c r="Q257" s="36" t="n"/>
    </row>
    <row r="258">
      <c r="C258" s="36" t="n"/>
      <c r="D258" s="36" t="n"/>
      <c r="E258" s="54" t="n"/>
      <c r="F258" s="36" t="n"/>
      <c r="G258" s="36" t="n"/>
      <c r="H258" s="30" t="n"/>
      <c r="I258" s="30" t="n">
        <v>0</v>
      </c>
      <c r="J258" s="31">
        <f>IF(H258="","",H258-I258)</f>
        <v/>
      </c>
      <c r="K258" s="43" t="n"/>
      <c r="L258" s="32">
        <f>IF(OR(K258="",$F258=""),"",DATE(YEAR(K258),MONTH(K258)+VLOOKUP($F258,'Membership Level'!$A$3:$B$15,2,FALSE),DAY(K258)))</f>
        <v/>
      </c>
      <c r="M258" s="36" t="n"/>
      <c r="N258" s="34">
        <f>IF($L258="","",DATE(YEAR($L258),MONTH($L258),DAY($L258)-$M258))</f>
        <v/>
      </c>
      <c r="O258" s="33">
        <f>IF($L258="","",IF(DAYS360(NOW(),$L258)&gt;=0,DAYS360(NOW(),$L258),""))</f>
        <v/>
      </c>
      <c r="P258" s="34">
        <f>IF(OR(H258="",H258=0,F258="",K258=""),"",I258/H258*VLOOKUP(F258,'Membership Level'!$A$3:$C$15,3,FALSE)+K258)</f>
        <v/>
      </c>
      <c r="Q258" s="36" t="n"/>
    </row>
    <row r="259">
      <c r="C259" s="36" t="n"/>
      <c r="D259" s="36" t="n"/>
      <c r="E259" s="54" t="n"/>
      <c r="F259" s="36" t="n"/>
      <c r="G259" s="36" t="n"/>
      <c r="H259" s="30" t="n"/>
      <c r="I259" s="30" t="n">
        <v>0</v>
      </c>
      <c r="J259" s="31">
        <f>IF(H259="","",H259-I259)</f>
        <v/>
      </c>
      <c r="K259" s="43" t="n"/>
      <c r="L259" s="32">
        <f>IF(OR(K259="",$F259=""),"",DATE(YEAR(K259),MONTH(K259)+VLOOKUP($F259,'Membership Level'!$A$3:$B$15,2,FALSE),DAY(K259)))</f>
        <v/>
      </c>
      <c r="M259" s="36" t="n"/>
      <c r="N259" s="34">
        <f>IF($L259="","",DATE(YEAR($L259),MONTH($L259),DAY($L259)-$M259))</f>
        <v/>
      </c>
      <c r="O259" s="33">
        <f>IF($L259="","",IF(DAYS360(NOW(),$L259)&gt;=0,DAYS360(NOW(),$L259),""))</f>
        <v/>
      </c>
      <c r="P259" s="34">
        <f>IF(OR(H259="",H259=0,F259="",K259=""),"",I259/H259*VLOOKUP(F259,'Membership Level'!$A$3:$C$15,3,FALSE)+K259)</f>
        <v/>
      </c>
      <c r="Q259" s="36" t="n"/>
    </row>
    <row r="260">
      <c r="C260" s="36" t="n"/>
      <c r="D260" s="36" t="n"/>
      <c r="E260" s="54" t="n"/>
      <c r="F260" s="36" t="n"/>
      <c r="G260" s="36" t="n"/>
      <c r="H260" s="30" t="n"/>
      <c r="I260" s="30" t="n">
        <v>0</v>
      </c>
      <c r="J260" s="31">
        <f>IF(H260="","",H260-I260)</f>
        <v/>
      </c>
      <c r="K260" s="43" t="n"/>
      <c r="L260" s="32">
        <f>IF(OR(K260="",$F260=""),"",DATE(YEAR(K260),MONTH(K260)+VLOOKUP($F260,'Membership Level'!$A$3:$B$15,2,FALSE),DAY(K260)))</f>
        <v/>
      </c>
      <c r="M260" s="36" t="n"/>
      <c r="N260" s="34">
        <f>IF($L260="","",DATE(YEAR($L260),MONTH($L260),DAY($L260)-$M260))</f>
        <v/>
      </c>
      <c r="O260" s="33">
        <f>IF($L260="","",IF(DAYS360(NOW(),$L260)&gt;=0,DAYS360(NOW(),$L260),""))</f>
        <v/>
      </c>
      <c r="P260" s="34">
        <f>IF(OR(H260="",H260=0,F260="",K260=""),"",I260/H260*VLOOKUP(F260,'Membership Level'!$A$3:$C$15,3,FALSE)+K260)</f>
        <v/>
      </c>
      <c r="Q260" s="36" t="n"/>
    </row>
    <row r="261">
      <c r="C261" s="36" t="n"/>
      <c r="D261" s="36" t="n"/>
      <c r="E261" s="54" t="n"/>
      <c r="F261" s="36" t="n"/>
      <c r="G261" s="36" t="n"/>
      <c r="H261" s="30" t="n"/>
      <c r="I261" s="30" t="n">
        <v>0</v>
      </c>
      <c r="J261" s="31">
        <f>IF(H261="","",H261-I261)</f>
        <v/>
      </c>
      <c r="K261" s="43" t="n"/>
      <c r="L261" s="32">
        <f>IF(OR(K261="",$F261=""),"",DATE(YEAR(K261),MONTH(K261)+VLOOKUP($F261,'Membership Level'!$A$3:$B$15,2,FALSE),DAY(K261)))</f>
        <v/>
      </c>
      <c r="M261" s="36" t="n"/>
      <c r="N261" s="34">
        <f>IF($L261="","",DATE(YEAR($L261),MONTH($L261),DAY($L261)-$M261))</f>
        <v/>
      </c>
      <c r="O261" s="33">
        <f>IF($L261="","",IF(DAYS360(NOW(),$L261)&gt;=0,DAYS360(NOW(),$L261),""))</f>
        <v/>
      </c>
      <c r="P261" s="34">
        <f>IF(OR(H261="",H261=0,F261="",K261=""),"",I261/H261*VLOOKUP(F261,'Membership Level'!$A$3:$C$15,3,FALSE)+K261)</f>
        <v/>
      </c>
      <c r="Q261" s="36" t="n"/>
    </row>
    <row r="262">
      <c r="C262" s="36" t="n"/>
      <c r="D262" s="36" t="n"/>
      <c r="E262" s="54" t="n"/>
      <c r="F262" s="36" t="n"/>
      <c r="G262" s="36" t="n"/>
      <c r="H262" s="30" t="n"/>
      <c r="I262" s="30" t="n">
        <v>0</v>
      </c>
      <c r="J262" s="31">
        <f>IF(H262="","",H262-I262)</f>
        <v/>
      </c>
      <c r="K262" s="43" t="n"/>
      <c r="L262" s="32">
        <f>IF(OR(K262="",$F262=""),"",DATE(YEAR(K262),MONTH(K262)+VLOOKUP($F262,'Membership Level'!$A$3:$B$15,2,FALSE),DAY(K262)))</f>
        <v/>
      </c>
      <c r="M262" s="36" t="n"/>
      <c r="N262" s="34">
        <f>IF($L262="","",DATE(YEAR($L262),MONTH($L262),DAY($L262)-$M262))</f>
        <v/>
      </c>
      <c r="O262" s="33">
        <f>IF($L262="","",IF(DAYS360(NOW(),$L262)&gt;=0,DAYS360(NOW(),$L262),""))</f>
        <v/>
      </c>
      <c r="P262" s="34">
        <f>IF(OR(H262="",H262=0,F262="",K262=""),"",I262/H262*VLOOKUP(F262,'Membership Level'!$A$3:$C$15,3,FALSE)+K262)</f>
        <v/>
      </c>
      <c r="Q262" s="36" t="n"/>
    </row>
    <row r="263">
      <c r="C263" s="36" t="n"/>
      <c r="D263" s="36" t="n"/>
      <c r="E263" s="54" t="n"/>
      <c r="F263" s="36" t="n"/>
      <c r="G263" s="36" t="n"/>
      <c r="H263" s="30" t="n"/>
      <c r="I263" s="30" t="n">
        <v>0</v>
      </c>
      <c r="J263" s="31">
        <f>IF(H263="","",H263-I263)</f>
        <v/>
      </c>
      <c r="K263" s="43" t="n"/>
      <c r="L263" s="32">
        <f>IF(OR(K263="",$F263=""),"",DATE(YEAR(K263),MONTH(K263)+VLOOKUP($F263,'Membership Level'!$A$3:$B$15,2,FALSE),DAY(K263)))</f>
        <v/>
      </c>
      <c r="M263" s="36" t="n"/>
      <c r="N263" s="34">
        <f>IF($L263="","",DATE(YEAR($L263),MONTH($L263),DAY($L263)-$M263))</f>
        <v/>
      </c>
      <c r="O263" s="33">
        <f>IF($L263="","",IF(DAYS360(NOW(),$L263)&gt;=0,DAYS360(NOW(),$L263),""))</f>
        <v/>
      </c>
      <c r="P263" s="34">
        <f>IF(OR(H263="",H263=0,F263="",K263=""),"",I263/H263*VLOOKUP(F263,'Membership Level'!$A$3:$C$15,3,FALSE)+K263)</f>
        <v/>
      </c>
      <c r="Q263" s="36" t="n"/>
    </row>
    <row r="264">
      <c r="C264" s="36" t="n"/>
      <c r="D264" s="36" t="n"/>
      <c r="E264" s="54" t="n"/>
      <c r="F264" s="36" t="n"/>
      <c r="G264" s="36" t="n"/>
      <c r="H264" s="30" t="n"/>
      <c r="I264" s="30" t="n">
        <v>0</v>
      </c>
      <c r="J264" s="31">
        <f>IF(H264="","",H264-I264)</f>
        <v/>
      </c>
      <c r="K264" s="43" t="n"/>
      <c r="L264" s="32">
        <f>IF(OR(K264="",$F264=""),"",DATE(YEAR(K264),MONTH(K264)+VLOOKUP($F264,'Membership Level'!$A$3:$B$15,2,FALSE),DAY(K264)))</f>
        <v/>
      </c>
      <c r="M264" s="36" t="n"/>
      <c r="N264" s="34">
        <f>IF($L264="","",DATE(YEAR($L264),MONTH($L264),DAY($L264)-$M264))</f>
        <v/>
      </c>
      <c r="O264" s="33">
        <f>IF($L264="","",IF(DAYS360(NOW(),$L264)&gt;=0,DAYS360(NOW(),$L264),""))</f>
        <v/>
      </c>
      <c r="P264" s="34">
        <f>IF(OR(H264="",H264=0,F264="",K264=""),"",I264/H264*VLOOKUP(F264,'Membership Level'!$A$3:$C$15,3,FALSE)+K264)</f>
        <v/>
      </c>
      <c r="Q264" s="36" t="n"/>
    </row>
    <row r="265">
      <c r="C265" s="36" t="n"/>
      <c r="D265" s="36" t="n"/>
      <c r="E265" s="54" t="n"/>
      <c r="F265" s="36" t="n"/>
      <c r="G265" s="36" t="n"/>
      <c r="H265" s="30" t="n"/>
      <c r="I265" s="30" t="n">
        <v>0</v>
      </c>
      <c r="J265" s="31">
        <f>IF(H265="","",H265-I265)</f>
        <v/>
      </c>
      <c r="K265" s="43" t="n"/>
      <c r="L265" s="32">
        <f>IF(OR(K265="",$F265=""),"",DATE(YEAR(K265),MONTH(K265)+VLOOKUP($F265,'Membership Level'!$A$3:$B$15,2,FALSE),DAY(K265)))</f>
        <v/>
      </c>
      <c r="M265" s="36" t="n"/>
      <c r="N265" s="34">
        <f>IF($L265="","",DATE(YEAR($L265),MONTH($L265),DAY($L265)-$M265))</f>
        <v/>
      </c>
      <c r="O265" s="33">
        <f>IF($L265="","",IF(DAYS360(NOW(),$L265)&gt;=0,DAYS360(NOW(),$L265),""))</f>
        <v/>
      </c>
      <c r="P265" s="34">
        <f>IF(OR(H265="",H265=0,F265="",K265=""),"",I265/H265*VLOOKUP(F265,'Membership Level'!$A$3:$C$15,3,FALSE)+K265)</f>
        <v/>
      </c>
      <c r="Q265" s="36" t="n"/>
    </row>
    <row r="266">
      <c r="C266" s="36" t="n"/>
      <c r="D266" s="36" t="n"/>
      <c r="E266" s="54" t="n"/>
      <c r="F266" s="36" t="n"/>
      <c r="G266" s="36" t="n"/>
      <c r="H266" s="30" t="n"/>
      <c r="I266" s="30" t="n">
        <v>0</v>
      </c>
      <c r="J266" s="31">
        <f>IF(H266="","",H266-I266)</f>
        <v/>
      </c>
      <c r="K266" s="43" t="n"/>
      <c r="L266" s="32">
        <f>IF(OR(K266="",$F266=""),"",DATE(YEAR(K266),MONTH(K266)+VLOOKUP($F266,'Membership Level'!$A$3:$B$15,2,FALSE),DAY(K266)))</f>
        <v/>
      </c>
      <c r="M266" s="36" t="n"/>
      <c r="N266" s="34">
        <f>IF($L266="","",DATE(YEAR($L266),MONTH($L266),DAY($L266)-$M266))</f>
        <v/>
      </c>
      <c r="O266" s="33">
        <f>IF($L266="","",IF(DAYS360(NOW(),$L266)&gt;=0,DAYS360(NOW(),$L266),""))</f>
        <v/>
      </c>
      <c r="P266" s="34">
        <f>IF(OR(H266="",H266=0,F266="",K266=""),"",I266/H266*VLOOKUP(F266,'Membership Level'!$A$3:$C$15,3,FALSE)+K266)</f>
        <v/>
      </c>
      <c r="Q266" s="36" t="n"/>
    </row>
    <row r="267">
      <c r="C267" s="36" t="n"/>
      <c r="D267" s="36" t="n"/>
      <c r="E267" s="54" t="n"/>
      <c r="F267" s="36" t="n"/>
      <c r="G267" s="36" t="n"/>
      <c r="H267" s="30" t="n"/>
      <c r="I267" s="30" t="n">
        <v>0</v>
      </c>
      <c r="J267" s="31">
        <f>IF(H267="","",H267-I267)</f>
        <v/>
      </c>
      <c r="K267" s="43" t="n"/>
      <c r="L267" s="32">
        <f>IF(OR(K267="",$F267=""),"",DATE(YEAR(K267),MONTH(K267)+VLOOKUP($F267,'Membership Level'!$A$3:$B$15,2,FALSE),DAY(K267)))</f>
        <v/>
      </c>
      <c r="M267" s="36" t="n"/>
      <c r="N267" s="34">
        <f>IF($L267="","",DATE(YEAR($L267),MONTH($L267),DAY($L267)-$M267))</f>
        <v/>
      </c>
      <c r="O267" s="33">
        <f>IF($L267="","",IF(DAYS360(NOW(),$L267)&gt;=0,DAYS360(NOW(),$L267),""))</f>
        <v/>
      </c>
      <c r="P267" s="34">
        <f>IF(OR(H267="",H267=0,F267="",K267=""),"",I267/H267*VLOOKUP(F267,'Membership Level'!$A$3:$C$15,3,FALSE)+K267)</f>
        <v/>
      </c>
      <c r="Q267" s="36" t="n"/>
    </row>
    <row r="268">
      <c r="C268" s="36" t="n"/>
      <c r="D268" s="36" t="n"/>
      <c r="E268" s="54" t="n"/>
      <c r="F268" s="36" t="n"/>
      <c r="G268" s="36" t="n"/>
      <c r="H268" s="30" t="n"/>
      <c r="I268" s="30" t="n">
        <v>0</v>
      </c>
      <c r="J268" s="31">
        <f>IF(H268="","",H268-I268)</f>
        <v/>
      </c>
      <c r="K268" s="43" t="n"/>
      <c r="L268" s="32">
        <f>IF(OR(K268="",$F268=""),"",DATE(YEAR(K268),MONTH(K268)+VLOOKUP($F268,'Membership Level'!$A$3:$B$15,2,FALSE),DAY(K268)))</f>
        <v/>
      </c>
      <c r="M268" s="36" t="n"/>
      <c r="N268" s="34">
        <f>IF($L268="","",DATE(YEAR($L268),MONTH($L268),DAY($L268)-$M268))</f>
        <v/>
      </c>
      <c r="O268" s="33">
        <f>IF($L268="","",IF(DAYS360(NOW(),$L268)&gt;=0,DAYS360(NOW(),$L268),""))</f>
        <v/>
      </c>
      <c r="P268" s="34">
        <f>IF(OR(H268="",H268=0,F268="",K268=""),"",I268/H268*VLOOKUP(F268,'Membership Level'!$A$3:$C$15,3,FALSE)+K268)</f>
        <v/>
      </c>
      <c r="Q268" s="36" t="n"/>
    </row>
    <row r="269">
      <c r="C269" s="36" t="n"/>
      <c r="D269" s="36" t="n"/>
      <c r="E269" s="54" t="n"/>
      <c r="F269" s="36" t="n"/>
      <c r="G269" s="36" t="n"/>
      <c r="H269" s="30" t="n"/>
      <c r="I269" s="30" t="n">
        <v>0</v>
      </c>
      <c r="J269" s="31">
        <f>IF(H269="","",H269-I269)</f>
        <v/>
      </c>
      <c r="K269" s="43" t="n"/>
      <c r="L269" s="32">
        <f>IF(OR(K269="",$F269=""),"",DATE(YEAR(K269),MONTH(K269)+VLOOKUP($F269,'Membership Level'!$A$3:$B$15,2,FALSE),DAY(K269)))</f>
        <v/>
      </c>
      <c r="M269" s="36" t="n"/>
      <c r="N269" s="34">
        <f>IF($L269="","",DATE(YEAR($L269),MONTH($L269),DAY($L269)-$M269))</f>
        <v/>
      </c>
      <c r="O269" s="33">
        <f>IF($L269="","",IF(DAYS360(NOW(),$L269)&gt;=0,DAYS360(NOW(),$L269),""))</f>
        <v/>
      </c>
      <c r="P269" s="34">
        <f>IF(OR(H269="",H269=0,F269="",K269=""),"",I269/H269*VLOOKUP(F269,'Membership Level'!$A$3:$C$15,3,FALSE)+K269)</f>
        <v/>
      </c>
      <c r="Q269" s="36" t="n"/>
    </row>
    <row r="270">
      <c r="C270" s="36" t="n"/>
      <c r="D270" s="36" t="n"/>
      <c r="E270" s="54" t="n"/>
      <c r="F270" s="36" t="n"/>
      <c r="G270" s="36" t="n"/>
      <c r="H270" s="30" t="n"/>
      <c r="I270" s="30" t="n">
        <v>0</v>
      </c>
      <c r="J270" s="31">
        <f>IF(H270="","",H270-I270)</f>
        <v/>
      </c>
      <c r="K270" s="43" t="n"/>
      <c r="L270" s="32">
        <f>IF(OR(K270="",$F270=""),"",DATE(YEAR(K270),MONTH(K270)+VLOOKUP($F270,'Membership Level'!$A$3:$B$15,2,FALSE),DAY(K270)))</f>
        <v/>
      </c>
      <c r="M270" s="36" t="n"/>
      <c r="N270" s="34">
        <f>IF($L270="","",DATE(YEAR($L270),MONTH($L270),DAY($L270)-$M270))</f>
        <v/>
      </c>
      <c r="O270" s="33">
        <f>IF($L270="","",IF(DAYS360(NOW(),$L270)&gt;=0,DAYS360(NOW(),$L270),""))</f>
        <v/>
      </c>
      <c r="P270" s="34">
        <f>IF(OR(H270="",H270=0,F270="",K270=""),"",I270/H270*VLOOKUP(F270,'Membership Level'!$A$3:$C$15,3,FALSE)+K270)</f>
        <v/>
      </c>
      <c r="Q270" s="36" t="n"/>
    </row>
    <row r="271">
      <c r="C271" s="36" t="n"/>
      <c r="D271" s="36" t="n"/>
      <c r="E271" s="54" t="n"/>
      <c r="F271" s="36" t="n"/>
      <c r="G271" s="36" t="n"/>
      <c r="H271" s="30" t="n"/>
      <c r="I271" s="30" t="n">
        <v>0</v>
      </c>
      <c r="J271" s="31">
        <f>IF(H271="","",H271-I271)</f>
        <v/>
      </c>
      <c r="K271" s="43" t="n"/>
      <c r="L271" s="32">
        <f>IF(OR(K271="",$F271=""),"",DATE(YEAR(K271),MONTH(K271)+VLOOKUP($F271,'Membership Level'!$A$3:$B$15,2,FALSE),DAY(K271)))</f>
        <v/>
      </c>
      <c r="M271" s="36" t="n"/>
      <c r="N271" s="34">
        <f>IF($L271="","",DATE(YEAR($L271),MONTH($L271),DAY($L271)-$M271))</f>
        <v/>
      </c>
      <c r="O271" s="33">
        <f>IF($L271="","",IF(DAYS360(NOW(),$L271)&gt;=0,DAYS360(NOW(),$L271),""))</f>
        <v/>
      </c>
      <c r="P271" s="34">
        <f>IF(OR(H271="",H271=0,F271="",K271=""),"",I271/H271*VLOOKUP(F271,'Membership Level'!$A$3:$C$15,3,FALSE)+K271)</f>
        <v/>
      </c>
      <c r="Q271" s="36" t="n"/>
    </row>
    <row r="272">
      <c r="C272" s="36" t="n"/>
      <c r="D272" s="36" t="n"/>
      <c r="E272" s="54" t="n"/>
      <c r="F272" s="36" t="n"/>
      <c r="G272" s="36" t="n"/>
      <c r="H272" s="30" t="n"/>
      <c r="I272" s="30" t="n">
        <v>0</v>
      </c>
      <c r="J272" s="31">
        <f>IF(H272="","",H272-I272)</f>
        <v/>
      </c>
      <c r="K272" s="43" t="n"/>
      <c r="L272" s="32">
        <f>IF(OR(K272="",$F272=""),"",DATE(YEAR(K272),MONTH(K272)+VLOOKUP($F272,'Membership Level'!$A$3:$B$15,2,FALSE),DAY(K272)))</f>
        <v/>
      </c>
      <c r="M272" s="36" t="n"/>
      <c r="N272" s="34">
        <f>IF($L272="","",DATE(YEAR($L272),MONTH($L272),DAY($L272)-$M272))</f>
        <v/>
      </c>
      <c r="O272" s="33">
        <f>IF($L272="","",IF(DAYS360(NOW(),$L272)&gt;=0,DAYS360(NOW(),$L272),""))</f>
        <v/>
      </c>
      <c r="P272" s="34">
        <f>IF(OR(H272="",H272=0,F272="",K272=""),"",I272/H272*VLOOKUP(F272,'Membership Level'!$A$3:$C$15,3,FALSE)+K272)</f>
        <v/>
      </c>
      <c r="Q272" s="36" t="n"/>
    </row>
    <row r="273">
      <c r="C273" s="36" t="n"/>
      <c r="D273" s="36" t="n"/>
      <c r="E273" s="54" t="n"/>
      <c r="F273" s="36" t="n"/>
      <c r="G273" s="36" t="n"/>
      <c r="H273" s="30" t="n"/>
      <c r="I273" s="30" t="n">
        <v>0</v>
      </c>
      <c r="J273" s="31">
        <f>IF(H273="","",H273-I273)</f>
        <v/>
      </c>
      <c r="K273" s="43" t="n"/>
      <c r="L273" s="32">
        <f>IF(OR(K273="",$F273=""),"",DATE(YEAR(K273),MONTH(K273)+VLOOKUP($F273,'Membership Level'!$A$3:$B$15,2,FALSE),DAY(K273)))</f>
        <v/>
      </c>
      <c r="M273" s="36" t="n"/>
      <c r="N273" s="34">
        <f>IF($L273="","",DATE(YEAR($L273),MONTH($L273),DAY($L273)-$M273))</f>
        <v/>
      </c>
      <c r="O273" s="33">
        <f>IF($L273="","",IF(DAYS360(NOW(),$L273)&gt;=0,DAYS360(NOW(),$L273),""))</f>
        <v/>
      </c>
      <c r="P273" s="34">
        <f>IF(OR(H273="",H273=0,F273="",K273=""),"",I273/H273*VLOOKUP(F273,'Membership Level'!$A$3:$C$15,3,FALSE)+K273)</f>
        <v/>
      </c>
      <c r="Q273" s="36" t="n"/>
    </row>
    <row r="274">
      <c r="C274" s="36" t="n"/>
      <c r="D274" s="36" t="n"/>
      <c r="E274" s="54" t="n"/>
      <c r="F274" s="36" t="n"/>
      <c r="G274" s="36" t="n"/>
      <c r="H274" s="30" t="n"/>
      <c r="I274" s="30" t="n">
        <v>0</v>
      </c>
      <c r="J274" s="31">
        <f>IF(H274="","",H274-I274)</f>
        <v/>
      </c>
      <c r="K274" s="43" t="n"/>
      <c r="L274" s="32">
        <f>IF(OR(K274="",$F274=""),"",DATE(YEAR(K274),MONTH(K274)+VLOOKUP($F274,'Membership Level'!$A$3:$B$15,2,FALSE),DAY(K274)))</f>
        <v/>
      </c>
      <c r="M274" s="36" t="n"/>
      <c r="N274" s="34">
        <f>IF($L274="","",DATE(YEAR($L274),MONTH($L274),DAY($L274)-$M274))</f>
        <v/>
      </c>
      <c r="O274" s="33">
        <f>IF($L274="","",IF(DAYS360(NOW(),$L274)&gt;=0,DAYS360(NOW(),$L274),""))</f>
        <v/>
      </c>
      <c r="P274" s="34">
        <f>IF(OR(H274="",H274=0,F274="",K274=""),"",I274/H274*VLOOKUP(F274,'Membership Level'!$A$3:$C$15,3,FALSE)+K274)</f>
        <v/>
      </c>
      <c r="Q274" s="36" t="n"/>
    </row>
    <row r="275">
      <c r="C275" s="36" t="n"/>
      <c r="D275" s="36" t="n"/>
      <c r="E275" s="54" t="n"/>
      <c r="F275" s="36" t="n"/>
      <c r="G275" s="36" t="n"/>
      <c r="H275" s="30" t="n"/>
      <c r="I275" s="30" t="n">
        <v>0</v>
      </c>
      <c r="J275" s="31">
        <f>IF(H275="","",H275-I275)</f>
        <v/>
      </c>
      <c r="K275" s="43" t="n"/>
      <c r="L275" s="32">
        <f>IF(OR(K275="",$F275=""),"",DATE(YEAR(K275),MONTH(K275)+VLOOKUP($F275,'Membership Level'!$A$3:$B$15,2,FALSE),DAY(K275)))</f>
        <v/>
      </c>
      <c r="M275" s="36" t="n"/>
      <c r="N275" s="34">
        <f>IF($L275="","",DATE(YEAR($L275),MONTH($L275),DAY($L275)-$M275))</f>
        <v/>
      </c>
      <c r="O275" s="33">
        <f>IF($L275="","",IF(DAYS360(NOW(),$L275)&gt;=0,DAYS360(NOW(),$L275),""))</f>
        <v/>
      </c>
      <c r="P275" s="34">
        <f>IF(OR(H275="",H275=0,F275="",K275=""),"",I275/H275*VLOOKUP(F275,'Membership Level'!$A$3:$C$15,3,FALSE)+K275)</f>
        <v/>
      </c>
      <c r="Q275" s="36" t="n"/>
    </row>
    <row r="276">
      <c r="C276" s="36" t="n"/>
      <c r="D276" s="36" t="n"/>
      <c r="E276" s="54" t="n"/>
      <c r="F276" s="36" t="n"/>
      <c r="G276" s="36" t="n"/>
      <c r="H276" s="30" t="n"/>
      <c r="I276" s="30" t="n">
        <v>0</v>
      </c>
      <c r="J276" s="31">
        <f>IF(H276="","",H276-I276)</f>
        <v/>
      </c>
      <c r="K276" s="43" t="n"/>
      <c r="L276" s="32">
        <f>IF(OR(K276="",$F276=""),"",DATE(YEAR(K276),MONTH(K276)+VLOOKUP($F276,'Membership Level'!$A$3:$B$15,2,FALSE),DAY(K276)))</f>
        <v/>
      </c>
      <c r="M276" s="36" t="n"/>
      <c r="N276" s="34">
        <f>IF($L276="","",DATE(YEAR($L276),MONTH($L276),DAY($L276)-$M276))</f>
        <v/>
      </c>
      <c r="O276" s="33">
        <f>IF($L276="","",IF(DAYS360(NOW(),$L276)&gt;=0,DAYS360(NOW(),$L276),""))</f>
        <v/>
      </c>
      <c r="P276" s="34">
        <f>IF(OR(H276="",H276=0,F276="",K276=""),"",I276/H276*VLOOKUP(F276,'Membership Level'!$A$3:$C$15,3,FALSE)+K276)</f>
        <v/>
      </c>
      <c r="Q276" s="36" t="n"/>
    </row>
    <row r="277">
      <c r="C277" s="36" t="n"/>
      <c r="D277" s="36" t="n"/>
      <c r="E277" s="54" t="n"/>
      <c r="F277" s="36" t="n"/>
      <c r="G277" s="36" t="n"/>
      <c r="H277" s="30" t="n"/>
      <c r="I277" s="30" t="n">
        <v>0</v>
      </c>
      <c r="J277" s="31">
        <f>IF(H277="","",H277-I277)</f>
        <v/>
      </c>
      <c r="K277" s="43" t="n"/>
      <c r="L277" s="32">
        <f>IF(OR(K277="",$F277=""),"",DATE(YEAR(K277),MONTH(K277)+VLOOKUP($F277,'Membership Level'!$A$3:$B$15,2,FALSE),DAY(K277)))</f>
        <v/>
      </c>
      <c r="M277" s="36" t="n"/>
      <c r="N277" s="34">
        <f>IF($L277="","",DATE(YEAR($L277),MONTH($L277),DAY($L277)-$M277))</f>
        <v/>
      </c>
      <c r="O277" s="33">
        <f>IF($L277="","",IF(DAYS360(NOW(),$L277)&gt;=0,DAYS360(NOW(),$L277),""))</f>
        <v/>
      </c>
      <c r="P277" s="34">
        <f>IF(OR(H277="",H277=0,F277="",K277=""),"",I277/H277*VLOOKUP(F277,'Membership Level'!$A$3:$C$15,3,FALSE)+K277)</f>
        <v/>
      </c>
      <c r="Q277" s="36" t="n"/>
    </row>
    <row r="278">
      <c r="C278" s="36" t="n"/>
      <c r="D278" s="36" t="n"/>
      <c r="E278" s="54" t="n"/>
      <c r="F278" s="36" t="n"/>
      <c r="G278" s="36" t="n"/>
      <c r="H278" s="30" t="n"/>
      <c r="I278" s="30" t="n">
        <v>0</v>
      </c>
      <c r="J278" s="31">
        <f>IF(H278="","",H278-I278)</f>
        <v/>
      </c>
      <c r="K278" s="43" t="n"/>
      <c r="L278" s="32">
        <f>IF(OR(K278="",$F278=""),"",DATE(YEAR(K278),MONTH(K278)+VLOOKUP($F278,'Membership Level'!$A$3:$B$15,2,FALSE),DAY(K278)))</f>
        <v/>
      </c>
      <c r="M278" s="36" t="n"/>
      <c r="N278" s="34">
        <f>IF($L278="","",DATE(YEAR($L278),MONTH($L278),DAY($L278)-$M278))</f>
        <v/>
      </c>
      <c r="O278" s="33">
        <f>IF($L278="","",IF(DAYS360(NOW(),$L278)&gt;=0,DAYS360(NOW(),$L278),""))</f>
        <v/>
      </c>
      <c r="P278" s="34">
        <f>IF(OR(H278="",H278=0,F278="",K278=""),"",I278/H278*VLOOKUP(F278,'Membership Level'!$A$3:$C$15,3,FALSE)+K278)</f>
        <v/>
      </c>
      <c r="Q278" s="36" t="n"/>
    </row>
    <row r="279">
      <c r="C279" s="36" t="n"/>
      <c r="D279" s="36" t="n"/>
      <c r="E279" s="54" t="n"/>
      <c r="F279" s="36" t="n"/>
      <c r="G279" s="36" t="n"/>
      <c r="H279" s="30" t="n"/>
      <c r="I279" s="30" t="n">
        <v>0</v>
      </c>
      <c r="J279" s="31">
        <f>IF(H279="","",H279-I279)</f>
        <v/>
      </c>
      <c r="K279" s="43" t="n"/>
      <c r="L279" s="32">
        <f>IF(OR(K279="",$F279=""),"",DATE(YEAR(K279),MONTH(K279)+VLOOKUP($F279,'Membership Level'!$A$3:$B$15,2,FALSE),DAY(K279)))</f>
        <v/>
      </c>
      <c r="M279" s="36" t="n"/>
      <c r="N279" s="34">
        <f>IF($L279="","",DATE(YEAR($L279),MONTH($L279),DAY($L279)-$M279))</f>
        <v/>
      </c>
      <c r="O279" s="33">
        <f>IF($L279="","",IF(DAYS360(NOW(),$L279)&gt;=0,DAYS360(NOW(),$L279),""))</f>
        <v/>
      </c>
      <c r="P279" s="34">
        <f>IF(OR(H279="",H279=0,F279="",K279=""),"",I279/H279*VLOOKUP(F279,'Membership Level'!$A$3:$C$15,3,FALSE)+K279)</f>
        <v/>
      </c>
      <c r="Q279" s="36" t="n"/>
    </row>
    <row r="280">
      <c r="C280" s="36" t="n"/>
      <c r="D280" s="36" t="n"/>
      <c r="E280" s="54" t="n"/>
      <c r="F280" s="36" t="n"/>
      <c r="G280" s="36" t="n"/>
      <c r="H280" s="30" t="n"/>
      <c r="I280" s="30" t="n">
        <v>0</v>
      </c>
      <c r="J280" s="31">
        <f>IF(H280="","",H280-I280)</f>
        <v/>
      </c>
      <c r="K280" s="43" t="n"/>
      <c r="L280" s="32">
        <f>IF(OR(K280="",$F280=""),"",DATE(YEAR(K280),MONTH(K280)+VLOOKUP($F280,'Membership Level'!$A$3:$B$15,2,FALSE),DAY(K280)))</f>
        <v/>
      </c>
      <c r="M280" s="36" t="n"/>
      <c r="N280" s="34">
        <f>IF($L280="","",DATE(YEAR($L280),MONTH($L280),DAY($L280)-$M280))</f>
        <v/>
      </c>
      <c r="O280" s="33">
        <f>IF($L280="","",IF(DAYS360(NOW(),$L280)&gt;=0,DAYS360(NOW(),$L280),""))</f>
        <v/>
      </c>
      <c r="P280" s="34">
        <f>IF(OR(H280="",H280=0,F280="",K280=""),"",I280/H280*VLOOKUP(F280,'Membership Level'!$A$3:$C$15,3,FALSE)+K280)</f>
        <v/>
      </c>
      <c r="Q280" s="36" t="n"/>
    </row>
    <row r="281">
      <c r="C281" s="36" t="n"/>
      <c r="D281" s="36" t="n"/>
      <c r="E281" s="54" t="n"/>
      <c r="F281" s="36" t="n"/>
      <c r="G281" s="36" t="n"/>
      <c r="H281" s="30" t="n"/>
      <c r="I281" s="30" t="n">
        <v>0</v>
      </c>
      <c r="J281" s="31">
        <f>IF(H281="","",H281-I281)</f>
        <v/>
      </c>
      <c r="K281" s="43" t="n"/>
      <c r="L281" s="32">
        <f>IF(OR(K281="",$F281=""),"",DATE(YEAR(K281),MONTH(K281)+VLOOKUP($F281,'Membership Level'!$A$3:$B$15,2,FALSE),DAY(K281)))</f>
        <v/>
      </c>
      <c r="M281" s="36" t="n"/>
      <c r="N281" s="34">
        <f>IF($L281="","",DATE(YEAR($L281),MONTH($L281),DAY($L281)-$M281))</f>
        <v/>
      </c>
      <c r="O281" s="33">
        <f>IF($L281="","",IF(DAYS360(NOW(),$L281)&gt;=0,DAYS360(NOW(),$L281),""))</f>
        <v/>
      </c>
      <c r="P281" s="34">
        <f>IF(OR(H281="",H281=0,F281="",K281=""),"",I281/H281*VLOOKUP(F281,'Membership Level'!$A$3:$C$15,3,FALSE)+K281)</f>
        <v/>
      </c>
      <c r="Q281" s="36" t="n"/>
    </row>
    <row r="282" customFormat="1" s="63">
      <c r="C282" s="36" t="n"/>
      <c r="D282" s="36" t="n"/>
      <c r="E282" s="54" t="n"/>
      <c r="F282" s="36" t="n"/>
      <c r="G282" s="36" t="n"/>
      <c r="H282" s="30" t="n"/>
      <c r="I282" s="30" t="n">
        <v>0</v>
      </c>
      <c r="J282" s="31">
        <f>IF(H282="","",H282-I282)</f>
        <v/>
      </c>
      <c r="K282" s="43" t="n"/>
      <c r="L282" s="32">
        <f>IF(OR(K282="",$F282=""),"",DATE(YEAR(K282),MONTH(K282)+VLOOKUP($F282,'Membership Level'!$A$3:$B$15,2,FALSE),DAY(K282)))</f>
        <v/>
      </c>
      <c r="M282" s="36" t="n"/>
      <c r="N282" s="34">
        <f>IF($L282="","",DATE(YEAR($L282),MONTH($L282),DAY($L282)-$M282))</f>
        <v/>
      </c>
      <c r="O282" s="33">
        <f>IF($L282="","",IF(DAYS360(NOW(),$L282)&gt;=0,DAYS360(NOW(),$L282),""))</f>
        <v/>
      </c>
      <c r="P282" s="34">
        <f>IF(OR(H282="",H282=0,F282="",K282=""),"",I282/H282*VLOOKUP(F282,'Membership Level'!$A$3:$C$15,3,FALSE)+K282)</f>
        <v/>
      </c>
      <c r="Q282" s="36" t="n"/>
    </row>
    <row r="283">
      <c r="C283" s="36" t="n"/>
      <c r="D283" s="36" t="n"/>
      <c r="E283" s="54" t="n"/>
      <c r="F283" s="36" t="n"/>
      <c r="G283" s="36" t="n"/>
      <c r="H283" s="30" t="n"/>
      <c r="I283" s="30" t="n">
        <v>0</v>
      </c>
      <c r="J283" s="31">
        <f>IF(H283="","",H283-I283)</f>
        <v/>
      </c>
      <c r="K283" s="43" t="n"/>
      <c r="L283" s="32">
        <f>IF(OR(K283="",$F283=""),"",DATE(YEAR(K283),MONTH(K283)+VLOOKUP($F283,'Membership Level'!$A$3:$B$15,2,FALSE),DAY(K283)))</f>
        <v/>
      </c>
      <c r="M283" s="36" t="n"/>
      <c r="N283" s="34">
        <f>IF($L283="","",DATE(YEAR($L283),MONTH($L283),DAY($L283)-$M283))</f>
        <v/>
      </c>
      <c r="O283" s="33">
        <f>IF($L283="","",IF(DAYS360(NOW(),$L283)&gt;=0,DAYS360(NOW(),$L283),""))</f>
        <v/>
      </c>
      <c r="P283" s="34">
        <f>IF(OR(H283="",H283=0,F283="",K283=""),"",I283/H283*VLOOKUP(F283,'Membership Level'!$A$3:$C$15,3,FALSE)+K283)</f>
        <v/>
      </c>
      <c r="Q283" s="36" t="n"/>
    </row>
    <row r="284">
      <c r="C284" s="36" t="n"/>
      <c r="D284" s="36" t="n"/>
      <c r="E284" s="54" t="n"/>
      <c r="F284" s="36" t="n"/>
      <c r="G284" s="36" t="n"/>
      <c r="H284" s="30" t="n"/>
      <c r="I284" s="30" t="n">
        <v>0</v>
      </c>
      <c r="J284" s="31">
        <f>IF(H284="","",H284-I284)</f>
        <v/>
      </c>
      <c r="K284" s="43" t="n"/>
      <c r="L284" s="32">
        <f>IF(OR(K284="",$F284=""),"",DATE(YEAR(K284),MONTH(K284)+VLOOKUP($F284,'Membership Level'!$A$3:$B$15,2,FALSE),DAY(K284)))</f>
        <v/>
      </c>
      <c r="M284" s="36" t="n"/>
      <c r="N284" s="34">
        <f>IF($L284="","",DATE(YEAR($L284),MONTH($L284),DAY($L284)-$M284))</f>
        <v/>
      </c>
      <c r="O284" s="33">
        <f>IF($L284="","",IF(DAYS360(NOW(),$L284)&gt;=0,DAYS360(NOW(),$L284),""))</f>
        <v/>
      </c>
      <c r="P284" s="34">
        <f>IF(OR(H284="",H284=0,F284="",K284=""),"",I284/H284*VLOOKUP(F284,'Membership Level'!$A$3:$C$15,3,FALSE)+K284)</f>
        <v/>
      </c>
      <c r="Q284" s="36" t="n"/>
    </row>
    <row r="285">
      <c r="C285" s="36" t="n"/>
      <c r="D285" s="36" t="n"/>
      <c r="E285" s="54" t="n"/>
      <c r="F285" s="45" t="n"/>
      <c r="G285" s="36" t="n"/>
      <c r="H285" s="30" t="n"/>
      <c r="I285" s="30" t="n">
        <v>0</v>
      </c>
      <c r="J285" s="31">
        <f>IF(H285="","",H285-I285)</f>
        <v/>
      </c>
      <c r="K285" s="43" t="n"/>
      <c r="L285" s="32">
        <f>IF(OR(K285="",$F285=""),"",DATE(YEAR(K285),MONTH(K285)+VLOOKUP($F285,'Membership Level'!$A$3:$B$15,2,FALSE),DAY(K285)))</f>
        <v/>
      </c>
      <c r="M285" s="36" t="n"/>
      <c r="N285" s="34">
        <f>IF($L285="","",DATE(YEAR($L285),MONTH($L285),DAY($L285)-$M285))</f>
        <v/>
      </c>
      <c r="O285" s="33">
        <f>IF($L285="","",IF(DAYS360(NOW(),$L285)&gt;=0,DAYS360(NOW(),$L285),""))</f>
        <v/>
      </c>
      <c r="P285" s="34">
        <f>IF(OR(H285="",H285=0,F285="",K285=""),"",I285/H285*VLOOKUP(F285,'Membership Level'!$A$3:$C$15,3,FALSE)+K285)</f>
        <v/>
      </c>
      <c r="Q285" s="36" t="n"/>
    </row>
    <row r="286">
      <c r="C286" s="36" t="n"/>
      <c r="D286" s="36" t="n"/>
      <c r="E286" s="59" t="n"/>
      <c r="F286" s="36" t="n"/>
      <c r="G286" s="36" t="n"/>
      <c r="H286" s="30" t="n"/>
      <c r="I286" s="30" t="n">
        <v>0</v>
      </c>
      <c r="J286" s="31">
        <f>IF(H286="","",H286-I286)</f>
        <v/>
      </c>
      <c r="K286" s="43" t="n"/>
      <c r="L286" s="32">
        <f>IF(OR(K286="",$F286=""),"",DATE(YEAR(K286),MONTH(K286)+VLOOKUP($F286,'Membership Level'!$A$3:$B$15,2,FALSE),DAY(K286)))</f>
        <v/>
      </c>
      <c r="M286" s="36" t="n"/>
      <c r="N286" s="34">
        <f>IF($L286="","",DATE(YEAR($L286),MONTH($L286),DAY($L286)-$M286))</f>
        <v/>
      </c>
      <c r="O286" s="33">
        <f>IF($L286="","",IF(DAYS360(NOW(),$L286)&gt;=0,DAYS360(NOW(),$L286),""))</f>
        <v/>
      </c>
      <c r="P286" s="34">
        <f>IF(OR(H286="",H286=0,F286="",K286=""),"",I286/H286*VLOOKUP(F286,'Membership Level'!$A$3:$C$15,3,FALSE)+K286)</f>
        <v/>
      </c>
      <c r="Q286" s="36" t="n"/>
    </row>
    <row r="287" customFormat="1" s="27">
      <c r="C287" s="45" t="n"/>
      <c r="D287" s="45" t="n"/>
      <c r="E287" s="54" t="n"/>
      <c r="F287" s="36" t="n"/>
      <c r="G287" s="45" t="n"/>
      <c r="H287" s="64" t="n"/>
      <c r="I287" s="30" t="n">
        <v>0</v>
      </c>
      <c r="J287" s="65">
        <f>IF(H287="","",H287-I287)</f>
        <v/>
      </c>
      <c r="K287" s="60" t="n"/>
      <c r="L287" s="60">
        <f>IF(OR(K287="",$F287=""),"",DATE(YEAR(K287),MONTH(K287)+VLOOKUP($F287,'Membership Level'!$A$3:$B$15,2,FALSE),DAY(K287)))</f>
        <v/>
      </c>
      <c r="M287" s="36" t="n"/>
      <c r="N287" s="46">
        <f>IF($L287="","",DATE(YEAR($L287),MONTH($L287),DAY($L287)-$M287))</f>
        <v/>
      </c>
      <c r="O287" s="45">
        <f>IF($L287="","",IF(DAYS360(NOW(),$L287)&gt;=0,DAYS360(NOW(),$L287),""))</f>
        <v/>
      </c>
      <c r="P287" s="46">
        <f>IF(OR(H287="",H287=0,F287="",K287=""),"",I287/H287*VLOOKUP(F287,'Membership Level'!$A$3:$C$15,3,FALSE)+K287)</f>
        <v/>
      </c>
      <c r="Q287" s="45" t="n"/>
    </row>
    <row r="288">
      <c r="C288" s="36" t="n"/>
      <c r="D288" s="36" t="n"/>
      <c r="E288" s="54" t="n"/>
      <c r="F288" s="36" t="n"/>
      <c r="G288" s="36" t="n"/>
      <c r="H288" s="30" t="n"/>
      <c r="I288" s="30" t="n">
        <v>0</v>
      </c>
      <c r="J288" s="31">
        <f>IF(H288="","",H288-I288)</f>
        <v/>
      </c>
      <c r="K288" s="43" t="n"/>
      <c r="L288" s="32">
        <f>IF(OR(K288="",$F288=""),"",DATE(YEAR(K288),MONTH(K288)+VLOOKUP($F288,'Membership Level'!$A$3:$B$15,2,FALSE),DAY(K288)))</f>
        <v/>
      </c>
      <c r="M288" s="36" t="n"/>
      <c r="N288" s="34">
        <f>IF($L288="","",DATE(YEAR($L288),MONTH($L288),DAY($L288)-$M288))</f>
        <v/>
      </c>
      <c r="O288" s="33">
        <f>IF($L288="","",IF(DAYS360(NOW(),$L288)&gt;=0,DAYS360(NOW(),$L288),""))</f>
        <v/>
      </c>
      <c r="P288" s="34">
        <f>IF(OR(H288="",H288=0,F288="",K288=""),"",I288/H288*VLOOKUP(F288,'Membership Level'!$A$3:$C$15,3,FALSE)+K288)</f>
        <v/>
      </c>
      <c r="Q288" s="36" t="n"/>
    </row>
    <row r="289" customFormat="1" s="26">
      <c r="C289" s="36" t="n"/>
      <c r="D289" s="36" t="n"/>
      <c r="E289" s="54" t="n"/>
      <c r="F289" s="36" t="n"/>
      <c r="G289" s="36" t="n"/>
      <c r="H289" s="30" t="n"/>
      <c r="I289" s="30" t="n">
        <v>0</v>
      </c>
      <c r="J289" s="31">
        <f>IF(H289="","",H289-I289)</f>
        <v/>
      </c>
      <c r="K289" s="43" t="n"/>
      <c r="L289" s="32">
        <f>IF(OR(K289="",$F289=""),"",DATE(YEAR(K289),MONTH(K289)+VLOOKUP($F289,'Membership Level'!$A$3:$B$15,2,FALSE),DAY(K289)))</f>
        <v/>
      </c>
      <c r="M289" s="36" t="n"/>
      <c r="N289" s="34">
        <f>IF($L289="","",DATE(YEAR($L289),MONTH($L289),DAY($L289)-$M289))</f>
        <v/>
      </c>
      <c r="O289" s="33">
        <f>IF($L289="","",IF(DAYS360(NOW(),$L289)&gt;=0,DAYS360(NOW(),$L289),""))</f>
        <v/>
      </c>
      <c r="P289" s="34">
        <f>IF(OR(H289="",H289=0,F289="",K289=""),"",I289/H289*VLOOKUP(F289,'Membership Level'!$A$3:$C$15,3,FALSE)+K289)</f>
        <v/>
      </c>
      <c r="Q289" s="36" t="n"/>
    </row>
    <row r="290" customFormat="1" s="26">
      <c r="C290" s="36" t="n"/>
      <c r="D290" s="36" t="n"/>
      <c r="E290" s="54" t="n"/>
      <c r="F290" s="36" t="n"/>
      <c r="G290" s="36" t="n"/>
      <c r="H290" s="30" t="n"/>
      <c r="I290" s="30" t="n">
        <v>0</v>
      </c>
      <c r="J290" s="31">
        <f>IF(H290="","",H290-I290)</f>
        <v/>
      </c>
      <c r="K290" s="43" t="n"/>
      <c r="L290" s="32">
        <f>IF(OR(K290="",$F290=""),"",DATE(YEAR(K290),MONTH(K290)+VLOOKUP($F290,'Membership Level'!$A$3:$B$15,2,FALSE),DAY(K290)))</f>
        <v/>
      </c>
      <c r="M290" s="36" t="n"/>
      <c r="N290" s="34">
        <f>IF($L290="","",DATE(YEAR($L290),MONTH($L290),DAY($L290)-$M290))</f>
        <v/>
      </c>
      <c r="O290" s="33">
        <f>IF($L290="","",IF(DAYS360(NOW(),$L290)&gt;=0,DAYS360(NOW(),$L290),""))</f>
        <v/>
      </c>
      <c r="P290" s="34">
        <f>IF(OR(H290="",H290=0,F290="",K290=""),"",I290/H290*VLOOKUP(F290,'Membership Level'!$A$3:$C$15,3,FALSE)+K290)</f>
        <v/>
      </c>
      <c r="Q290" s="36" t="n"/>
    </row>
    <row r="291">
      <c r="C291" s="36" t="n"/>
      <c r="D291" s="36" t="n"/>
      <c r="E291" s="54" t="n"/>
      <c r="F291" s="36" t="n"/>
      <c r="G291" s="36" t="n"/>
      <c r="H291" s="30" t="n"/>
      <c r="I291" s="30" t="n">
        <v>0</v>
      </c>
      <c r="J291" s="31">
        <f>IF(H291="","",H291-I291)</f>
        <v/>
      </c>
      <c r="K291" s="43" t="n"/>
      <c r="L291" s="32">
        <f>IF(OR(K291="",$F291=""),"",DATE(YEAR(K291),MONTH(K291)+VLOOKUP($F291,'Membership Level'!$A$3:$B$15,2,FALSE),DAY(K291)))</f>
        <v/>
      </c>
      <c r="M291" s="36" t="n"/>
      <c r="N291" s="34">
        <f>IF($L291="","",DATE(YEAR($L291),MONTH($L291),DAY($L291)-$M291))</f>
        <v/>
      </c>
      <c r="O291" s="33">
        <f>IF($L291="","",IF(DAYS360(NOW(),$L291)&gt;=0,DAYS360(NOW(),$L291),""))</f>
        <v/>
      </c>
      <c r="P291" s="34">
        <f>IF(OR(H291="",H291=0,F291="",K291=""),"",I291/H291*VLOOKUP(F291,'Membership Level'!$A$3:$C$15,3,FALSE)+K291)</f>
        <v/>
      </c>
      <c r="Q291" s="36" t="n"/>
    </row>
    <row r="292">
      <c r="C292" s="36" t="n"/>
      <c r="D292" s="36" t="n"/>
      <c r="E292" s="54" t="n"/>
      <c r="F292" s="36" t="n"/>
      <c r="G292" s="36" t="n"/>
      <c r="H292" s="30" t="n"/>
      <c r="I292" s="30" t="n">
        <v>0</v>
      </c>
      <c r="J292" s="31">
        <f>IF(H292="","",H292-I292)</f>
        <v/>
      </c>
      <c r="K292" s="43" t="n"/>
      <c r="L292" s="32">
        <f>IF(OR(K292="",$F292=""),"",DATE(YEAR(K292),MONTH(K292)+VLOOKUP($F292,'Membership Level'!$A$3:$B$15,2,FALSE),DAY(K292)))</f>
        <v/>
      </c>
      <c r="M292" s="36" t="n"/>
      <c r="N292" s="34">
        <f>IF($L292="","",DATE(YEAR($L292),MONTH($L292),DAY($L292)-$M292))</f>
        <v/>
      </c>
      <c r="O292" s="33">
        <f>IF($L292="","",IF(DAYS360(NOW(),$L292)&gt;=0,DAYS360(NOW(),$L292),""))</f>
        <v/>
      </c>
      <c r="P292" s="34">
        <f>IF(OR(H292="",H292=0,F292="",K292=""),"",I292/H292*VLOOKUP(F292,'Membership Level'!$A$3:$C$15,3,FALSE)+K292)</f>
        <v/>
      </c>
      <c r="Q292" s="36" t="n"/>
    </row>
    <row r="293">
      <c r="C293" s="36" t="n"/>
      <c r="D293" s="36" t="n"/>
      <c r="E293" s="54" t="n"/>
      <c r="F293" s="36" t="n"/>
      <c r="G293" s="36" t="n"/>
      <c r="H293" s="30" t="n"/>
      <c r="I293" s="30" t="n">
        <v>0</v>
      </c>
      <c r="J293" s="31">
        <f>IF(H293="","",H293-I293)</f>
        <v/>
      </c>
      <c r="K293" s="43" t="n"/>
      <c r="L293" s="32">
        <f>IF(OR(K293="",$F293=""),"",DATE(YEAR(K293),MONTH(K293)+VLOOKUP($F293,'Membership Level'!$A$3:$B$15,2,FALSE),DAY(K293)))</f>
        <v/>
      </c>
      <c r="M293" s="36" t="n"/>
      <c r="N293" s="34">
        <f>IF($L293="","",DATE(YEAR($L293),MONTH($L293),DAY($L293)-$M293))</f>
        <v/>
      </c>
      <c r="O293" s="33">
        <f>IF($L293="","",IF(DAYS360(NOW(),$L293)&gt;=0,DAYS360(NOW(),$L293),""))</f>
        <v/>
      </c>
      <c r="P293" s="34">
        <f>IF(OR(H293="",H293=0,F293="",K293=""),"",I293/H293*VLOOKUP(F293,'Membership Level'!$A$3:$C$15,3,FALSE)+K293)</f>
        <v/>
      </c>
      <c r="Q293" s="36" t="n"/>
    </row>
    <row r="294">
      <c r="C294" s="36" t="n"/>
      <c r="D294" s="36" t="n"/>
      <c r="E294" s="54" t="n"/>
      <c r="F294" s="36" t="n"/>
      <c r="G294" s="36" t="n"/>
      <c r="H294" s="30" t="n"/>
      <c r="I294" s="30" t="n">
        <v>0</v>
      </c>
      <c r="J294" s="31">
        <f>IF(H294="","",H294-I294)</f>
        <v/>
      </c>
      <c r="K294" s="43" t="n"/>
      <c r="L294" s="32">
        <f>IF(OR(K294="",$F294=""),"",DATE(YEAR(K294),MONTH(K294)+VLOOKUP($F294,'Membership Level'!$A$3:$B$15,2,FALSE),DAY(K294)))</f>
        <v/>
      </c>
      <c r="M294" s="36" t="n"/>
      <c r="N294" s="34">
        <f>IF($L294="","",DATE(YEAR($L294),MONTH($L294),DAY($L294)-$M294))</f>
        <v/>
      </c>
      <c r="O294" s="33">
        <f>IF($L294="","",IF(DAYS360(NOW(),$L294)&gt;=0,DAYS360(NOW(),$L294),""))</f>
        <v/>
      </c>
      <c r="P294" s="34">
        <f>IF(OR(H294="",H294=0,F294="",K294=""),"",I294/H294*VLOOKUP(F294,'Membership Level'!$A$3:$C$15,3,FALSE)+K294)</f>
        <v/>
      </c>
      <c r="Q294" s="36" t="n"/>
    </row>
    <row r="295" customFormat="1" s="26">
      <c r="C295" s="36" t="n"/>
      <c r="D295" s="36" t="n"/>
      <c r="E295" s="54" t="n"/>
      <c r="F295" s="36" t="n"/>
      <c r="G295" s="36" t="n"/>
      <c r="H295" s="30" t="n"/>
      <c r="I295" s="30" t="n">
        <v>0</v>
      </c>
      <c r="J295" s="31">
        <f>IF(H295="","",H295-I295)</f>
        <v/>
      </c>
      <c r="K295" s="43" t="n"/>
      <c r="L295" s="32">
        <f>IF(OR(K295="",$F295=""),"",DATE(YEAR(K295),MONTH(K295)+VLOOKUP($F295,'Membership Level'!$A$3:$B$15,2,FALSE),DAY(K295)))</f>
        <v/>
      </c>
      <c r="M295" s="36" t="n"/>
      <c r="N295" s="34">
        <f>IF($L295="","",DATE(YEAR($L295),MONTH($L295),DAY($L295)-$M295))</f>
        <v/>
      </c>
      <c r="O295" s="33">
        <f>IF($L295="","",IF(DAYS360(NOW(),$L295)&gt;=0,DAYS360(NOW(),$L295),""))</f>
        <v/>
      </c>
      <c r="P295" s="34">
        <f>IF(OR(H295="",H295=0,F295="",K295=""),"",I295/H295*VLOOKUP(F295,'Membership Level'!$A$3:$C$15,3,FALSE)+K295)</f>
        <v/>
      </c>
      <c r="Q295" s="36" t="n"/>
    </row>
    <row r="296">
      <c r="C296" s="36" t="n"/>
      <c r="D296" s="36" t="n"/>
      <c r="E296" s="54" t="n"/>
      <c r="F296" s="36" t="n"/>
      <c r="G296" s="36" t="n"/>
      <c r="H296" s="30" t="n"/>
      <c r="I296" s="30" t="n">
        <v>0</v>
      </c>
      <c r="J296" s="31">
        <f>IF(H296="","",H296-I296)</f>
        <v/>
      </c>
      <c r="K296" s="43" t="n"/>
      <c r="L296" s="32">
        <f>IF(OR(K296="",$F296=""),"",DATE(YEAR(K296),MONTH(K296)+VLOOKUP($F296,'Membership Level'!$A$3:$B$15,2,FALSE),DAY(K296)))</f>
        <v/>
      </c>
      <c r="M296" s="36" t="n"/>
      <c r="N296" s="34">
        <f>IF($L296="","",DATE(YEAR($L296),MONTH($L296),DAY($L296)-$M296))</f>
        <v/>
      </c>
      <c r="O296" s="33">
        <f>IF($L296="","",IF(DAYS360(NOW(),$L296)&gt;=0,DAYS360(NOW(),$L296),""))</f>
        <v/>
      </c>
      <c r="P296" s="34">
        <f>IF(OR(H296="",H296=0,F296="",K296=""),"",I296/H296*VLOOKUP(F296,'Membership Level'!$A$3:$C$15,3,FALSE)+K296)</f>
        <v/>
      </c>
      <c r="Q296" s="36" t="n"/>
    </row>
    <row r="297" customFormat="1" s="26">
      <c r="C297" s="36" t="n"/>
      <c r="D297" s="36" t="n"/>
      <c r="E297" s="54" t="n"/>
      <c r="F297" s="36" t="n"/>
      <c r="G297" s="36" t="n"/>
      <c r="H297" s="30" t="n"/>
      <c r="I297" s="30" t="n">
        <v>0</v>
      </c>
      <c r="J297" s="31">
        <f>IF(H297="","",H297-I297)</f>
        <v/>
      </c>
      <c r="K297" s="43" t="n"/>
      <c r="L297" s="32">
        <f>IF(OR(K297="",$F297=""),"",DATE(YEAR(K297),MONTH(K297)+VLOOKUP($F297,'Membership Level'!$A$3:$B$15,2,FALSE),DAY(K297)))</f>
        <v/>
      </c>
      <c r="M297" s="36" t="n"/>
      <c r="N297" s="34">
        <f>IF($L297="","",DATE(YEAR($L297),MONTH($L297),DAY($L297)-$M297))</f>
        <v/>
      </c>
      <c r="O297" s="33">
        <f>IF($L297="","",IF(DAYS360(NOW(),$L297)&gt;=0,DAYS360(NOW(),$L297),""))</f>
        <v/>
      </c>
      <c r="P297" s="34">
        <f>IF(OR(H297="",H297=0,F297="",K297=""),"",I297/H297*VLOOKUP(F297,'Membership Level'!$A$3:$C$15,3,FALSE)+K297)</f>
        <v/>
      </c>
      <c r="Q297" s="36" t="n"/>
    </row>
    <row r="298">
      <c r="C298" s="36" t="n"/>
      <c r="D298" s="36" t="n"/>
      <c r="E298" s="54" t="n"/>
      <c r="F298" s="36" t="n"/>
      <c r="G298" s="36" t="n"/>
      <c r="H298" s="30" t="n"/>
      <c r="I298" s="30" t="n">
        <v>0</v>
      </c>
      <c r="J298" s="31">
        <f>IF(H298="","",H298-I298)</f>
        <v/>
      </c>
      <c r="K298" s="43" t="n"/>
      <c r="L298" s="32">
        <f>IF(OR(K298="",$F298=""),"",DATE(YEAR(K298),MONTH(K298)+VLOOKUP($F298,'Membership Level'!$A$3:$B$15,2,FALSE),DAY(K298)))</f>
        <v/>
      </c>
      <c r="M298" s="36" t="n"/>
      <c r="N298" s="34">
        <f>IF($L298="","",DATE(YEAR($L298),MONTH($L298),DAY($L298)-$M298))</f>
        <v/>
      </c>
      <c r="O298" s="33">
        <f>IF($L298="","",IF(DAYS360(NOW(),$L298)&gt;=0,DAYS360(NOW(),$L298),""))</f>
        <v/>
      </c>
      <c r="P298" s="34">
        <f>IF(OR(H298="",H298=0,F298="",K298=""),"",I298/H298*VLOOKUP(F298,'Membership Level'!$A$3:$C$15,3,FALSE)+K298)</f>
        <v/>
      </c>
      <c r="Q298" s="36" t="n"/>
    </row>
    <row r="299">
      <c r="C299" s="36" t="n"/>
      <c r="D299" s="36" t="n"/>
      <c r="E299" s="54" t="n"/>
      <c r="F299" s="36" t="n"/>
      <c r="G299" s="36" t="n"/>
      <c r="H299" s="30" t="n"/>
      <c r="I299" s="30" t="n">
        <v>0</v>
      </c>
      <c r="J299" s="31">
        <f>IF(H299="","",H299-I299)</f>
        <v/>
      </c>
      <c r="K299" s="43" t="n"/>
      <c r="L299" s="32">
        <f>IF(OR(K299="",$F299=""),"",DATE(YEAR(K299),MONTH(K299)+VLOOKUP($F299,'Membership Level'!$A$3:$B$15,2,FALSE),DAY(K299)))</f>
        <v/>
      </c>
      <c r="M299" s="36" t="n"/>
      <c r="N299" s="34">
        <f>IF($L299="","",DATE(YEAR($L299),MONTH($L299),DAY($L299)-$M299))</f>
        <v/>
      </c>
      <c r="O299" s="33">
        <f>IF($L299="","",IF(DAYS360(NOW(),$L299)&gt;=0,DAYS360(NOW(),$L299),""))</f>
        <v/>
      </c>
      <c r="P299" s="34">
        <f>IF(OR(H299="",H299=0,F299="",K299=""),"",I299/H299*VLOOKUP(F299,'Membership Level'!$A$3:$C$15,3,FALSE)+K299)</f>
        <v/>
      </c>
      <c r="Q299" s="36" t="n"/>
    </row>
    <row r="300">
      <c r="C300" s="36" t="n"/>
      <c r="D300" s="36" t="n"/>
      <c r="E300" s="54" t="n"/>
      <c r="F300" s="36" t="n"/>
      <c r="G300" s="36" t="n"/>
      <c r="H300" s="30" t="n"/>
      <c r="I300" s="30" t="n">
        <v>0</v>
      </c>
      <c r="J300" s="31">
        <f>IF(H300="","",H300-I300)</f>
        <v/>
      </c>
      <c r="K300" s="43" t="n"/>
      <c r="L300" s="32">
        <f>IF(OR(K300="",$F300=""),"",DATE(YEAR(K300),MONTH(K300)+VLOOKUP($F300,'Membership Level'!$A$3:$B$15,2,FALSE),DAY(K300)))</f>
        <v/>
      </c>
      <c r="M300" s="36" t="n"/>
      <c r="N300" s="34">
        <f>IF($L300="","",DATE(YEAR($L300),MONTH($L300),DAY($L300)-$M300))</f>
        <v/>
      </c>
      <c r="O300" s="33">
        <f>IF($L300="","",IF(DAYS360(NOW(),$L300)&gt;=0,DAYS360(NOW(),$L300),""))</f>
        <v/>
      </c>
      <c r="P300" s="34">
        <f>IF(OR(H300="",H300=0,F300="",K300=""),"",I300/H300*VLOOKUP(F300,'Membership Level'!$A$3:$C$15,3,FALSE)+K300)</f>
        <v/>
      </c>
      <c r="Q300" s="36" t="n"/>
    </row>
    <row r="301">
      <c r="C301" s="36" t="n"/>
      <c r="D301" s="36" t="n"/>
      <c r="E301" s="54" t="n"/>
      <c r="F301" s="36" t="n"/>
      <c r="G301" s="36" t="n"/>
      <c r="H301" s="30" t="n"/>
      <c r="I301" s="30" t="n">
        <v>0</v>
      </c>
      <c r="J301" s="31">
        <f>IF(H301="","",H301-I301)</f>
        <v/>
      </c>
      <c r="K301" s="43" t="n"/>
      <c r="L301" s="32">
        <f>IF(OR(K301="",$F301=""),"",DATE(YEAR(K301),MONTH(K301)+VLOOKUP($F301,'Membership Level'!$A$3:$B$15,2,FALSE),DAY(K301)))</f>
        <v/>
      </c>
      <c r="M301" s="36" t="n"/>
      <c r="N301" s="34">
        <f>IF($L301="","",DATE(YEAR($L301),MONTH($L301),DAY($L301)-$M301))</f>
        <v/>
      </c>
      <c r="O301" s="33">
        <f>IF($L301="","",IF(DAYS360(NOW(),$L301)&gt;=0,DAYS360(NOW(),$L301),""))</f>
        <v/>
      </c>
      <c r="P301" s="34">
        <f>IF(OR(H301="",H301=0,F301="",K301=""),"",I301/H301*VLOOKUP(F301,'Membership Level'!$A$3:$C$15,3,FALSE)+K301)</f>
        <v/>
      </c>
      <c r="Q301" s="36" t="n"/>
    </row>
    <row r="302">
      <c r="C302" s="36" t="n"/>
      <c r="D302" s="36" t="n"/>
      <c r="E302" s="54" t="n"/>
      <c r="F302" s="36" t="n"/>
      <c r="G302" s="36" t="n"/>
      <c r="H302" s="30" t="n"/>
      <c r="I302" s="30" t="n">
        <v>0</v>
      </c>
      <c r="J302" s="31">
        <f>IF(H302="","",H302-I302)</f>
        <v/>
      </c>
      <c r="K302" s="43" t="n"/>
      <c r="L302" s="32">
        <f>IF(OR(K302="",$F302=""),"",DATE(YEAR(K302),MONTH(K302)+VLOOKUP($F302,'Membership Level'!$A$3:$B$15,2,FALSE),DAY(K302)))</f>
        <v/>
      </c>
      <c r="M302" s="36" t="n"/>
      <c r="N302" s="34">
        <f>IF($L302="","",DATE(YEAR($L302),MONTH($L302),DAY($L302)-$M302))</f>
        <v/>
      </c>
      <c r="O302" s="33">
        <f>IF($L302="","",IF(DAYS360(NOW(),$L302)&gt;=0,DAYS360(NOW(),$L302),""))</f>
        <v/>
      </c>
      <c r="P302" s="34">
        <f>IF(OR(H302="",H302=0,F302="",K302=""),"",I302/H302*VLOOKUP(F302,'Membership Level'!$A$3:$C$15,3,FALSE)+K302)</f>
        <v/>
      </c>
      <c r="Q302" s="36" t="n"/>
    </row>
    <row r="303">
      <c r="C303" s="36" t="n"/>
      <c r="D303" s="36" t="n"/>
      <c r="E303" s="54" t="n"/>
      <c r="F303" s="36" t="n"/>
      <c r="G303" s="36" t="n"/>
      <c r="H303" s="30" t="n"/>
      <c r="I303" s="30" t="n">
        <v>0</v>
      </c>
      <c r="J303" s="31">
        <f>IF(H303="","",H303-I303)</f>
        <v/>
      </c>
      <c r="K303" s="43" t="n"/>
      <c r="L303" s="32">
        <f>IF(OR(K303="",$F303=""),"",DATE(YEAR(K303),MONTH(K303)+VLOOKUP($F303,'Membership Level'!$A$3:$B$15,2,FALSE),DAY(K303)))</f>
        <v/>
      </c>
      <c r="M303" s="36" t="n"/>
      <c r="N303" s="34">
        <f>IF($L303="","",DATE(YEAR($L303),MONTH($L303),DAY($L303)-$M303))</f>
        <v/>
      </c>
      <c r="O303" s="33">
        <f>IF($L303="","",IF(DAYS360(NOW(),$L303)&gt;=0,DAYS360(NOW(),$L303),""))</f>
        <v/>
      </c>
      <c r="P303" s="34">
        <f>IF(OR(H303="",H303=0,F303="",K303=""),"",I303/H303*VLOOKUP(F303,'Membership Level'!$A$3:$C$15,3,FALSE)+K303)</f>
        <v/>
      </c>
      <c r="Q303" s="36" t="n"/>
    </row>
    <row r="304">
      <c r="C304" s="36" t="n"/>
      <c r="D304" s="36" t="n"/>
      <c r="E304" s="54" t="n"/>
      <c r="F304" s="36" t="n"/>
      <c r="G304" s="36" t="n"/>
      <c r="H304" s="30" t="n"/>
      <c r="I304" s="30" t="n">
        <v>0</v>
      </c>
      <c r="J304" s="31">
        <f>IF(H304="","",H304-I304)</f>
        <v/>
      </c>
      <c r="K304" s="43" t="n"/>
      <c r="L304" s="32">
        <f>IF(OR(K304="",$F304=""),"",DATE(YEAR(K304),MONTH(K304)+VLOOKUP($F304,'Membership Level'!$A$3:$B$15,2,FALSE),DAY(K304)))</f>
        <v/>
      </c>
      <c r="M304" s="36" t="n"/>
      <c r="N304" s="34">
        <f>IF($L304="","",DATE(YEAR($L304),MONTH($L304),DAY($L304)-$M304))</f>
        <v/>
      </c>
      <c r="O304" s="33">
        <f>IF($L304="","",IF(DAYS360(NOW(),$L304)&gt;=0,DAYS360(NOW(),$L304),""))</f>
        <v/>
      </c>
      <c r="P304" s="34">
        <f>IF(OR(H304="",H304=0,F304="",K304=""),"",I304/H304*VLOOKUP(F304,'Membership Level'!$A$3:$C$15,3,FALSE)+K304)</f>
        <v/>
      </c>
      <c r="Q304" s="36" t="n"/>
    </row>
    <row r="305" customFormat="1" s="26">
      <c r="C305" s="36" t="n"/>
      <c r="D305" s="36" t="n"/>
      <c r="E305" s="54" t="n"/>
      <c r="F305" s="36" t="n"/>
      <c r="G305" s="36" t="n"/>
      <c r="H305" s="30" t="n"/>
      <c r="I305" s="30" t="n">
        <v>0</v>
      </c>
      <c r="J305" s="31">
        <f>IF(H305="","",H305-I305)</f>
        <v/>
      </c>
      <c r="K305" s="43" t="n"/>
      <c r="L305" s="32">
        <f>IF(OR(K305="",$F305=""),"",DATE(YEAR(K305),MONTH(K305)+VLOOKUP($F305,'Membership Level'!$A$3:$B$15,2,FALSE),DAY(K305)))</f>
        <v/>
      </c>
      <c r="M305" s="36" t="n"/>
      <c r="N305" s="34">
        <f>IF($L305="","",DATE(YEAR($L305),MONTH($L305),DAY($L305)-$M305))</f>
        <v/>
      </c>
      <c r="O305" s="33">
        <f>IF($L305="","",IF(DAYS360(NOW(),$L305)&gt;=0,DAYS360(NOW(),$L305),""))</f>
        <v/>
      </c>
      <c r="P305" s="34">
        <f>IF(OR(H305="",H305=0,F305="",K305=""),"",I305/H305*VLOOKUP(F305,'Membership Level'!$A$3:$C$15,3,FALSE)+K305)</f>
        <v/>
      </c>
      <c r="Q305" s="36" t="n"/>
    </row>
    <row r="306">
      <c r="C306" s="36" t="n"/>
      <c r="D306" s="36" t="n"/>
      <c r="E306" s="54" t="n"/>
      <c r="F306" s="36" t="n"/>
      <c r="G306" s="36" t="n"/>
      <c r="H306" s="30" t="n"/>
      <c r="I306" s="30" t="n">
        <v>0</v>
      </c>
      <c r="J306" s="31">
        <f>IF(H306="","",H306-I306)</f>
        <v/>
      </c>
      <c r="K306" s="43" t="n"/>
      <c r="L306" s="32">
        <f>IF(OR(K306="",$F306=""),"",DATE(YEAR(K306),MONTH(K306)+VLOOKUP($F306,'Membership Level'!$A$3:$B$15,2,FALSE),DAY(K306)))</f>
        <v/>
      </c>
      <c r="M306" s="36" t="n"/>
      <c r="N306" s="34">
        <f>IF($L306="","",DATE(YEAR($L306),MONTH($L306),DAY($L306)-$M306))</f>
        <v/>
      </c>
      <c r="O306" s="33">
        <f>IF($L306="","",IF(DAYS360(NOW(),$L306)&gt;=0,DAYS360(NOW(),$L306),""))</f>
        <v/>
      </c>
      <c r="P306" s="34">
        <f>IF(OR(H306="",H306=0,F306="",K306=""),"",I306/H306*VLOOKUP(F306,'Membership Level'!$A$3:$C$15,3,FALSE)+K306)</f>
        <v/>
      </c>
      <c r="Q306" s="36" t="n"/>
    </row>
    <row r="307">
      <c r="C307" s="36" t="n"/>
      <c r="D307" s="36" t="n"/>
      <c r="E307" s="54" t="n"/>
      <c r="F307" s="36" t="n"/>
      <c r="G307" s="36" t="n"/>
      <c r="H307" s="30" t="n"/>
      <c r="I307" s="30" t="n">
        <v>0</v>
      </c>
      <c r="J307" s="31">
        <f>IF(H307="","",H307-I307)</f>
        <v/>
      </c>
      <c r="K307" s="43" t="n"/>
      <c r="L307" s="32">
        <f>IF(OR(K307="",$F307=""),"",DATE(YEAR(K307),MONTH(K307)+VLOOKUP($F307,'Membership Level'!$A$3:$B$15,2,FALSE),DAY(K307)))</f>
        <v/>
      </c>
      <c r="M307" s="36" t="n"/>
      <c r="N307" s="34">
        <f>IF($L307="","",DATE(YEAR($L307),MONTH($L307),DAY($L307)-$M307))</f>
        <v/>
      </c>
      <c r="O307" s="33">
        <f>IF($L307="","",IF(DAYS360(NOW(),$L307)&gt;=0,DAYS360(NOW(),$L307),""))</f>
        <v/>
      </c>
      <c r="P307" s="34">
        <f>IF(OR(H307="",H307=0,F307="",K307=""),"",I307/H307*VLOOKUP(F307,'Membership Level'!$A$3:$C$15,3,FALSE)+K307)</f>
        <v/>
      </c>
      <c r="Q307" s="36" t="n"/>
    </row>
    <row r="308">
      <c r="C308" s="36" t="n"/>
      <c r="D308" s="36" t="n"/>
      <c r="E308" s="54" t="n"/>
      <c r="F308" s="36" t="n"/>
      <c r="G308" s="36" t="n"/>
      <c r="H308" s="30" t="n"/>
      <c r="I308" s="30" t="n">
        <v>0</v>
      </c>
      <c r="J308" s="31">
        <f>IF(H308="","",H308-I308)</f>
        <v/>
      </c>
      <c r="K308" s="43" t="n"/>
      <c r="L308" s="32">
        <f>IF(OR(K308="",$F308=""),"",DATE(YEAR(K308),MONTH(K308)+VLOOKUP($F308,'Membership Level'!$A$3:$B$15,2,FALSE),DAY(K308)))</f>
        <v/>
      </c>
      <c r="M308" s="36" t="n"/>
      <c r="N308" s="34">
        <f>IF($L308="","",DATE(YEAR($L308),MONTH($L308),DAY($L308)-$M308))</f>
        <v/>
      </c>
      <c r="O308" s="33">
        <f>IF($L308="","",IF(DAYS360(NOW(),$L308)&gt;=0,DAYS360(NOW(),$L308),""))</f>
        <v/>
      </c>
      <c r="P308" s="34">
        <f>IF(OR(H308="",H308=0,F308="",K308=""),"",I308/H308*VLOOKUP(F308,'Membership Level'!$A$3:$C$15,3,FALSE)+K308)</f>
        <v/>
      </c>
      <c r="Q308" s="36" t="n"/>
    </row>
    <row r="309">
      <c r="C309" s="36" t="n"/>
      <c r="D309" s="36" t="n"/>
      <c r="E309" s="54" t="n"/>
      <c r="F309" s="36" t="n"/>
      <c r="G309" s="36" t="n"/>
      <c r="H309" s="30" t="n"/>
      <c r="I309" s="30" t="n">
        <v>0</v>
      </c>
      <c r="J309" s="31">
        <f>IF(H309="","",H309-I309)</f>
        <v/>
      </c>
      <c r="K309" s="43" t="n"/>
      <c r="L309" s="32">
        <f>IF(OR(K309="",$F309=""),"",DATE(YEAR(K309),MONTH(K309)+VLOOKUP($F309,'Membership Level'!$A$3:$B$15,2,FALSE),DAY(K309)))</f>
        <v/>
      </c>
      <c r="M309" s="36" t="n"/>
      <c r="N309" s="34">
        <f>IF($L309="","",DATE(YEAR($L309),MONTH($L309),DAY($L309)-$M309))</f>
        <v/>
      </c>
      <c r="O309" s="33">
        <f>IF($L309="","",IF(DAYS360(NOW(),$L309)&gt;=0,DAYS360(NOW(),$L309),""))</f>
        <v/>
      </c>
      <c r="P309" s="34">
        <f>IF(OR(H309="",H309=0,F309="",K309=""),"",I309/H309*VLOOKUP(F309,'Membership Level'!$A$3:$C$15,3,FALSE)+K309)</f>
        <v/>
      </c>
      <c r="Q309" s="36" t="n"/>
    </row>
    <row r="310">
      <c r="C310" s="36" t="n"/>
      <c r="D310" s="36" t="n"/>
      <c r="E310" s="54" t="n"/>
      <c r="F310" s="36" t="n"/>
      <c r="G310" s="36" t="n"/>
      <c r="H310" s="30" t="n"/>
      <c r="I310" s="30" t="n">
        <v>0</v>
      </c>
      <c r="J310" s="31">
        <f>IF(H310="","",H310-I310)</f>
        <v/>
      </c>
      <c r="K310" s="43" t="n"/>
      <c r="L310" s="32">
        <f>IF(OR(K310="",$F310=""),"",DATE(YEAR(K310),MONTH(K310)+VLOOKUP($F310,'Membership Level'!$A$3:$B$15,2,FALSE),DAY(K310)))</f>
        <v/>
      </c>
      <c r="M310" s="36" t="n"/>
      <c r="N310" s="34">
        <f>IF($L310="","",DATE(YEAR($L310),MONTH($L310),DAY($L310)-$M310))</f>
        <v/>
      </c>
      <c r="O310" s="33">
        <f>IF($L310="","",IF(DAYS360(NOW(),$L310)&gt;=0,DAYS360(NOW(),$L310),""))</f>
        <v/>
      </c>
      <c r="P310" s="34">
        <f>IF(OR(H310="",H310=0,F310="",K310=""),"",I310/H310*VLOOKUP(F310,'Membership Level'!$A$3:$C$15,3,FALSE)+K310)</f>
        <v/>
      </c>
      <c r="Q310" s="36" t="n"/>
    </row>
    <row r="311">
      <c r="C311" s="36" t="n"/>
      <c r="D311" s="36" t="n"/>
      <c r="E311" s="54" t="n"/>
      <c r="F311" s="45" t="n"/>
      <c r="G311" s="36" t="n"/>
      <c r="H311" s="30" t="n"/>
      <c r="I311" s="30" t="n">
        <v>0</v>
      </c>
      <c r="J311" s="31">
        <f>IF(H311="","",H311-I311)</f>
        <v/>
      </c>
      <c r="K311" s="43" t="n"/>
      <c r="L311" s="32">
        <f>IF(OR(K311="",$F311=""),"",DATE(YEAR(K311),MONTH(K311)+VLOOKUP($F311,'Membership Level'!$A$3:$B$15,2,FALSE),DAY(K311)))</f>
        <v/>
      </c>
      <c r="M311" s="36" t="n"/>
      <c r="N311" s="34">
        <f>IF($L311="","",DATE(YEAR($L311),MONTH($L311),DAY($L311)-$M311))</f>
        <v/>
      </c>
      <c r="O311" s="33">
        <f>IF($L311="","",IF(DAYS360(NOW(),$L311)&gt;=0,DAYS360(NOW(),$L311),""))</f>
        <v/>
      </c>
      <c r="P311" s="34">
        <f>IF(OR(H311="",H311=0,F311="",K311=""),"",I311/H311*VLOOKUP(F311,'Membership Level'!$A$3:$C$15,3,FALSE)+K311)</f>
        <v/>
      </c>
      <c r="Q311" s="36" t="n"/>
    </row>
    <row r="312">
      <c r="C312" s="36" t="n"/>
      <c r="D312" s="36" t="n"/>
      <c r="E312" s="59" t="n"/>
      <c r="F312" s="45" t="n"/>
      <c r="G312" s="36" t="n"/>
      <c r="H312" s="30" t="n"/>
      <c r="I312" s="30" t="n">
        <v>0</v>
      </c>
      <c r="J312" s="31">
        <f>IF(H312="","",H312-I312)</f>
        <v/>
      </c>
      <c r="K312" s="43" t="n"/>
      <c r="L312" s="32">
        <f>IF(OR(K312="",$F312=""),"",DATE(YEAR(K312),MONTH(K312)+VLOOKUP($F312,'Membership Level'!$A$3:$B$15,2,FALSE),DAY(K312)))</f>
        <v/>
      </c>
      <c r="M312" s="36" t="n"/>
      <c r="N312" s="34">
        <f>IF($L312="","",DATE(YEAR($L312),MONTH($L312),DAY($L312)-$M312))</f>
        <v/>
      </c>
      <c r="O312" s="33">
        <f>IF($L312="","",IF(DAYS360(NOW(),$L312)&gt;=0,DAYS360(NOW(),$L312),""))</f>
        <v/>
      </c>
      <c r="P312" s="34">
        <f>IF(OR(H312="",H312=0,F312="",K312=""),"",I312/H312*VLOOKUP(F312,'Membership Level'!$A$3:$C$15,3,FALSE)+K312)</f>
        <v/>
      </c>
      <c r="Q312" s="36" t="n"/>
    </row>
    <row r="313" customFormat="1" s="27">
      <c r="C313" s="45" t="n"/>
      <c r="D313" s="45" t="n"/>
      <c r="E313" s="59" t="n"/>
      <c r="F313" s="36" t="n"/>
      <c r="G313" s="45" t="n"/>
      <c r="H313" s="64" t="n"/>
      <c r="I313" s="30" t="n">
        <v>0</v>
      </c>
      <c r="J313" s="65">
        <f>IF(H313="","",H313-I313)</f>
        <v/>
      </c>
      <c r="K313" s="60" t="n"/>
      <c r="L313" s="60">
        <f>IF(OR(K313="",$F313=""),"",DATE(YEAR(K313),MONTH(K313)+VLOOKUP($F313,'Membership Level'!$A$3:$B$15,2,FALSE),DAY(K313)))</f>
        <v/>
      </c>
      <c r="M313" s="36" t="n"/>
      <c r="N313" s="46">
        <f>IF($L313="","",DATE(YEAR($L313),MONTH($L313),DAY($L313)-$M313))</f>
        <v/>
      </c>
      <c r="O313" s="45">
        <f>IF($L313="","",IF(DAYS360(NOW(),$L313)&gt;=0,DAYS360(NOW(),$L313),""))</f>
        <v/>
      </c>
      <c r="P313" s="46">
        <f>IF(OR(H313="",H313=0,F313="",K313=""),"",I313/H313*VLOOKUP(F313,'Membership Level'!$A$3:$C$15,3,FALSE)+K313)</f>
        <v/>
      </c>
      <c r="Q313" s="45" t="n"/>
    </row>
    <row r="314" customFormat="1" s="27">
      <c r="C314" s="45" t="n"/>
      <c r="D314" s="45" t="n"/>
      <c r="E314" s="54" t="n"/>
      <c r="F314" s="36" t="n"/>
      <c r="G314" s="45" t="n"/>
      <c r="H314" s="64" t="n"/>
      <c r="I314" s="30" t="n">
        <v>0</v>
      </c>
      <c r="J314" s="65">
        <f>IF(H314="","",H314-I314)</f>
        <v/>
      </c>
      <c r="K314" s="60" t="n"/>
      <c r="L314" s="60">
        <f>IF(OR(K314="",$F314=""),"",DATE(YEAR(K314),MONTH(K314)+VLOOKUP($F314,'Membership Level'!$A$3:$B$15,2,FALSE),DAY(K314)))</f>
        <v/>
      </c>
      <c r="M314" s="36" t="n"/>
      <c r="N314" s="46">
        <f>IF($L314="","",DATE(YEAR($L314),MONTH($L314),DAY($L314)-$M314))</f>
        <v/>
      </c>
      <c r="O314" s="45">
        <f>IF($L314="","",IF(DAYS360(NOW(),$L314)&gt;=0,DAYS360(NOW(),$L314),""))</f>
        <v/>
      </c>
      <c r="P314" s="46">
        <f>IF(OR(H314="",H314=0,F314="",K314=""),"",I314/H314*VLOOKUP(F314,'Membership Level'!$A$3:$C$15,3,FALSE)+K314)</f>
        <v/>
      </c>
      <c r="Q314" s="45" t="n"/>
    </row>
    <row r="315">
      <c r="C315" s="36" t="n"/>
      <c r="D315" s="36" t="n"/>
      <c r="E315" s="54" t="n"/>
      <c r="F315" s="36" t="n"/>
      <c r="G315" s="36" t="n"/>
      <c r="H315" s="30" t="n"/>
      <c r="I315" s="30" t="n">
        <v>0</v>
      </c>
      <c r="J315" s="31">
        <f>IF(H315="","",H315-I315)</f>
        <v/>
      </c>
      <c r="K315" s="43" t="n"/>
      <c r="L315" s="32">
        <f>IF(OR(K315="",$F315=""),"",DATE(YEAR(K315),MONTH(K315)+VLOOKUP($F315,'Membership Level'!$A$3:$B$15,2,FALSE),DAY(K315)))</f>
        <v/>
      </c>
      <c r="M315" s="36" t="n"/>
      <c r="N315" s="34">
        <f>IF($L315="","",DATE(YEAR($L315),MONTH($L315),DAY($L315)-$M315))</f>
        <v/>
      </c>
      <c r="O315" s="33">
        <f>IF($L315="","",IF(DAYS360(NOW(),$L315)&gt;=0,DAYS360(NOW(),$L315),""))</f>
        <v/>
      </c>
      <c r="P315" s="34">
        <f>IF(OR(H315="",H315=0,F315="",K315=""),"",I315/H315*VLOOKUP(F315,'Membership Level'!$A$3:$C$15,3,FALSE)+K315)</f>
        <v/>
      </c>
      <c r="Q315" s="36" t="n"/>
    </row>
    <row r="316">
      <c r="C316" s="36" t="n"/>
      <c r="D316" s="36" t="n"/>
      <c r="E316" s="54" t="n"/>
      <c r="F316" s="36" t="n"/>
      <c r="G316" s="36" t="n"/>
      <c r="H316" s="30" t="n"/>
      <c r="I316" s="30" t="n">
        <v>0</v>
      </c>
      <c r="J316" s="31">
        <f>IF(H316="","",H316-I316)</f>
        <v/>
      </c>
      <c r="K316" s="43" t="n"/>
      <c r="L316" s="32">
        <f>IF(OR(K316="",$F316=""),"",DATE(YEAR(K316),MONTH(K316)+VLOOKUP($F316,'Membership Level'!$A$3:$B$15,2,FALSE),DAY(K316)))</f>
        <v/>
      </c>
      <c r="M316" s="36" t="n"/>
      <c r="N316" s="34">
        <f>IF($L316="","",DATE(YEAR($L316),MONTH($L316),DAY($L316)-$M316))</f>
        <v/>
      </c>
      <c r="O316" s="33">
        <f>IF($L316="","",IF(DAYS360(NOW(),$L316)&gt;=0,DAYS360(NOW(),$L316),""))</f>
        <v/>
      </c>
      <c r="P316" s="34">
        <f>IF(OR(H316="",H316=0,F316="",K316=""),"",I316/H316*VLOOKUP(F316,'Membership Level'!$A$3:$C$15,3,FALSE)+K316)</f>
        <v/>
      </c>
      <c r="Q316" s="36" t="n"/>
    </row>
    <row r="317">
      <c r="C317" s="36" t="n"/>
      <c r="D317" s="36" t="n"/>
      <c r="E317" s="54" t="n"/>
      <c r="F317" s="36" t="n"/>
      <c r="G317" s="36" t="n"/>
      <c r="H317" s="30" t="n"/>
      <c r="I317" s="30" t="n">
        <v>0</v>
      </c>
      <c r="J317" s="31">
        <f>IF(H317="","",H317-I317)</f>
        <v/>
      </c>
      <c r="K317" s="43" t="n"/>
      <c r="L317" s="32">
        <f>IF(OR(K317="",$F317=""),"",DATE(YEAR(K317),MONTH(K317)+VLOOKUP($F317,'Membership Level'!$A$3:$B$15,2,FALSE),DAY(K317)))</f>
        <v/>
      </c>
      <c r="M317" s="36" t="n"/>
      <c r="N317" s="34">
        <f>IF($L317="","",DATE(YEAR($L317),MONTH($L317),DAY($L317)-$M317))</f>
        <v/>
      </c>
      <c r="O317" s="33">
        <f>IF($L317="","",IF(DAYS360(NOW(),$L317)&gt;=0,DAYS360(NOW(),$L317),""))</f>
        <v/>
      </c>
      <c r="P317" s="34">
        <f>IF(OR(H317="",H317=0,F317="",K317=""),"",I317/H317*VLOOKUP(F317,'Membership Level'!$A$3:$C$15,3,FALSE)+K317)</f>
        <v/>
      </c>
      <c r="Q317" s="36" t="n"/>
    </row>
    <row r="318">
      <c r="C318" s="36" t="n"/>
      <c r="D318" s="36" t="n"/>
      <c r="E318" s="54" t="n"/>
      <c r="F318" s="36" t="n"/>
      <c r="G318" s="36" t="n"/>
      <c r="H318" s="30" t="n"/>
      <c r="I318" s="30" t="n">
        <v>0</v>
      </c>
      <c r="J318" s="31">
        <f>IF(H318="","",H318-I318)</f>
        <v/>
      </c>
      <c r="K318" s="43" t="n"/>
      <c r="L318" s="32">
        <f>IF(OR(K318="",$F318=""),"",DATE(YEAR(K318),MONTH(K318)+VLOOKUP($F318,'Membership Level'!$A$3:$B$15,2,FALSE),DAY(K318)))</f>
        <v/>
      </c>
      <c r="M318" s="36" t="n"/>
      <c r="N318" s="34">
        <f>IF($L318="","",DATE(YEAR($L318),MONTH($L318),DAY($L318)-$M318))</f>
        <v/>
      </c>
      <c r="O318" s="33">
        <f>IF($L318="","",IF(DAYS360(NOW(),$L318)&gt;=0,DAYS360(NOW(),$L318),""))</f>
        <v/>
      </c>
      <c r="P318" s="34">
        <f>IF(OR(H318="",H318=0,F318="",K318=""),"",I318/H318*VLOOKUP(F318,'Membership Level'!$A$3:$C$15,3,FALSE)+K318)</f>
        <v/>
      </c>
      <c r="Q318" s="36" t="n"/>
    </row>
    <row r="319">
      <c r="C319" s="36" t="n"/>
      <c r="D319" s="36" t="n"/>
      <c r="E319" s="54" t="n"/>
      <c r="F319" s="45" t="n"/>
      <c r="G319" s="36" t="n"/>
      <c r="H319" s="30" t="n"/>
      <c r="I319" s="30" t="n">
        <v>0</v>
      </c>
      <c r="J319" s="31">
        <f>IF(H319="","",H319-I319)</f>
        <v/>
      </c>
      <c r="K319" s="43" t="n"/>
      <c r="L319" s="32">
        <f>IF(OR(K319="",$F319=""),"",DATE(YEAR(K319),MONTH(K319)+VLOOKUP($F319,'Membership Level'!$A$3:$B$15,2,FALSE),DAY(K319)))</f>
        <v/>
      </c>
      <c r="M319" s="36" t="n"/>
      <c r="N319" s="34">
        <f>IF($L319="","",DATE(YEAR($L319),MONTH($L319),DAY($L319)-$M319))</f>
        <v/>
      </c>
      <c r="O319" s="33">
        <f>IF($L319="","",IF(DAYS360(NOW(),$L319)&gt;=0,DAYS360(NOW(),$L319),""))</f>
        <v/>
      </c>
      <c r="P319" s="34">
        <f>IF(OR(H319="",H319=0,F319="",K319=""),"",I319/H319*VLOOKUP(F319,'Membership Level'!$A$3:$C$15,3,FALSE)+K319)</f>
        <v/>
      </c>
      <c r="Q319" s="36" t="n"/>
    </row>
    <row r="320">
      <c r="C320" s="36" t="n"/>
      <c r="D320" s="36" t="n"/>
      <c r="E320" s="59" t="n"/>
      <c r="F320" s="45" t="n"/>
      <c r="G320" s="36" t="n"/>
      <c r="H320" s="30" t="n"/>
      <c r="I320" s="30" t="n">
        <v>0</v>
      </c>
      <c r="J320" s="31">
        <f>IF(H320="","",H320-I320)</f>
        <v/>
      </c>
      <c r="K320" s="43" t="n"/>
      <c r="L320" s="32">
        <f>IF(OR(K320="",$F320=""),"",DATE(YEAR(K320),MONTH(K320)+VLOOKUP($F320,'Membership Level'!$A$3:$B$15,2,FALSE),DAY(K320)))</f>
        <v/>
      </c>
      <c r="M320" s="36" t="n"/>
      <c r="N320" s="34">
        <f>IF($L320="","",DATE(YEAR($L320),MONTH($L320),DAY($L320)-$M320))</f>
        <v/>
      </c>
      <c r="O320" s="33">
        <f>IF($L320="","",IF(DAYS360(NOW(),$L320)&gt;=0,DAYS360(NOW(),$L320),""))</f>
        <v/>
      </c>
      <c r="P320" s="34">
        <f>IF(OR(H320="",H320=0,F320="",K320=""),"",I320/H320*VLOOKUP(F320,'Membership Level'!$A$3:$C$15,3,FALSE)+K320)</f>
        <v/>
      </c>
      <c r="Q320" s="36" t="n"/>
    </row>
    <row r="321">
      <c r="C321" s="45" t="n"/>
      <c r="D321" s="45" t="n"/>
      <c r="E321" s="59" t="n"/>
      <c r="F321" s="36" t="n"/>
      <c r="G321" s="45" t="n"/>
      <c r="H321" s="64" t="n"/>
      <c r="I321" s="30" t="n">
        <v>0</v>
      </c>
      <c r="J321" s="65">
        <f>IF(H321="","",H321-I321)</f>
        <v/>
      </c>
      <c r="K321" s="60" t="n"/>
      <c r="L321" s="60">
        <f>IF(OR(K321="",$F321=""),"",DATE(YEAR(K321),MONTH(K321)+VLOOKUP($F321,'Membership Level'!$A$3:$B$15,2,FALSE),DAY(K321)))</f>
        <v/>
      </c>
      <c r="M321" s="36" t="n"/>
      <c r="N321" s="34">
        <f>IF($L321="","",DATE(YEAR($L321),MONTH($L321),DAY($L321)-$M321))</f>
        <v/>
      </c>
      <c r="O321" s="33">
        <f>IF($L321="","",IF(DAYS360(NOW(),$L321)&gt;=0,DAYS360(NOW(),$L321),""))</f>
        <v/>
      </c>
      <c r="P321" s="34">
        <f>IF(OR(H321="",H321=0,F321="",K321=""),"",I321/H321*VLOOKUP(F321,'Membership Level'!$A$3:$C$15,3,FALSE)+K321)</f>
        <v/>
      </c>
      <c r="Q321" s="36" t="n"/>
    </row>
    <row r="322">
      <c r="C322" s="45" t="n"/>
      <c r="D322" s="45" t="n"/>
      <c r="E322" s="54" t="n"/>
      <c r="F322" s="36" t="n"/>
      <c r="G322" s="45" t="n"/>
      <c r="H322" s="64" t="n"/>
      <c r="I322" s="30" t="n">
        <v>0</v>
      </c>
      <c r="J322" s="65">
        <f>IF(H322="","",H322-I322)</f>
        <v/>
      </c>
      <c r="K322" s="60" t="n"/>
      <c r="L322" s="60">
        <f>IF(OR(K322="",$F322=""),"",DATE(YEAR(K322),MONTH(K322)+VLOOKUP($F322,'Membership Level'!$A$3:$B$15,2,FALSE),DAY(K322)))</f>
        <v/>
      </c>
      <c r="M322" s="36" t="n"/>
      <c r="N322" s="34">
        <f>IF($L322="","",DATE(YEAR($L322),MONTH($L322),DAY($L322)-$M322))</f>
        <v/>
      </c>
      <c r="O322" s="33">
        <f>IF($L322="","",IF(DAYS360(NOW(),$L322)&gt;=0,DAYS360(NOW(),$L322),""))</f>
        <v/>
      </c>
      <c r="P322" s="34">
        <f>IF(OR(H322="",H322=0,F322="",K322=""),"",I322/H322*VLOOKUP(F322,'Membership Level'!$A$3:$C$15,3,FALSE)+K322)</f>
        <v/>
      </c>
      <c r="Q322" s="36" t="n"/>
    </row>
    <row r="323">
      <c r="C323" s="36" t="n"/>
      <c r="D323" s="36" t="n"/>
      <c r="E323" s="54" t="n"/>
      <c r="F323" s="45" t="n"/>
      <c r="G323" s="36" t="n"/>
      <c r="H323" s="30" t="n"/>
      <c r="I323" s="30" t="n">
        <v>0</v>
      </c>
      <c r="J323" s="31">
        <f>IF(H323="","",H323-I323)</f>
        <v/>
      </c>
      <c r="K323" s="43" t="n"/>
      <c r="L323" s="32">
        <f>IF(OR(K323="",$F323=""),"",DATE(YEAR(K323),MONTH(K323)+VLOOKUP($F323,'Membership Level'!$A$3:$B$15,2,FALSE),DAY(K323)))</f>
        <v/>
      </c>
      <c r="M323" s="36" t="n"/>
      <c r="N323" s="34">
        <f>IF($L323="","",DATE(YEAR($L323),MONTH($L323),DAY($L323)-$M323))</f>
        <v/>
      </c>
      <c r="O323" s="33">
        <f>IF($L323="","",IF(DAYS360(NOW(),$L323)&gt;=0,DAYS360(NOW(),$L323),""))</f>
        <v/>
      </c>
      <c r="P323" s="34">
        <f>IF(OR(H323="",H323=0,F323="",K323=""),"",I323/H323*VLOOKUP(F323,'Membership Level'!$A$3:$C$15,3,FALSE)+K323)</f>
        <v/>
      </c>
      <c r="Q323" s="36" t="n"/>
    </row>
    <row r="324">
      <c r="C324" s="36" t="n"/>
      <c r="D324" s="36" t="n"/>
      <c r="E324" s="59" t="n"/>
      <c r="F324" s="36" t="n"/>
      <c r="G324" s="36" t="n"/>
      <c r="H324" s="30" t="n"/>
      <c r="I324" s="30" t="n">
        <v>0</v>
      </c>
      <c r="J324" s="31">
        <f>IF(H324="","",H324-I324)</f>
        <v/>
      </c>
      <c r="K324" s="43" t="n"/>
      <c r="L324" s="32">
        <f>IF(OR(K324="",$F324=""),"",DATE(YEAR(K324),MONTH(K324)+VLOOKUP($F324,'Membership Level'!$A$3:$B$15,2,FALSE),DAY(K324)))</f>
        <v/>
      </c>
      <c r="M324" s="36" t="n"/>
      <c r="N324" s="34">
        <f>IF($L324="","",DATE(YEAR($L324),MONTH($L324),DAY($L324)-$M324))</f>
        <v/>
      </c>
      <c r="O324" s="33">
        <f>IF($L324="","",IF(DAYS360(NOW(),$L324)&gt;=0,DAYS360(NOW(),$L324),""))</f>
        <v/>
      </c>
      <c r="P324" s="34">
        <f>IF(OR(H324="",H324=0,F324="",K324=""),"",I324/H324*VLOOKUP(F324,'Membership Level'!$A$3:$C$15,3,FALSE)+K324)</f>
        <v/>
      </c>
      <c r="Q324" s="36" t="n"/>
    </row>
    <row r="325" customFormat="1" s="27">
      <c r="C325" s="45" t="n"/>
      <c r="D325" s="45" t="n"/>
      <c r="E325" s="54" t="n"/>
      <c r="F325" s="36" t="n"/>
      <c r="G325" s="45" t="n"/>
      <c r="H325" s="64" t="n"/>
      <c r="I325" s="30" t="n">
        <v>0</v>
      </c>
      <c r="J325" s="65">
        <f>IF(H325="","",H325-I325)</f>
        <v/>
      </c>
      <c r="K325" s="60" t="n"/>
      <c r="L325" s="60">
        <f>IF(OR(K325="",$F325=""),"",DATE(YEAR(K325),MONTH(K325)+VLOOKUP($F325,'Membership Level'!$A$3:$B$15,2,FALSE),DAY(K325)))</f>
        <v/>
      </c>
      <c r="M325" s="36" t="n"/>
      <c r="N325" s="46">
        <f>IF($L325="","",DATE(YEAR($L325),MONTH($L325),DAY($L325)-$M325))</f>
        <v/>
      </c>
      <c r="O325" s="45">
        <f>IF($L325="","",IF(DAYS360(NOW(),$L325)&gt;=0,DAYS360(NOW(),$L325),""))</f>
        <v/>
      </c>
      <c r="P325" s="46">
        <f>IF(OR(H325="",H325=0,F325="",K325=""),"",I325/H325*VLOOKUP(F325,'Membership Level'!$A$3:$C$15,3,FALSE)+K325)</f>
        <v/>
      </c>
      <c r="Q325" s="45" t="inlineStr">
        <is>
          <t>tommorow</t>
        </is>
      </c>
    </row>
    <row r="326">
      <c r="C326" s="36" t="n"/>
      <c r="D326" s="36" t="n"/>
      <c r="E326" s="54" t="n"/>
      <c r="F326" s="36" t="n"/>
      <c r="G326" s="36" t="n"/>
      <c r="H326" s="30" t="n"/>
      <c r="I326" s="30" t="n">
        <v>0</v>
      </c>
      <c r="J326" s="31">
        <f>IF(H326="","",H326-I326)</f>
        <v/>
      </c>
      <c r="K326" s="43" t="n"/>
      <c r="L326" s="32">
        <f>IF(OR(K326="",$F326=""),"",DATE(YEAR(K326),MONTH(K326)+VLOOKUP($F326,'Membership Level'!$A$3:$B$15,2,FALSE),DAY(K326)))</f>
        <v/>
      </c>
      <c r="M326" s="36" t="n"/>
      <c r="N326" s="34">
        <f>IF($L326="","",DATE(YEAR($L326),MONTH($L326),DAY($L326)-$M326))</f>
        <v/>
      </c>
      <c r="O326" s="33">
        <f>IF($L326="","",IF(DAYS360(NOW(),$L326)&gt;=0,DAYS360(NOW(),$L326),""))</f>
        <v/>
      </c>
      <c r="P326" s="34">
        <f>IF(OR(H326="",H326=0,F326="",K326=""),"",I326/H326*VLOOKUP(F326,'Membership Level'!$A$3:$C$15,3,FALSE)+K326)</f>
        <v/>
      </c>
      <c r="Q326" s="36" t="n"/>
    </row>
    <row r="327">
      <c r="C327" s="36" t="n"/>
      <c r="D327" s="36" t="n"/>
      <c r="E327" s="54" t="n"/>
      <c r="F327" s="36" t="n"/>
      <c r="G327" s="36" t="n"/>
      <c r="H327" s="30" t="n"/>
      <c r="I327" s="30" t="n">
        <v>0</v>
      </c>
      <c r="J327" s="31">
        <f>IF(H327="","",H327-I327)</f>
        <v/>
      </c>
      <c r="K327" s="43" t="n"/>
      <c r="L327" s="32">
        <f>IF(OR(K327="",$F327=""),"",DATE(YEAR(K327),MONTH(K327)+VLOOKUP($F327,'Membership Level'!$A$3:$B$15,2,FALSE),DAY(K327)))</f>
        <v/>
      </c>
      <c r="M327" s="36" t="n"/>
      <c r="N327" s="34">
        <f>IF($L327="","",DATE(YEAR($L327),MONTH($L327),DAY($L327)-$M327))</f>
        <v/>
      </c>
      <c r="O327" s="33">
        <f>IF($L327="","",IF(DAYS360(NOW(),$L327)&gt;=0,DAYS360(NOW(),$L327),""))</f>
        <v/>
      </c>
      <c r="P327" s="34">
        <f>IF(OR(H327="",H327=0,F327="",K327=""),"",I327/H327*VLOOKUP(F327,'Membership Level'!$A$3:$C$15,3,FALSE)+K327)</f>
        <v/>
      </c>
      <c r="Q327" s="36" t="n"/>
    </row>
    <row r="328">
      <c r="C328" s="36" t="n"/>
      <c r="D328" s="36" t="n"/>
      <c r="E328" s="54" t="n"/>
      <c r="F328" s="36" t="n"/>
      <c r="G328" s="36" t="n"/>
      <c r="H328" s="30" t="n"/>
      <c r="I328" s="30" t="n">
        <v>0</v>
      </c>
      <c r="J328" s="31">
        <f>IF(H328="","",H328-I328)</f>
        <v/>
      </c>
      <c r="K328" s="43" t="n"/>
      <c r="L328" s="32">
        <f>IF(OR(K328="",$F328=""),"",DATE(YEAR(K328),MONTH(K328)+VLOOKUP($F328,'Membership Level'!$A$3:$B$15,2,FALSE),DAY(K328)))</f>
        <v/>
      </c>
      <c r="M328" s="36" t="n"/>
      <c r="N328" s="34">
        <f>IF($L328="","",DATE(YEAR($L328),MONTH($L328),DAY($L328)-$M328))</f>
        <v/>
      </c>
      <c r="O328" s="33">
        <f>IF($L328="","",IF(DAYS360(NOW(),$L328)&gt;=0,DAYS360(NOW(),$L328),""))</f>
        <v/>
      </c>
      <c r="P328" s="34">
        <f>IF(OR(H328="",H328=0,F328="",K328=""),"",I328/H328*VLOOKUP(F328,'Membership Level'!$A$3:$C$15,3,FALSE)+K328)</f>
        <v/>
      </c>
      <c r="Q328" s="36" t="n"/>
    </row>
    <row r="329">
      <c r="C329" s="36" t="n"/>
      <c r="D329" s="36" t="n"/>
      <c r="E329" s="54" t="n"/>
      <c r="F329" s="36" t="n"/>
      <c r="G329" s="36" t="n"/>
      <c r="H329" s="30" t="n"/>
      <c r="I329" s="30" t="n">
        <v>0</v>
      </c>
      <c r="J329" s="31">
        <f>IF(H329="","",H329-I329)</f>
        <v/>
      </c>
      <c r="K329" s="43" t="n"/>
      <c r="L329" s="32">
        <f>IF(OR(K329="",$F329=""),"",DATE(YEAR(K329),MONTH(K329)+VLOOKUP($F329,'Membership Level'!$A$3:$B$15,2,FALSE),DAY(K329)))</f>
        <v/>
      </c>
      <c r="M329" s="36" t="n"/>
      <c r="N329" s="34">
        <f>IF($L329="","",DATE(YEAR($L329),MONTH($L329),DAY($L329)-$M329))</f>
        <v/>
      </c>
      <c r="O329" s="33">
        <f>IF($L329="","",IF(DAYS360(NOW(),$L329)&gt;=0,DAYS360(NOW(),$L329),""))</f>
        <v/>
      </c>
      <c r="P329" s="34">
        <f>IF(OR(H329="",H329=0,F329="",K329=""),"",I329/H329*VLOOKUP(F329,'Membership Level'!$A$3:$C$15,3,FALSE)+K329)</f>
        <v/>
      </c>
      <c r="Q329" s="36" t="n"/>
    </row>
    <row r="330">
      <c r="C330" s="36" t="n"/>
      <c r="D330" s="36" t="n"/>
      <c r="E330" s="35" t="n"/>
      <c r="F330" s="36" t="n"/>
      <c r="G330" s="36" t="n"/>
      <c r="H330" s="30" t="n"/>
      <c r="I330" s="30" t="n">
        <v>0</v>
      </c>
      <c r="J330" s="31">
        <f>IF(H330="","",H330-I330)</f>
        <v/>
      </c>
      <c r="K330" s="43" t="n"/>
      <c r="L330" s="32">
        <f>IF(OR(K330="",$F330=""),"",DATE(YEAR(K330),MONTH(K330)+VLOOKUP($F330,'Membership Level'!$A$3:$B$15,2,FALSE),DAY(K330)))</f>
        <v/>
      </c>
      <c r="M330" s="36" t="n"/>
      <c r="N330" s="34">
        <f>IF($L330="","",DATE(YEAR($L330),MONTH($L330),DAY($L330)-$M330))</f>
        <v/>
      </c>
      <c r="O330" s="33">
        <f>IF($L330="","",IF(DAYS360(NOW(),$L330)&gt;=0,DAYS360(NOW(),$L330),""))</f>
        <v/>
      </c>
      <c r="P330" s="34">
        <f>IF(OR(H330="",H330=0,F330="",K330=""),"",I330/H330*VLOOKUP(F330,'Membership Level'!$A$3:$C$15,3,FALSE)+K330)</f>
        <v/>
      </c>
      <c r="Q330" s="36" t="n"/>
    </row>
    <row r="331">
      <c r="C331" s="36" t="n"/>
      <c r="D331" s="36" t="n"/>
      <c r="E331" s="35" t="n"/>
      <c r="F331" s="36" t="n"/>
      <c r="G331" s="36" t="n"/>
      <c r="H331" s="30" t="n"/>
      <c r="I331" s="30" t="n">
        <v>0</v>
      </c>
      <c r="J331" s="31">
        <f>IF(H331="","",H331-I331)</f>
        <v/>
      </c>
      <c r="K331" s="43" t="n"/>
      <c r="L331" s="32">
        <f>IF(OR(K331="",$F331=""),"",DATE(YEAR(K331),MONTH(K331)+VLOOKUP($F331,'Membership Level'!$A$3:$B$15,2,FALSE),DAY(K331)))</f>
        <v/>
      </c>
      <c r="M331" s="36" t="n"/>
      <c r="N331" s="34">
        <f>IF($L331="","",DATE(YEAR($L331),MONTH($L331),DAY($L331)-$M331))</f>
        <v/>
      </c>
      <c r="O331" s="33">
        <f>IF($L331="","",IF(DAYS360(NOW(),$L331)&gt;=0,DAYS360(NOW(),$L331),""))</f>
        <v/>
      </c>
      <c r="P331" s="34">
        <f>IF(OR(H331="",H331=0,F331="",K331=""),"",I331/H331*VLOOKUP(F331,'Membership Level'!$A$3:$C$15,3,FALSE)+K331)</f>
        <v/>
      </c>
      <c r="Q331" s="36" t="n"/>
    </row>
    <row r="332">
      <c r="C332" s="36" t="n"/>
      <c r="D332" s="36" t="n"/>
      <c r="E332" s="35" t="n"/>
      <c r="F332" s="36" t="n"/>
      <c r="G332" s="36" t="n"/>
      <c r="H332" s="30" t="n"/>
      <c r="I332" s="30" t="n">
        <v>0</v>
      </c>
      <c r="J332" s="31">
        <f>IF(H332="","",H332-I332)</f>
        <v/>
      </c>
      <c r="K332" s="43" t="n"/>
      <c r="L332" s="32">
        <f>IF(OR(K332="",$F332=""),"",DATE(YEAR(K332),MONTH(K332)+VLOOKUP($F332,'Membership Level'!$A$3:$B$15,2,FALSE),DAY(K332)))</f>
        <v/>
      </c>
      <c r="M332" s="36" t="n"/>
      <c r="N332" s="34">
        <f>IF($L332="","",DATE(YEAR($L332),MONTH($L332),DAY($L332)-$M332))</f>
        <v/>
      </c>
      <c r="O332" s="33">
        <f>IF($L332="","",IF(DAYS360(NOW(),$L332)&gt;=0,DAYS360(NOW(),$L332),""))</f>
        <v/>
      </c>
      <c r="P332" s="34">
        <f>IF(OR(H332="",H332=0,F332="",K332=""),"",I332/H332*VLOOKUP(F332,'Membership Level'!$A$3:$C$15,3,FALSE)+K332)</f>
        <v/>
      </c>
      <c r="Q332" s="36" t="n"/>
    </row>
    <row r="333">
      <c r="C333" s="36" t="n"/>
      <c r="D333" s="36" t="n"/>
      <c r="E333" s="35" t="n"/>
      <c r="F333" s="36" t="n"/>
      <c r="G333" s="36" t="n"/>
      <c r="H333" s="30" t="n"/>
      <c r="I333" s="30" t="n">
        <v>0</v>
      </c>
      <c r="J333" s="31">
        <f>IF(H333="","",H333-I333)</f>
        <v/>
      </c>
      <c r="K333" s="43" t="n"/>
      <c r="L333" s="32">
        <f>IF(OR(K333="",$F333=""),"",DATE(YEAR(K333),MONTH(K333)+VLOOKUP($F333,'Membership Level'!$A$3:$B$15,2,FALSE),DAY(K333)))</f>
        <v/>
      </c>
      <c r="M333" s="36" t="n"/>
      <c r="N333" s="34">
        <f>IF($L333="","",DATE(YEAR($L333),MONTH($L333),DAY($L333)-$M333))</f>
        <v/>
      </c>
      <c r="O333" s="33">
        <f>IF($L333="","",IF(DAYS360(NOW(),$L333)&gt;=0,DAYS360(NOW(),$L333),""))</f>
        <v/>
      </c>
      <c r="P333" s="34">
        <f>IF(OR(H333="",H333=0,F333="",K333=""),"",I333/H333*VLOOKUP(F333,'Membership Level'!$A$3:$C$15,3,FALSE)+K333)</f>
        <v/>
      </c>
      <c r="Q333" s="36" t="n"/>
    </row>
    <row r="334" customFormat="1" s="47">
      <c r="C334" s="36" t="n"/>
      <c r="D334" s="36" t="n"/>
      <c r="E334" s="35" t="n"/>
      <c r="F334" s="36" t="n"/>
      <c r="G334" s="36" t="n"/>
      <c r="H334" s="30" t="n"/>
      <c r="I334" s="30" t="n">
        <v>0</v>
      </c>
      <c r="J334" s="31">
        <f>IF(H334="","",H334-I334)</f>
        <v/>
      </c>
      <c r="K334" s="43" t="n"/>
      <c r="L334" s="32">
        <f>IF(OR(K334="",$F334=""),"",DATE(YEAR(K334),MONTH(K334)+VLOOKUP($F334,'Membership Level'!$A$3:$B$15,2,FALSE),DAY(K334)))</f>
        <v/>
      </c>
      <c r="M334" s="36" t="n"/>
      <c r="N334" s="34">
        <f>IF($L334="","",DATE(YEAR($L334),MONTH($L334),DAY($L334)-$M334))</f>
        <v/>
      </c>
      <c r="O334" s="33">
        <f>IF($L334="","",IF(DAYS360(NOW(),$L334)&gt;=0,DAYS360(NOW(),$L334),""))</f>
        <v/>
      </c>
      <c r="P334" s="34">
        <f>IF(OR(H334="",H334=0,F334="",K334=""),"",I334/H334*VLOOKUP(F334,'Membership Level'!$A$3:$C$15,3,FALSE)+K334)</f>
        <v/>
      </c>
      <c r="Q334" s="36" t="n"/>
    </row>
    <row r="335" customFormat="1" s="47">
      <c r="C335" s="36" t="n"/>
      <c r="D335" s="36" t="n"/>
      <c r="E335" s="35" t="n"/>
      <c r="F335" s="36" t="n"/>
      <c r="G335" s="36" t="n"/>
      <c r="H335" s="30" t="n"/>
      <c r="I335" s="30" t="n">
        <v>0</v>
      </c>
      <c r="J335" s="31">
        <f>IF(H335="","",H335-I335)</f>
        <v/>
      </c>
      <c r="K335" s="43" t="n"/>
      <c r="L335" s="32">
        <f>IF(OR(K335="",$F335=""),"",DATE(YEAR(K335),MONTH(K335)+VLOOKUP($F335,'Membership Level'!$A$3:$B$15,2,FALSE),DAY(K335)))</f>
        <v/>
      </c>
      <c r="M335" s="36" t="n"/>
      <c r="N335" s="34">
        <f>IF($L335="","",DATE(YEAR($L335),MONTH($L335),DAY($L335)-$M335))</f>
        <v/>
      </c>
      <c r="O335" s="33">
        <f>IF($L335="","",IF(DAYS360(NOW(),$L335)&gt;=0,DAYS360(NOW(),$L335),""))</f>
        <v/>
      </c>
      <c r="P335" s="34">
        <f>IF(OR(H335="",H335=0,F335="",K335=""),"",I335/H335*VLOOKUP(F335,'Membership Level'!$A$3:$C$15,3,FALSE)+K335)</f>
        <v/>
      </c>
      <c r="Q335" s="36" t="n"/>
    </row>
    <row r="336">
      <c r="C336" s="36" t="n"/>
      <c r="D336" s="36" t="n"/>
      <c r="E336" s="35" t="n"/>
      <c r="F336" s="36" t="n"/>
      <c r="G336" s="36" t="n"/>
      <c r="H336" s="30" t="n"/>
      <c r="I336" s="30" t="n">
        <v>0</v>
      </c>
      <c r="J336" s="31">
        <f>IF(H336="","",H336-I336)</f>
        <v/>
      </c>
      <c r="K336" s="43" t="n"/>
      <c r="L336" s="32">
        <f>IF(OR(K336="",$F336=""),"",DATE(YEAR(K336),MONTH(K336)+VLOOKUP($F336,'Membership Level'!$A$3:$B$15,2,FALSE),DAY(K336)))</f>
        <v/>
      </c>
      <c r="M336" s="36" t="n"/>
      <c r="N336" s="34">
        <f>IF($L336="","",DATE(YEAR($L336),MONTH($L336),DAY($L336)-$M336))</f>
        <v/>
      </c>
      <c r="O336" s="33">
        <f>IF($L336="","",IF(DAYS360(NOW(),$L336)&gt;=0,DAYS360(NOW(),$L336),""))</f>
        <v/>
      </c>
      <c r="P336" s="34">
        <f>IF(OR(H336="",H336=0,F336="",K336=""),"",I336/H336*VLOOKUP(F336,'Membership Level'!$A$3:$C$15,3,FALSE)+K336)</f>
        <v/>
      </c>
      <c r="Q336" s="36" t="n"/>
    </row>
    <row r="337">
      <c r="C337" s="36" t="n"/>
      <c r="D337" s="36" t="n"/>
      <c r="E337" s="35" t="n"/>
      <c r="F337" s="36" t="n"/>
      <c r="G337" s="36" t="n"/>
      <c r="H337" s="30" t="n"/>
      <c r="I337" s="30" t="n">
        <v>0</v>
      </c>
      <c r="J337" s="31">
        <f>IF(H337="","",H337-I337)</f>
        <v/>
      </c>
      <c r="K337" s="43" t="n"/>
      <c r="L337" s="32">
        <f>IF(OR(K337="",$F337=""),"",DATE(YEAR(K337),MONTH(K337)+VLOOKUP($F337,'Membership Level'!$A$3:$B$15,2,FALSE),DAY(K337)))</f>
        <v/>
      </c>
      <c r="M337" s="36" t="n"/>
      <c r="N337" s="34">
        <f>IF($L337="","",DATE(YEAR($L337),MONTH($L337),DAY($L337)-$M337))</f>
        <v/>
      </c>
      <c r="O337" s="33">
        <f>IF($L337="","",IF(DAYS360(NOW(),$L337)&gt;=0,DAYS360(NOW(),$L337),""))</f>
        <v/>
      </c>
      <c r="P337" s="34">
        <f>IF(OR(H337="",H337=0,F337="",K337=""),"",I337/H337*VLOOKUP(F337,'Membership Level'!$A$3:$C$15,3,FALSE)+K337)</f>
        <v/>
      </c>
      <c r="Q337" s="36" t="n"/>
    </row>
    <row r="338">
      <c r="C338" s="36" t="n"/>
      <c r="D338" s="36" t="n"/>
      <c r="E338" s="35" t="n"/>
      <c r="F338" s="36" t="n"/>
      <c r="G338" s="36" t="n"/>
      <c r="H338" s="30" t="n"/>
      <c r="I338" s="30" t="n">
        <v>0</v>
      </c>
      <c r="J338" s="31">
        <f>IF(H338="","",H338-I338)</f>
        <v/>
      </c>
      <c r="K338" s="43" t="n"/>
      <c r="L338" s="32">
        <f>IF(OR(K338="",$F338=""),"",DATE(YEAR(K338),MONTH(K338)+VLOOKUP($F338,'Membership Level'!$A$3:$B$15,2,FALSE),DAY(K338)))</f>
        <v/>
      </c>
      <c r="M338" s="36" t="n"/>
      <c r="N338" s="34">
        <f>IF($L338="","",DATE(YEAR($L338),MONTH($L338),DAY($L338)-$M338))</f>
        <v/>
      </c>
      <c r="O338" s="33">
        <f>IF($L338="","",IF(DAYS360(NOW(),$L338)&gt;=0,DAYS360(NOW(),$L338),""))</f>
        <v/>
      </c>
      <c r="P338" s="34">
        <f>IF(OR(H338="",H338=0,F338="",K338=""),"",I338/H338*VLOOKUP(F338,'Membership Level'!$A$3:$C$15,3,FALSE)+K338)</f>
        <v/>
      </c>
      <c r="Q338" s="36" t="n"/>
    </row>
    <row r="339">
      <c r="C339" s="36" t="n"/>
      <c r="D339" s="36" t="n"/>
      <c r="E339" s="35" t="n"/>
      <c r="F339" s="36" t="n"/>
      <c r="G339" s="36" t="n"/>
      <c r="H339" s="30" t="n"/>
      <c r="I339" s="30" t="n">
        <v>0</v>
      </c>
      <c r="J339" s="31">
        <f>IF(H339="","",H339-I339)</f>
        <v/>
      </c>
      <c r="K339" s="43" t="n"/>
      <c r="L339" s="32">
        <f>IF(OR(K339="",$F339=""),"",DATE(YEAR(K339),MONTH(K339)+VLOOKUP($F339,'Membership Level'!$A$3:$B$15,2,FALSE),DAY(K339)))</f>
        <v/>
      </c>
      <c r="M339" s="36" t="n"/>
      <c r="N339" s="34">
        <f>IF($L339="","",DATE(YEAR($L339),MONTH($L339),DAY($L339)-$M339))</f>
        <v/>
      </c>
      <c r="O339" s="33">
        <f>IF($L339="","",IF(DAYS360(NOW(),$L339)&gt;=0,DAYS360(NOW(),$L339),""))</f>
        <v/>
      </c>
      <c r="P339" s="34">
        <f>IF(OR(H339="",H339=0,F339="",K339=""),"",I339/H339*VLOOKUP(F339,'Membership Level'!$A$3:$C$15,3,FALSE)+K339)</f>
        <v/>
      </c>
      <c r="Q339" s="36" t="n"/>
    </row>
    <row r="340">
      <c r="C340" s="36" t="n"/>
      <c r="D340" s="36" t="n"/>
      <c r="E340" s="35" t="n"/>
      <c r="F340" s="36" t="n"/>
      <c r="G340" s="36" t="n"/>
      <c r="H340" s="30" t="n"/>
      <c r="I340" s="30" t="n">
        <v>0</v>
      </c>
      <c r="J340" s="31">
        <f>IF(H340="","",H340-I340)</f>
        <v/>
      </c>
      <c r="K340" s="43" t="n"/>
      <c r="L340" s="32">
        <f>IF(OR(K340="",$F340=""),"",DATE(YEAR(K340),MONTH(K340)+VLOOKUP($F340,'Membership Level'!$A$3:$B$15,2,FALSE),DAY(K340)))</f>
        <v/>
      </c>
      <c r="M340" s="36" t="n"/>
      <c r="N340" s="34">
        <f>IF($L340="","",DATE(YEAR($L340),MONTH($L340),DAY($L340)-$M340))</f>
        <v/>
      </c>
      <c r="O340" s="33">
        <f>IF($L340="","",IF(DAYS360(NOW(),$L340)&gt;=0,DAYS360(NOW(),$L340),""))</f>
        <v/>
      </c>
      <c r="P340" s="34">
        <f>IF(OR(H340="",H340=0,F340="",K340=""),"",I340/H340*VLOOKUP(F340,'Membership Level'!$A$3:$C$15,3,FALSE)+K340)</f>
        <v/>
      </c>
      <c r="Q340" s="36" t="n"/>
    </row>
    <row r="341">
      <c r="C341" s="36" t="n"/>
      <c r="D341" s="36" t="n"/>
      <c r="E341" s="35" t="n"/>
      <c r="F341" s="36" t="n"/>
      <c r="G341" s="36" t="n"/>
      <c r="H341" s="30" t="n"/>
      <c r="I341" s="30" t="n">
        <v>0</v>
      </c>
      <c r="J341" s="31">
        <f>IF(H341="","",H341-I341)</f>
        <v/>
      </c>
      <c r="K341" s="43" t="n"/>
      <c r="L341" s="32">
        <f>IF(OR(K341="",$F341=""),"",DATE(YEAR(K341),MONTH(K341)+VLOOKUP($F341,'Membership Level'!$A$3:$B$15,2,FALSE),DAY(K341)))</f>
        <v/>
      </c>
      <c r="M341" s="36" t="n"/>
      <c r="N341" s="34">
        <f>IF($L341="","",DATE(YEAR($L341),MONTH($L341),DAY($L341)-$M341))</f>
        <v/>
      </c>
      <c r="O341" s="33">
        <f>IF($L341="","",IF(DAYS360(NOW(),$L341)&gt;=0,DAYS360(NOW(),$L341),""))</f>
        <v/>
      </c>
      <c r="P341" s="34">
        <f>IF(OR(H341="",H341=0,F341="",K341=""),"",I341/H341*VLOOKUP(F341,'Membership Level'!$A$3:$C$15,3,FALSE)+K341)</f>
        <v/>
      </c>
      <c r="Q341" s="36" t="n"/>
    </row>
    <row r="342">
      <c r="C342" s="36" t="n"/>
      <c r="D342" s="36" t="n"/>
      <c r="E342" s="35" t="n"/>
      <c r="F342" s="36" t="n"/>
      <c r="G342" s="36" t="n"/>
      <c r="H342" s="30" t="n"/>
      <c r="I342" s="30" t="n">
        <v>0</v>
      </c>
      <c r="J342" s="31">
        <f>IF(H342="","",H342-I342)</f>
        <v/>
      </c>
      <c r="K342" s="43" t="n"/>
      <c r="L342" s="32">
        <f>IF(OR(K342="",$F342=""),"",DATE(YEAR(K342),MONTH(K342)+VLOOKUP($F342,'Membership Level'!$A$3:$B$15,2,FALSE),DAY(K342)))</f>
        <v/>
      </c>
      <c r="M342" s="36" t="n"/>
      <c r="N342" s="34">
        <f>IF($L342="","",DATE(YEAR($L342),MONTH($L342),DAY($L342)-$M342))</f>
        <v/>
      </c>
      <c r="O342" s="33">
        <f>IF($L342="","",IF(DAYS360(NOW(),$L342)&gt;=0,DAYS360(NOW(),$L342),""))</f>
        <v/>
      </c>
      <c r="P342" s="34">
        <f>IF(OR(H342="",H342=0,F342="",K342=""),"",I342/H342*VLOOKUP(F342,'Membership Level'!$A$3:$C$15,3,FALSE)+K342)</f>
        <v/>
      </c>
      <c r="Q342" s="36" t="n"/>
    </row>
    <row r="343">
      <c r="C343" s="36" t="n"/>
      <c r="D343" s="36" t="n"/>
      <c r="E343" s="35" t="n"/>
      <c r="F343" s="36" t="n"/>
      <c r="G343" s="36" t="n"/>
      <c r="H343" s="30" t="n"/>
      <c r="I343" s="30" t="n">
        <v>0</v>
      </c>
      <c r="J343" s="31">
        <f>IF(H343="","",H343-I343)</f>
        <v/>
      </c>
      <c r="K343" s="43" t="n"/>
      <c r="L343" s="32">
        <f>IF(OR(K343="",$F343=""),"",DATE(YEAR(K343),MONTH(K343)+VLOOKUP($F343,'Membership Level'!$A$3:$B$15,2,FALSE),DAY(K343)))</f>
        <v/>
      </c>
      <c r="M343" s="36" t="n"/>
      <c r="N343" s="34">
        <f>IF($L343="","",DATE(YEAR($L343),MONTH($L343),DAY($L343)-$M343))</f>
        <v/>
      </c>
      <c r="O343" s="33">
        <f>IF($L343="","",IF(DAYS360(NOW(),$L343)&gt;=0,DAYS360(NOW(),$L343),""))</f>
        <v/>
      </c>
      <c r="P343" s="34">
        <f>IF(OR(H343="",H343=0,F343="",K343=""),"",I343/H343*VLOOKUP(F343,'Membership Level'!$A$3:$C$15,3,FALSE)+K343)</f>
        <v/>
      </c>
      <c r="Q343" s="36" t="n"/>
    </row>
    <row r="344">
      <c r="C344" s="36" t="n"/>
      <c r="D344" s="36" t="n"/>
      <c r="E344" s="35" t="n"/>
      <c r="F344" s="36" t="n"/>
      <c r="G344" s="36" t="n"/>
      <c r="H344" s="30" t="n"/>
      <c r="I344" s="30" t="n">
        <v>0</v>
      </c>
      <c r="J344" s="31">
        <f>IF(H344="","",H344-I344)</f>
        <v/>
      </c>
      <c r="K344" s="43" t="n"/>
      <c r="L344" s="32">
        <f>IF(OR(K344="",$F344=""),"",DATE(YEAR(K344),MONTH(K344)+VLOOKUP($F344,'Membership Level'!$A$3:$B$15,2,FALSE),DAY(K344)))</f>
        <v/>
      </c>
      <c r="M344" s="36" t="n"/>
      <c r="N344" s="34">
        <f>IF($L344="","",DATE(YEAR($L344),MONTH($L344),DAY($L344)-$M344))</f>
        <v/>
      </c>
      <c r="O344" s="33">
        <f>IF($L344="","",IF(DAYS360(NOW(),$L344)&gt;=0,DAYS360(NOW(),$L344),""))</f>
        <v/>
      </c>
      <c r="P344" s="34">
        <f>IF(OR(H344="",H344=0,F344="",K344=""),"",I344/H344*VLOOKUP(F344,'Membership Level'!$A$3:$C$15,3,FALSE)+K344)</f>
        <v/>
      </c>
      <c r="Q344" s="36" t="n"/>
    </row>
    <row r="345">
      <c r="C345" s="36" t="n"/>
      <c r="D345" s="36" t="n"/>
      <c r="E345" s="35" t="n"/>
      <c r="F345" s="36" t="n"/>
      <c r="G345" s="36" t="n"/>
      <c r="H345" s="30" t="n"/>
      <c r="I345" s="30" t="n">
        <v>0</v>
      </c>
      <c r="J345" s="31">
        <f>IF(H345="","",H345-I345)</f>
        <v/>
      </c>
      <c r="K345" s="43" t="n"/>
      <c r="L345" s="32">
        <f>IF(OR(K345="",$F345=""),"",DATE(YEAR(K345),MONTH(K345)+VLOOKUP($F345,'Membership Level'!$A$3:$B$15,2,FALSE),DAY(K345)))</f>
        <v/>
      </c>
      <c r="M345" s="36" t="n"/>
      <c r="N345" s="34">
        <f>IF($L345="","",DATE(YEAR($L345),MONTH($L345),DAY($L345)-$M345))</f>
        <v/>
      </c>
      <c r="O345" s="33">
        <f>IF($L345="","",IF(DAYS360(NOW(),$L345)&gt;=0,DAYS360(NOW(),$L345),""))</f>
        <v/>
      </c>
      <c r="P345" s="34">
        <f>IF(OR(H345="",H345=0,F345="",K345=""),"",I345/H345*VLOOKUP(F345,'Membership Level'!$A$3:$C$15,3,FALSE)+K345)</f>
        <v/>
      </c>
      <c r="Q345" s="36" t="n"/>
    </row>
    <row r="346">
      <c r="C346" s="36" t="n"/>
      <c r="D346" s="36" t="n"/>
      <c r="E346" s="35" t="n"/>
      <c r="F346" s="36" t="n"/>
      <c r="G346" s="36" t="n"/>
      <c r="H346" s="30" t="n"/>
      <c r="I346" s="30" t="n">
        <v>0</v>
      </c>
      <c r="J346" s="31">
        <f>IF(H346="","",H346-I346)</f>
        <v/>
      </c>
      <c r="K346" s="43" t="n"/>
      <c r="L346" s="32">
        <f>IF(OR(K346="",$F346=""),"",DATE(YEAR(K346),MONTH(K346)+VLOOKUP($F346,'Membership Level'!$A$3:$B$15,2,FALSE),DAY(K346)))</f>
        <v/>
      </c>
      <c r="M346" s="36" t="n"/>
      <c r="N346" s="34">
        <f>IF($L346="","",DATE(YEAR($L346),MONTH($L346),DAY($L346)-$M346))</f>
        <v/>
      </c>
      <c r="O346" s="33">
        <f>IF($L346="","",IF(DAYS360(NOW(),$L346)&gt;=0,DAYS360(NOW(),$L346),""))</f>
        <v/>
      </c>
      <c r="P346" s="34">
        <f>IF(OR(H346="",H346=0,F346="",K346=""),"",I346/H346*VLOOKUP(F346,'Membership Level'!$A$3:$C$15,3,FALSE)+K346)</f>
        <v/>
      </c>
      <c r="Q346" s="36" t="n"/>
    </row>
    <row r="347">
      <c r="C347" s="36" t="n"/>
      <c r="D347" s="36" t="n"/>
      <c r="E347" s="35" t="n"/>
      <c r="F347" s="36" t="n"/>
      <c r="G347" s="36" t="n"/>
      <c r="H347" s="30" t="n"/>
      <c r="I347" s="30" t="n">
        <v>0</v>
      </c>
      <c r="J347" s="31">
        <f>IF(H347="","",H347-I347)</f>
        <v/>
      </c>
      <c r="K347" s="43" t="n"/>
      <c r="L347" s="32">
        <f>IF(OR(K347="",$F347=""),"",DATE(YEAR(K347),MONTH(K347)+VLOOKUP($F347,'Membership Level'!$A$3:$B$15,2,FALSE),DAY(K347)))</f>
        <v/>
      </c>
      <c r="M347" s="36" t="n"/>
      <c r="N347" s="34">
        <f>IF($L347="","",DATE(YEAR($L347),MONTH($L347),DAY($L347)-$M347))</f>
        <v/>
      </c>
      <c r="O347" s="33">
        <f>IF($L347="","",IF(DAYS360(NOW(),$L347)&gt;=0,DAYS360(NOW(),$L347),""))</f>
        <v/>
      </c>
      <c r="P347" s="34">
        <f>IF(OR(H347="",H347=0,F347="",K347=""),"",I347/H347*VLOOKUP(F347,'Membership Level'!$A$3:$C$15,3,FALSE)+K347)</f>
        <v/>
      </c>
      <c r="Q347" s="36" t="n"/>
    </row>
    <row r="348">
      <c r="C348" s="36" t="n"/>
      <c r="D348" s="36" t="n"/>
      <c r="E348" s="66" t="n"/>
      <c r="F348" s="36" t="n"/>
      <c r="G348" s="36" t="n"/>
      <c r="H348" s="30" t="n"/>
      <c r="I348" s="30" t="n">
        <v>0</v>
      </c>
      <c r="J348" s="31">
        <f>IF(H348="","",H348-I348)</f>
        <v/>
      </c>
      <c r="K348" s="43" t="n"/>
      <c r="L348" s="32">
        <f>IF(OR(K348="",$F348=""),"",DATE(YEAR(K348),MONTH(K348)+VLOOKUP($F348,'Membership Level'!$A$3:$B$15,2,FALSE),DAY(K348)))</f>
        <v/>
      </c>
      <c r="M348" s="36" t="n"/>
      <c r="N348" s="34">
        <f>IF($L348="","",DATE(YEAR($L348),MONTH($L348),DAY($L348)-$M348))</f>
        <v/>
      </c>
      <c r="O348" s="33">
        <f>IF($L348="","",IF(DAYS360(NOW(),$L348)&gt;=0,DAYS360(NOW(),$L348),""))</f>
        <v/>
      </c>
      <c r="P348" s="34">
        <f>IF(OR(H348="",H348=0,F348="",K348=""),"",I348/H348*VLOOKUP(F348,'Membership Level'!$A$3:$C$15,3,FALSE)+K348)</f>
        <v/>
      </c>
      <c r="Q348" s="35" t="n"/>
    </row>
    <row r="349">
      <c r="C349" s="36" t="n"/>
      <c r="D349" s="36" t="n"/>
      <c r="E349" s="35" t="n"/>
      <c r="F349" s="36" t="n"/>
      <c r="G349" s="36" t="n"/>
      <c r="H349" s="30" t="n"/>
      <c r="I349" s="30" t="n">
        <v>0</v>
      </c>
      <c r="J349" s="31">
        <f>IF(H349="","",H349-I349)</f>
        <v/>
      </c>
      <c r="K349" s="43" t="n"/>
      <c r="L349" s="32">
        <f>IF(OR(K349="",$F349=""),"",DATE(YEAR(K349),MONTH(K349)+VLOOKUP($F349,'Membership Level'!$A$3:$B$15,2,FALSE),DAY(K349)))</f>
        <v/>
      </c>
      <c r="M349" s="36" t="n"/>
      <c r="N349" s="34">
        <f>IF($L349="","",DATE(YEAR($L349),MONTH($L349),DAY($L349)-$M349))</f>
        <v/>
      </c>
      <c r="O349" s="33">
        <f>IF($L349="","",IF(DAYS360(NOW(),$L349)&gt;=0,DAYS360(NOW(),$L349),""))</f>
        <v/>
      </c>
      <c r="P349" s="34">
        <f>IF(OR(H349="",H349=0,F349="",K349=""),"",I349/H349*VLOOKUP(F349,'Membership Level'!$A$3:$C$15,3,FALSE)+K349)</f>
        <v/>
      </c>
      <c r="Q349" s="36" t="n"/>
    </row>
    <row r="350">
      <c r="C350" s="36" t="n"/>
      <c r="D350" s="36" t="n"/>
      <c r="E350" s="35" t="n"/>
      <c r="F350" s="36" t="n"/>
      <c r="G350" s="36" t="n"/>
      <c r="H350" s="30" t="n"/>
      <c r="I350" s="30" t="n">
        <v>0</v>
      </c>
      <c r="J350" s="31">
        <f>IF(H350="","",H350-I350)</f>
        <v/>
      </c>
      <c r="K350" s="43" t="n"/>
      <c r="L350" s="32">
        <f>IF(OR(K350="",$F350=""),"",DATE(YEAR(K350),MONTH(K350)+VLOOKUP($F350,'Membership Level'!$A$3:$B$15,2,FALSE),DAY(K350)))</f>
        <v/>
      </c>
      <c r="M350" s="36" t="n"/>
      <c r="N350" s="34">
        <f>IF($L350="","",DATE(YEAR($L350),MONTH($L350),DAY($L350)-$M350))</f>
        <v/>
      </c>
      <c r="O350" s="33">
        <f>IF($L350="","",IF(DAYS360(NOW(),$L350)&gt;=0,DAYS360(NOW(),$L350),""))</f>
        <v/>
      </c>
      <c r="P350" s="34">
        <f>IF(OR(H350="",H350=0,F350="",K350=""),"",I350/H350*VLOOKUP(F350,'Membership Level'!$A$3:$C$15,3,FALSE)+K350)</f>
        <v/>
      </c>
      <c r="Q350" s="36" t="n"/>
    </row>
    <row r="351">
      <c r="C351" s="36" t="n"/>
      <c r="D351" s="36" t="n"/>
      <c r="E351" s="35" t="n"/>
      <c r="F351" s="36" t="n"/>
      <c r="G351" s="36" t="n"/>
      <c r="H351" s="30" t="n"/>
      <c r="I351" s="30" t="n">
        <v>0</v>
      </c>
      <c r="J351" s="31">
        <f>IF(H351="","",H351-I351)</f>
        <v/>
      </c>
      <c r="K351" s="43" t="n"/>
      <c r="L351" s="32">
        <f>IF(OR(K351="",$F351=""),"",DATE(YEAR(K351),MONTH(K351)+VLOOKUP($F351,'Membership Level'!$A$3:$B$15,2,FALSE),DAY(K351)))</f>
        <v/>
      </c>
      <c r="M351" s="36" t="n"/>
      <c r="N351" s="34">
        <f>IF($L351="","",DATE(YEAR($L351),MONTH($L351),DAY($L351)-$M351))</f>
        <v/>
      </c>
      <c r="O351" s="33">
        <f>IF($L351="","",IF(DAYS360(NOW(),$L351)&gt;=0,DAYS360(NOW(),$L351),""))</f>
        <v/>
      </c>
      <c r="P351" s="34">
        <f>IF(OR(H351="",H351=0,F351="",K351=""),"",I351/H351*VLOOKUP(F351,'Membership Level'!$A$3:$C$15,3,FALSE)+K351)</f>
        <v/>
      </c>
      <c r="Q351" s="36" t="n"/>
    </row>
    <row r="352">
      <c r="C352" s="36" t="n"/>
      <c r="D352" s="36" t="n"/>
      <c r="E352" s="35" t="n"/>
      <c r="F352" s="36" t="n"/>
      <c r="G352" s="36" t="n"/>
      <c r="H352" s="30" t="n"/>
      <c r="I352" s="30" t="n">
        <v>0</v>
      </c>
      <c r="J352" s="31">
        <f>IF(H352="","",H352-I352)</f>
        <v/>
      </c>
      <c r="K352" s="43" t="n"/>
      <c r="L352" s="32">
        <f>IF(OR(K352="",$F352=""),"",DATE(YEAR(K352),MONTH(K352)+VLOOKUP($F352,'Membership Level'!$A$3:$B$15,2,FALSE),DAY(K352)))</f>
        <v/>
      </c>
      <c r="M352" s="36" t="n"/>
      <c r="N352" s="34">
        <f>IF($L352="","",DATE(YEAR($L352),MONTH($L352),DAY($L352)-$M352))</f>
        <v/>
      </c>
      <c r="O352" s="33">
        <f>IF($L352="","",IF(DAYS360(NOW(),$L352)&gt;=0,DAYS360(NOW(),$L352),""))</f>
        <v/>
      </c>
      <c r="P352" s="34">
        <f>IF(OR(H352="",H352=0,F352="",K352=""),"",I352/H352*VLOOKUP(F352,'Membership Level'!$A$3:$C$15,3,FALSE)+K352)</f>
        <v/>
      </c>
      <c r="Q352" s="36" t="n"/>
    </row>
    <row r="353">
      <c r="C353" s="36" t="n"/>
      <c r="D353" s="36" t="n"/>
      <c r="E353" s="35" t="n"/>
      <c r="F353" s="36" t="n"/>
      <c r="G353" s="36" t="n"/>
      <c r="H353" s="30" t="n"/>
      <c r="I353" s="30" t="n">
        <v>0</v>
      </c>
      <c r="J353" s="31">
        <f>IF(H353="","",H353-I353)</f>
        <v/>
      </c>
      <c r="K353" s="43" t="n"/>
      <c r="L353" s="32">
        <f>IF(OR(K353="",$F353=""),"",DATE(YEAR(K353),MONTH(K353)+VLOOKUP($F353,'Membership Level'!$A$3:$B$15,2,FALSE),DAY(K353)))</f>
        <v/>
      </c>
      <c r="M353" s="36" t="n"/>
      <c r="N353" s="34">
        <f>IF($L353="","",DATE(YEAR($L353),MONTH($L353),DAY($L353)-$M353))</f>
        <v/>
      </c>
      <c r="O353" s="33">
        <f>IF($L353="","",IF(DAYS360(NOW(),$L353)&gt;=0,DAYS360(NOW(),$L353),""))</f>
        <v/>
      </c>
      <c r="P353" s="34">
        <f>IF(OR(H353="",H353=0,F353="",K353=""),"",I353/H353*VLOOKUP(F353,'Membership Level'!$A$3:$C$15,3,FALSE)+K353)</f>
        <v/>
      </c>
      <c r="Q353" s="36" t="n"/>
    </row>
    <row r="354">
      <c r="C354" s="36" t="n"/>
      <c r="D354" s="36" t="n"/>
      <c r="E354" s="35" t="n"/>
      <c r="F354" s="36" t="n"/>
      <c r="G354" s="36" t="n"/>
      <c r="H354" s="30" t="n"/>
      <c r="I354" s="30" t="n">
        <v>0</v>
      </c>
      <c r="J354" s="31">
        <f>IF(H354="","",H354-I354)</f>
        <v/>
      </c>
      <c r="K354" s="43" t="n"/>
      <c r="L354" s="32">
        <f>IF(OR(K354="",$F354=""),"",DATE(YEAR(K354),MONTH(K354)+VLOOKUP($F354,'Membership Level'!$A$3:$B$15,2,FALSE),DAY(K354)))</f>
        <v/>
      </c>
      <c r="M354" s="36" t="n"/>
      <c r="N354" s="34">
        <f>IF($L354="","",DATE(YEAR($L354),MONTH($L354),DAY($L354)-$M354))</f>
        <v/>
      </c>
      <c r="O354" s="33">
        <f>IF($L354="","",IF(DAYS360(NOW(),$L354)&gt;=0,DAYS360(NOW(),$L354),""))</f>
        <v/>
      </c>
      <c r="P354" s="34">
        <f>IF(OR(H354="",H354=0,F354="",K354=""),"",I354/H354*VLOOKUP(F354,'Membership Level'!$A$3:$C$15,3,FALSE)+K354)</f>
        <v/>
      </c>
      <c r="Q354" s="36" t="n"/>
    </row>
    <row r="355">
      <c r="C355" s="36" t="n"/>
      <c r="D355" s="36" t="n"/>
      <c r="E355" s="35" t="n"/>
      <c r="F355" s="36" t="n"/>
      <c r="G355" s="36" t="n"/>
      <c r="H355" s="30" t="n"/>
      <c r="I355" s="30" t="n">
        <v>0</v>
      </c>
      <c r="J355" s="31">
        <f>IF(H355="","",H355-I355)</f>
        <v/>
      </c>
      <c r="K355" s="43" t="n"/>
      <c r="L355" s="32">
        <f>IF(OR(K355="",$F355=""),"",DATE(YEAR(K355),MONTH(K355)+VLOOKUP($F355,'Membership Level'!$A$3:$B$15,2,FALSE),DAY(K355)))</f>
        <v/>
      </c>
      <c r="M355" s="36" t="n"/>
      <c r="N355" s="34">
        <f>IF($L355="","",DATE(YEAR($L355),MONTH($L355),DAY($L355)-$M355))</f>
        <v/>
      </c>
      <c r="O355" s="33">
        <f>IF($L355="","",IF(DAYS360(NOW(),$L355)&gt;=0,DAYS360(NOW(),$L355),""))</f>
        <v/>
      </c>
      <c r="P355" s="34">
        <f>IF(OR(H355="",H355=0,F355="",K355=""),"",I355/H355*VLOOKUP(F355,'Membership Level'!$A$3:$C$15,3,FALSE)+K355)</f>
        <v/>
      </c>
      <c r="Q355" s="36" t="n"/>
    </row>
    <row r="356">
      <c r="C356" s="36" t="n"/>
      <c r="D356" s="36" t="n"/>
      <c r="E356" s="35" t="n"/>
      <c r="F356" s="36" t="n"/>
      <c r="G356" s="36" t="n"/>
      <c r="H356" s="30" t="n"/>
      <c r="I356" s="30" t="n">
        <v>0</v>
      </c>
      <c r="J356" s="31">
        <f>IF(H356="","",H356-I356)</f>
        <v/>
      </c>
      <c r="K356" s="43" t="n"/>
      <c r="L356" s="32">
        <f>IF(OR(K356="",$F356=""),"",DATE(YEAR(K356),MONTH(K356)+VLOOKUP($F356,'Membership Level'!$A$3:$B$15,2,FALSE),DAY(K356)))</f>
        <v/>
      </c>
      <c r="M356" s="36" t="n"/>
      <c r="N356" s="34">
        <f>IF($L356="","",DATE(YEAR($L356),MONTH($L356),DAY($L356)-$M356))</f>
        <v/>
      </c>
      <c r="O356" s="33">
        <f>IF($L356="","",IF(DAYS360(NOW(),$L356)&gt;=0,DAYS360(NOW(),$L356),""))</f>
        <v/>
      </c>
      <c r="P356" s="34">
        <f>IF(OR(H356="",H356=0,F356="",K356=""),"",I356/H356*VLOOKUP(F356,'Membership Level'!$A$3:$C$15,3,FALSE)+K356)</f>
        <v/>
      </c>
      <c r="Q356" s="36" t="n"/>
    </row>
    <row r="357">
      <c r="C357" s="36" t="n"/>
      <c r="D357" s="36" t="n"/>
      <c r="E357" s="35" t="n"/>
      <c r="F357" s="36" t="n"/>
      <c r="G357" s="36" t="n"/>
      <c r="H357" s="30" t="n"/>
      <c r="I357" s="30" t="n">
        <v>0</v>
      </c>
      <c r="J357" s="31">
        <f>IF(H357="","",H357-I357)</f>
        <v/>
      </c>
      <c r="K357" s="43" t="n"/>
      <c r="L357" s="32">
        <f>IF(OR(K357="",$F357=""),"",DATE(YEAR(K357),MONTH(K357)+VLOOKUP($F357,'Membership Level'!$A$3:$B$15,2,FALSE),DAY(K357)))</f>
        <v/>
      </c>
      <c r="M357" s="36" t="n"/>
      <c r="N357" s="34">
        <f>IF($L357="","",DATE(YEAR($L357),MONTH($L357),DAY($L357)-$M357))</f>
        <v/>
      </c>
      <c r="O357" s="33">
        <f>IF($L357="","",IF(DAYS360(NOW(),$L357)&gt;=0,DAYS360(NOW(),$L357),""))</f>
        <v/>
      </c>
      <c r="P357" s="34">
        <f>IF(OR(H357="",H357=0,F357="",K357=""),"",I357/H357*VLOOKUP(F357,'Membership Level'!$A$3:$C$15,3,FALSE)+K357)</f>
        <v/>
      </c>
      <c r="Q357" s="36" t="n"/>
    </row>
    <row r="358">
      <c r="C358" s="36" t="n"/>
      <c r="D358" s="36" t="n"/>
      <c r="E358" s="35" t="n"/>
      <c r="F358" s="36" t="n"/>
      <c r="G358" s="36" t="n"/>
      <c r="H358" s="30" t="n"/>
      <c r="I358" s="30" t="n">
        <v>0</v>
      </c>
      <c r="J358" s="31">
        <f>IF(H358="","",H358-I358)</f>
        <v/>
      </c>
      <c r="K358" s="43" t="n"/>
      <c r="L358" s="32">
        <f>IF(OR(K358="",$F358=""),"",DATE(YEAR(K358),MONTH(K358)+VLOOKUP($F358,'Membership Level'!$A$3:$B$15,2,FALSE),DAY(K358)))</f>
        <v/>
      </c>
      <c r="M358" s="36" t="n"/>
      <c r="N358" s="34">
        <f>IF($L358="","",DATE(YEAR($L358),MONTH($L358),DAY($L358)-$M358))</f>
        <v/>
      </c>
      <c r="O358" s="33">
        <f>IF($L358="","",IF(DAYS360(NOW(),$L358)&gt;=0,DAYS360(NOW(),$L358),""))</f>
        <v/>
      </c>
      <c r="P358" s="34">
        <f>IF(OR(H358="",H358=0,F358="",K358=""),"",I358/H358*VLOOKUP(F358,'Membership Level'!$A$3:$C$15,3,FALSE)+K358)</f>
        <v/>
      </c>
      <c r="Q358" s="36" t="n"/>
    </row>
    <row r="359">
      <c r="C359" s="36" t="n"/>
      <c r="D359" s="36" t="n"/>
      <c r="E359" s="35" t="n"/>
      <c r="F359" s="36" t="n"/>
      <c r="G359" s="36" t="n"/>
      <c r="H359" s="30" t="n"/>
      <c r="I359" s="30" t="n">
        <v>0</v>
      </c>
      <c r="J359" s="31">
        <f>IF(H359="","",H359-I359)</f>
        <v/>
      </c>
      <c r="K359" s="43" t="n"/>
      <c r="L359" s="32">
        <f>IF(OR(K359="",$F359=""),"",DATE(YEAR(K359),MONTH(K359)+VLOOKUP($F359,'Membership Level'!$A$3:$B$15,2,FALSE),DAY(K359)))</f>
        <v/>
      </c>
      <c r="M359" s="36" t="n"/>
      <c r="N359" s="34">
        <f>IF($L359="","",DATE(YEAR($L359),MONTH($L359),DAY($L359)-$M359))</f>
        <v/>
      </c>
      <c r="O359" s="33">
        <f>IF($L359="","",IF(DAYS360(NOW(),$L359)&gt;=0,DAYS360(NOW(),$L359),""))</f>
        <v/>
      </c>
      <c r="P359" s="34">
        <f>IF(OR(H359="",H359=0,F359="",K359=""),"",I359/H359*VLOOKUP(F359,'Membership Level'!$A$3:$C$15,3,FALSE)+K359)</f>
        <v/>
      </c>
      <c r="Q359" s="36" t="n"/>
    </row>
    <row r="360">
      <c r="C360" s="36" t="n"/>
      <c r="D360" s="36" t="n"/>
      <c r="E360" s="35" t="n"/>
      <c r="F360" s="36" t="n"/>
      <c r="G360" s="36" t="n"/>
      <c r="H360" s="30" t="n"/>
      <c r="I360" s="30" t="n">
        <v>0</v>
      </c>
      <c r="J360" s="31">
        <f>IF(H360="","",H360-I360)</f>
        <v/>
      </c>
      <c r="K360" s="43" t="n"/>
      <c r="L360" s="32">
        <f>IF(OR(K360="",$F360=""),"",DATE(YEAR(K360),MONTH(K360)+VLOOKUP($F360,'Membership Level'!$A$3:$B$15,2,FALSE),DAY(K360)))</f>
        <v/>
      </c>
      <c r="M360" s="36" t="n"/>
      <c r="N360" s="34">
        <f>IF($L360="","",DATE(YEAR($L360),MONTH($L360),DAY($L360)-$M360))</f>
        <v/>
      </c>
      <c r="O360" s="33">
        <f>IF($L360="","",IF(DAYS360(NOW(),$L360)&gt;=0,DAYS360(NOW(),$L360),""))</f>
        <v/>
      </c>
      <c r="P360" s="34">
        <f>IF(OR(H360="",H360=0,F360="",K360=""),"",I360/H360*VLOOKUP(F360,'Membership Level'!$A$3:$C$15,3,FALSE)+K360)</f>
        <v/>
      </c>
      <c r="Q360" s="36" t="n"/>
    </row>
    <row r="361">
      <c r="C361" s="36" t="n"/>
      <c r="D361" s="36" t="n"/>
      <c r="E361" s="35" t="n"/>
      <c r="F361" s="36" t="n"/>
      <c r="G361" s="36" t="n"/>
      <c r="H361" s="30" t="n"/>
      <c r="I361" s="30" t="n">
        <v>0</v>
      </c>
      <c r="J361" s="31">
        <f>IF(H361="","",H361-I361)</f>
        <v/>
      </c>
      <c r="K361" s="43" t="n"/>
      <c r="L361" s="32">
        <f>IF(OR(K361="",$F361=""),"",DATE(YEAR(K361),MONTH(K361)+VLOOKUP($F361,'Membership Level'!$A$3:$B$15,2,FALSE),DAY(K361)))</f>
        <v/>
      </c>
      <c r="M361" s="36" t="n"/>
      <c r="N361" s="34">
        <f>IF($L361="","",DATE(YEAR($L361),MONTH($L361),DAY($L361)-$M361))</f>
        <v/>
      </c>
      <c r="O361" s="33">
        <f>IF($L361="","",IF(DAYS360(NOW(),$L361)&gt;=0,DAYS360(NOW(),$L361),""))</f>
        <v/>
      </c>
      <c r="P361" s="34">
        <f>IF(OR(H361="",H361=0,F361="",K361=""),"",I361/H361*VLOOKUP(F361,'Membership Level'!$A$3:$C$15,3,FALSE)+K361)</f>
        <v/>
      </c>
      <c r="Q361" s="36" t="n"/>
    </row>
    <row r="362">
      <c r="C362" s="36" t="n"/>
      <c r="D362" s="36" t="n"/>
      <c r="E362" s="35" t="n"/>
      <c r="F362" s="36" t="n"/>
      <c r="G362" s="36" t="n"/>
      <c r="H362" s="30" t="n"/>
      <c r="I362" s="30" t="n">
        <v>0</v>
      </c>
      <c r="J362" s="31">
        <f>IF(H362="","",H362-I362)</f>
        <v/>
      </c>
      <c r="K362" s="43" t="n"/>
      <c r="L362" s="32">
        <f>IF(OR(K362="",$F362=""),"",DATE(YEAR(K362),MONTH(K362)+VLOOKUP($F362,'Membership Level'!$A$3:$B$15,2,FALSE),DAY(K362)))</f>
        <v/>
      </c>
      <c r="M362" s="36" t="n"/>
      <c r="N362" s="34">
        <f>IF($L362="","",DATE(YEAR($L362),MONTH($L362),DAY($L362)-$M362))</f>
        <v/>
      </c>
      <c r="O362" s="33">
        <f>IF($L362="","",IF(DAYS360(NOW(),$L362)&gt;=0,DAYS360(NOW(),$L362),""))</f>
        <v/>
      </c>
      <c r="P362" s="34">
        <f>IF(OR(H362="",H362=0,F362="",K362=""),"",I362/H362*VLOOKUP(F362,'Membership Level'!$A$3:$C$15,3,FALSE)+K362)</f>
        <v/>
      </c>
      <c r="Q362" s="36" t="n"/>
    </row>
    <row r="363">
      <c r="C363" s="36" t="n"/>
      <c r="D363" s="36" t="n"/>
      <c r="E363" s="35" t="n"/>
      <c r="F363" s="36" t="n"/>
      <c r="G363" s="36" t="n"/>
      <c r="H363" s="30" t="n"/>
      <c r="I363" s="30" t="n">
        <v>0</v>
      </c>
      <c r="J363" s="31">
        <f>IF(H363="","",H363-I363)</f>
        <v/>
      </c>
      <c r="K363" s="43" t="n"/>
      <c r="L363" s="32">
        <f>IF(OR(K363="",$F363=""),"",DATE(YEAR(K363),MONTH(K363)+VLOOKUP($F363,'Membership Level'!$A$3:$B$15,2,FALSE),DAY(K363)))</f>
        <v/>
      </c>
      <c r="M363" s="36" t="n"/>
      <c r="N363" s="34">
        <f>IF($L363="","",DATE(YEAR($L363),MONTH($L363),DAY($L363)-$M363))</f>
        <v/>
      </c>
      <c r="O363" s="33">
        <f>IF($L363="","",IF(DAYS360(NOW(),$L363)&gt;=0,DAYS360(NOW(),$L363),""))</f>
        <v/>
      </c>
      <c r="P363" s="34">
        <f>IF(OR(H363="",H363=0,F363="",K363=""),"",I363/H363*VLOOKUP(F363,'Membership Level'!$A$3:$C$15,3,FALSE)+K363)</f>
        <v/>
      </c>
      <c r="Q363" s="36" t="n"/>
    </row>
    <row r="364">
      <c r="C364" s="36" t="n"/>
      <c r="D364" s="36" t="n"/>
      <c r="E364" s="35" t="n"/>
      <c r="F364" s="45" t="n"/>
      <c r="G364" s="36" t="n"/>
      <c r="H364" s="30" t="n"/>
      <c r="I364" s="30" t="n">
        <v>0</v>
      </c>
      <c r="J364" s="31">
        <f>IF(H364="","",H364-I364)</f>
        <v/>
      </c>
      <c r="K364" s="43" t="n"/>
      <c r="L364" s="32">
        <f>IF(OR(K364="",$F364=""),"",DATE(YEAR(K364),MONTH(K364)+VLOOKUP($F364,'Membership Level'!$A$3:$B$15,2,FALSE),DAY(K364)))</f>
        <v/>
      </c>
      <c r="M364" s="36" t="n"/>
      <c r="N364" s="34">
        <f>IF($L364="","",DATE(YEAR($L364),MONTH($L364),DAY($L364)-$M364))</f>
        <v/>
      </c>
      <c r="O364" s="33">
        <f>IF($L364="","",IF(DAYS360(NOW(),$L364)&gt;=0,DAYS360(NOW(),$L364),""))</f>
        <v/>
      </c>
      <c r="P364" s="34">
        <f>IF(OR(H364="",H364=0,F364="",K364=""),"",I364/H364*VLOOKUP(F364,'Membership Level'!$A$3:$C$15,3,FALSE)+K364)</f>
        <v/>
      </c>
      <c r="Q364" s="36" t="n"/>
    </row>
    <row r="365">
      <c r="C365" s="36" t="n"/>
      <c r="D365" s="36" t="n"/>
      <c r="E365" s="67" t="n"/>
      <c r="F365" s="36" t="n"/>
      <c r="G365" s="36" t="n"/>
      <c r="H365" s="30" t="n"/>
      <c r="I365" s="30" t="n">
        <v>0</v>
      </c>
      <c r="J365" s="31">
        <f>IF(H365="","",H365-I365)</f>
        <v/>
      </c>
      <c r="K365" s="43" t="n"/>
      <c r="L365" s="32">
        <f>IF(OR(K365="",$F365=""),"",DATE(YEAR(K365),MONTH(K365)+VLOOKUP($F365,'Membership Level'!$A$3:$B$15,2,FALSE),DAY(K365)))</f>
        <v/>
      </c>
      <c r="M365" s="36" t="n"/>
      <c r="N365" s="34">
        <f>IF($L365="","",DATE(YEAR($L365),MONTH($L365),DAY($L365)-$M365))</f>
        <v/>
      </c>
      <c r="O365" s="33">
        <f>IF($L365="","",IF(DAYS360(NOW(),$L365)&gt;=0,DAYS360(NOW(),$L365),""))</f>
        <v/>
      </c>
      <c r="P365" s="34">
        <f>IF(OR(H365="",H365=0,F365="",K365=""),"",I365/H365*VLOOKUP(F365,'Membership Level'!$A$3:$C$15,3,FALSE)+K365)</f>
        <v/>
      </c>
      <c r="Q365" s="36" t="n"/>
    </row>
    <row r="366" customFormat="1" s="27">
      <c r="C366" s="45" t="n"/>
      <c r="D366" s="45" t="n"/>
      <c r="E366" s="35" t="n"/>
      <c r="F366" s="36" t="n"/>
      <c r="G366" s="45" t="n"/>
      <c r="H366" s="64" t="n"/>
      <c r="I366" s="30" t="n">
        <v>0</v>
      </c>
      <c r="J366" s="65">
        <f>IF(H366="","",H366-I366)</f>
        <v/>
      </c>
      <c r="K366" s="60" t="n"/>
      <c r="L366" s="60">
        <f>IF(OR(K366="",$F366=""),"",DATE(YEAR(K366),MONTH(K366)+VLOOKUP($F366,'Membership Level'!$A$3:$B$15,2,FALSE),DAY(K366)))</f>
        <v/>
      </c>
      <c r="M366" s="36" t="n"/>
      <c r="N366" s="46">
        <f>IF($L366="","",DATE(YEAR($L366),MONTH($L366),DAY($L366)-$M366))</f>
        <v/>
      </c>
      <c r="O366" s="45">
        <f>IF($L366="","",IF(DAYS360(NOW(),$L366)&gt;=0,DAYS360(NOW(),$L366),""))</f>
        <v/>
      </c>
      <c r="P366" s="46">
        <f>IF(OR(H366="",H366=0,F366="",K366=""),"",I366/H366*VLOOKUP(F366,'Membership Level'!$A$3:$C$15,3,FALSE)+K366)</f>
        <v/>
      </c>
      <c r="Q366" s="45" t="n"/>
    </row>
    <row r="367">
      <c r="C367" s="36" t="n"/>
      <c r="D367" s="36" t="n"/>
      <c r="E367" s="35" t="n"/>
      <c r="F367" s="36" t="n"/>
      <c r="G367" s="36" t="n"/>
      <c r="H367" s="30" t="n"/>
      <c r="I367" s="30" t="n">
        <v>0</v>
      </c>
      <c r="J367" s="31">
        <f>IF(H367="","",H367-I367)</f>
        <v/>
      </c>
      <c r="K367" s="43" t="n"/>
      <c r="L367" s="32">
        <f>IF(OR(K367="",$F367=""),"",DATE(YEAR(K367),MONTH(K367)+VLOOKUP($F367,'Membership Level'!$A$3:$B$15,2,FALSE),DAY(K367)))</f>
        <v/>
      </c>
      <c r="M367" s="36" t="n"/>
      <c r="N367" s="34">
        <f>IF($L367="","",DATE(YEAR($L367),MONTH($L367),DAY($L367)-$M367))</f>
        <v/>
      </c>
      <c r="O367" s="33">
        <f>IF($L367="","",IF(DAYS360(NOW(),$L367)&gt;=0,DAYS360(NOW(),$L367),""))</f>
        <v/>
      </c>
      <c r="P367" s="34">
        <f>IF(OR(H367="",H367=0,F367="",K367=""),"",I367/H367*VLOOKUP(F367,'Membership Level'!$A$3:$C$15,3,FALSE)+K367)</f>
        <v/>
      </c>
      <c r="Q367" s="36" t="n"/>
    </row>
    <row r="368" customFormat="1" s="22">
      <c r="C368" s="36" t="n"/>
      <c r="D368" s="36" t="n"/>
      <c r="E368" s="35" t="n"/>
      <c r="F368" s="36" t="n"/>
      <c r="G368" s="36" t="n"/>
      <c r="H368" s="30" t="n"/>
      <c r="I368" s="30" t="n">
        <v>0</v>
      </c>
      <c r="J368" s="31">
        <f>IF(H368="","",H368-I368)</f>
        <v/>
      </c>
      <c r="K368" s="43" t="n"/>
      <c r="L368" s="32">
        <f>IF(OR(K368="",$F368=""),"",DATE(YEAR(K368),MONTH(K368)+VLOOKUP($F368,'Membership Level'!$A$3:$B$15,2,FALSE),DAY(K368)))</f>
        <v/>
      </c>
      <c r="M368" s="36" t="n"/>
      <c r="N368" s="34">
        <f>IF($L368="","",DATE(YEAR($L368),MONTH($L368),DAY($L368)-$M368))</f>
        <v/>
      </c>
      <c r="O368" s="33">
        <f>IF($L368="","",IF(DAYS360(NOW(),$L368)&gt;=0,DAYS360(NOW(),$L368),""))</f>
        <v/>
      </c>
      <c r="P368" s="34">
        <f>IF(OR(H368="",H368=0,F368="",K368=""),"",I368/H368*VLOOKUP(F368,'Membership Level'!$A$3:$C$15,3,FALSE)+K368)</f>
        <v/>
      </c>
      <c r="Q368" s="36" t="n"/>
    </row>
    <row r="369" customFormat="1" s="47">
      <c r="C369" s="36" t="n"/>
      <c r="D369" s="36" t="n"/>
      <c r="E369" s="35" t="n"/>
      <c r="F369" s="36" t="n"/>
      <c r="G369" s="36" t="n"/>
      <c r="H369" s="30" t="n"/>
      <c r="I369" s="30" t="n">
        <v>0</v>
      </c>
      <c r="J369" s="31">
        <f>IF(H369="","",H369-I369)</f>
        <v/>
      </c>
      <c r="K369" s="43" t="n"/>
      <c r="L369" s="32">
        <f>IF(OR(K369="",$F369=""),"",DATE(YEAR(K369),MONTH(K369)+VLOOKUP($F369,'Membership Level'!$A$3:$B$15,2,FALSE),DAY(K369)))</f>
        <v/>
      </c>
      <c r="M369" s="36" t="n"/>
      <c r="N369" s="34">
        <f>IF($L369="","",DATE(YEAR($L369),MONTH($L369),DAY($L369)-$M369))</f>
        <v/>
      </c>
      <c r="O369" s="33">
        <f>IF($L369="","",IF(DAYS360(NOW(),$L369)&gt;=0,DAYS360(NOW(),$L369),""))</f>
        <v/>
      </c>
      <c r="P369" s="34">
        <f>IF(OR(H369="",H369=0,F369="",K369=""),"",I369/H369*VLOOKUP(F369,'Membership Level'!$A$3:$C$15,3,FALSE)+K369)</f>
        <v/>
      </c>
      <c r="Q369" s="36" t="n"/>
    </row>
    <row r="370">
      <c r="C370" s="36" t="n"/>
      <c r="D370" s="36" t="n"/>
      <c r="E370" s="35" t="n"/>
      <c r="F370" s="36" t="n"/>
      <c r="G370" s="36" t="n"/>
      <c r="H370" s="30" t="n"/>
      <c r="I370" s="30" t="n">
        <v>0</v>
      </c>
      <c r="J370" s="31">
        <f>IF(H370="","",H370-I370)</f>
        <v/>
      </c>
      <c r="K370" s="43" t="n"/>
      <c r="L370" s="32">
        <f>IF(OR(K370="",$F370=""),"",DATE(YEAR(K370),MONTH(K370)+VLOOKUP($F370,'Membership Level'!$A$3:$B$15,2,FALSE),DAY(K370)))</f>
        <v/>
      </c>
      <c r="M370" s="36" t="n"/>
      <c r="N370" s="34">
        <f>IF($L370="","",DATE(YEAR($L370),MONTH($L370),DAY($L370)-$M370))</f>
        <v/>
      </c>
      <c r="O370" s="33">
        <f>IF($L370="","",IF(DAYS360(NOW(),$L370)&gt;=0,DAYS360(NOW(),$L370),""))</f>
        <v/>
      </c>
      <c r="P370" s="34">
        <f>IF(OR(H370="",H370=0,F370="",K370=""),"",I370/H370*VLOOKUP(F370,'Membership Level'!$A$3:$C$15,3,FALSE)+K370)</f>
        <v/>
      </c>
      <c r="Q370" s="36" t="n"/>
    </row>
    <row r="371">
      <c r="C371" s="36" t="n"/>
      <c r="D371" s="36" t="n"/>
      <c r="E371" s="35" t="n"/>
      <c r="F371" s="36" t="n"/>
      <c r="G371" s="36" t="n"/>
      <c r="H371" s="30" t="n"/>
      <c r="I371" s="30" t="n">
        <v>0</v>
      </c>
      <c r="J371" s="31">
        <f>IF(H371="","",H371-I371)</f>
        <v/>
      </c>
      <c r="K371" s="43" t="n"/>
      <c r="L371" s="32">
        <f>IF(OR(K371="",$F371=""),"",DATE(YEAR(K371),MONTH(K371)+VLOOKUP($F371,'Membership Level'!$A$3:$B$15,2,FALSE),DAY(K371)))</f>
        <v/>
      </c>
      <c r="M371" s="36" t="n"/>
      <c r="N371" s="34">
        <f>IF($L371="","",DATE(YEAR($L371),MONTH($L371),DAY($L371)-$M371))</f>
        <v/>
      </c>
      <c r="O371" s="33">
        <f>IF($L371="","",IF(DAYS360(NOW(),$L371)&gt;=0,DAYS360(NOW(),$L371),""))</f>
        <v/>
      </c>
      <c r="P371" s="34">
        <f>IF(OR(H371="",H371=0,F371="",K371=""),"",I371/H371*VLOOKUP(F371,'Membership Level'!$A$3:$C$15,3,FALSE)+K371)</f>
        <v/>
      </c>
      <c r="Q371" s="36" t="n"/>
    </row>
    <row r="372">
      <c r="C372" s="36" t="n"/>
      <c r="D372" s="36" t="n"/>
      <c r="E372" s="35" t="n"/>
      <c r="F372" s="36" t="n"/>
      <c r="G372" s="36" t="n"/>
      <c r="H372" s="30" t="n"/>
      <c r="I372" s="30" t="n">
        <v>0</v>
      </c>
      <c r="J372" s="31">
        <f>IF(H372="","",H372-I372)</f>
        <v/>
      </c>
      <c r="K372" s="43" t="n"/>
      <c r="L372" s="32">
        <f>IF(OR(K372="",$F372=""),"",DATE(YEAR(K372),MONTH(K372)+VLOOKUP($F372,'Membership Level'!$A$3:$B$15,2,FALSE),DAY(K372)))</f>
        <v/>
      </c>
      <c r="M372" s="36" t="n"/>
      <c r="N372" s="34">
        <f>IF($L372="","",DATE(YEAR($L372),MONTH($L372),DAY($L372)-$M372))</f>
        <v/>
      </c>
      <c r="O372" s="33">
        <f>IF($L372="","",IF(DAYS360(NOW(),$L372)&gt;=0,DAYS360(NOW(),$L372),""))</f>
        <v/>
      </c>
      <c r="P372" s="34">
        <f>IF(OR(H372="",H372=0,F372="",K372=""),"",I372/H372*VLOOKUP(F372,'Membership Level'!$A$3:$C$15,3,FALSE)+K372)</f>
        <v/>
      </c>
      <c r="Q372" s="36" t="n"/>
    </row>
    <row r="373">
      <c r="C373" s="36" t="n"/>
      <c r="D373" s="36" t="n"/>
      <c r="E373" s="35" t="n"/>
      <c r="F373" s="36" t="n"/>
      <c r="G373" s="36" t="n"/>
      <c r="H373" s="30" t="n"/>
      <c r="I373" s="30" t="n">
        <v>0</v>
      </c>
      <c r="J373" s="31">
        <f>IF(H373="","",H373-I373)</f>
        <v/>
      </c>
      <c r="K373" s="43" t="n"/>
      <c r="L373" s="32">
        <f>IF(OR(K373="",$F373=""),"",DATE(YEAR(K373),MONTH(K373)+VLOOKUP($F373,'Membership Level'!$A$3:$B$15,2,FALSE),DAY(K373)))</f>
        <v/>
      </c>
      <c r="M373" s="36" t="n"/>
      <c r="N373" s="34">
        <f>IF($L373="","",DATE(YEAR($L373),MONTH($L373),DAY($L373)-$M373))</f>
        <v/>
      </c>
      <c r="O373" s="33">
        <f>IF($L373="","",IF(DAYS360(NOW(),$L373)&gt;=0,DAYS360(NOW(),$L373),""))</f>
        <v/>
      </c>
      <c r="P373" s="34">
        <f>IF(OR(H373="",H373=0,F373="",K373=""),"",I373/H373*VLOOKUP(F373,'Membership Level'!$A$3:$C$15,3,FALSE)+K373)</f>
        <v/>
      </c>
      <c r="Q373" s="36" t="n"/>
    </row>
    <row r="374">
      <c r="C374" s="36" t="n"/>
      <c r="D374" s="36" t="n"/>
      <c r="E374" s="35" t="n"/>
      <c r="F374" s="36" t="n"/>
      <c r="G374" s="36" t="n"/>
      <c r="H374" s="30" t="n"/>
      <c r="I374" s="30" t="n">
        <v>0</v>
      </c>
      <c r="J374" s="31">
        <f>IF(H374="","",H374-I374)</f>
        <v/>
      </c>
      <c r="K374" s="43" t="n"/>
      <c r="L374" s="32">
        <f>IF(OR(K374="",$F374=""),"",DATE(YEAR(K374),MONTH(K374)+VLOOKUP($F374,'Membership Level'!$A$3:$B$15,2,FALSE),DAY(K374)))</f>
        <v/>
      </c>
      <c r="M374" s="36" t="n"/>
      <c r="N374" s="34">
        <f>IF($L374="","",DATE(YEAR($L374),MONTH($L374),DAY($L374)-$M374))</f>
        <v/>
      </c>
      <c r="O374" s="33">
        <f>IF($L374="","",IF(DAYS360(NOW(),$L374)&gt;=0,DAYS360(NOW(),$L374),""))</f>
        <v/>
      </c>
      <c r="P374" s="34">
        <f>IF(OR(H374="",H374=0,F374="",K374=""),"",I374/H374*VLOOKUP(F374,'Membership Level'!$A$3:$C$15,3,FALSE)+K374)</f>
        <v/>
      </c>
      <c r="Q374" s="36" t="n"/>
    </row>
    <row r="375">
      <c r="C375" s="36" t="n"/>
      <c r="D375" s="36" t="n"/>
      <c r="E375" s="35" t="n"/>
      <c r="F375" s="36" t="n"/>
      <c r="G375" s="36" t="n"/>
      <c r="H375" s="30" t="n"/>
      <c r="I375" s="30" t="n">
        <v>0</v>
      </c>
      <c r="J375" s="31">
        <f>IF(H375="","",H375-I375)</f>
        <v/>
      </c>
      <c r="K375" s="43" t="n"/>
      <c r="L375" s="32">
        <f>IF(OR(K375="",$F375=""),"",DATE(YEAR(K375),MONTH(K375)+VLOOKUP($F375,'Membership Level'!$A$3:$B$15,2,FALSE),DAY(K375)))</f>
        <v/>
      </c>
      <c r="M375" s="36" t="n"/>
      <c r="N375" s="34">
        <f>IF($L375="","",DATE(YEAR($L375),MONTH($L375),DAY($L375)-$M375))</f>
        <v/>
      </c>
      <c r="O375" s="33">
        <f>IF($L375="","",IF(DAYS360(NOW(),$L375)&gt;=0,DAYS360(NOW(),$L375),""))</f>
        <v/>
      </c>
      <c r="P375" s="34">
        <f>IF(OR(H375="",H375=0,F375="",K375=""),"",I375/H375*VLOOKUP(F375,'Membership Level'!$A$3:$C$15,3,FALSE)+K375)</f>
        <v/>
      </c>
      <c r="Q375" s="36" t="n"/>
    </row>
    <row r="376">
      <c r="C376" s="36" t="n"/>
      <c r="D376" s="36" t="n"/>
      <c r="E376" s="66" t="n"/>
      <c r="F376" s="36" t="n"/>
      <c r="G376" s="36" t="n"/>
      <c r="H376" s="30" t="n"/>
      <c r="I376" s="30" t="n">
        <v>0</v>
      </c>
      <c r="J376" s="31">
        <f>IF(H376="","",H376-I376)</f>
        <v/>
      </c>
      <c r="K376" s="43" t="n"/>
      <c r="L376" s="32">
        <f>IF(OR(K376="",$F376=""),"",DATE(YEAR(K376),MONTH(K376)+VLOOKUP($F376,'Membership Level'!$A$3:$B$15,2,FALSE),DAY(K376)))</f>
        <v/>
      </c>
      <c r="M376" s="36" t="n"/>
      <c r="N376" s="34">
        <f>IF($L376="","",DATE(YEAR($L376),MONTH($L376),DAY($L376)-$M376))</f>
        <v/>
      </c>
      <c r="O376" s="33">
        <f>IF($L376="","",IF(DAYS360(NOW(),$L376)&gt;=0,DAYS360(NOW(),$L376),""))</f>
        <v/>
      </c>
      <c r="P376" s="34">
        <f>IF(OR(H376="",H376=0,F376="",K376=""),"",I376/H376*VLOOKUP(F376,'Membership Level'!$A$3:$C$15,3,FALSE)+K376)</f>
        <v/>
      </c>
      <c r="Q376" s="36" t="n"/>
    </row>
    <row r="377">
      <c r="C377" s="36" t="n"/>
      <c r="D377" s="36" t="n"/>
      <c r="E377" s="35" t="n"/>
      <c r="F377" s="36" t="n"/>
      <c r="G377" s="36" t="n"/>
      <c r="H377" s="30" t="n"/>
      <c r="I377" s="30" t="n">
        <v>0</v>
      </c>
      <c r="J377" s="31">
        <f>IF(H377="","",H377-I377)</f>
        <v/>
      </c>
      <c r="K377" s="43" t="n"/>
      <c r="L377" s="32">
        <f>IF(OR(K377="",$F377=""),"",DATE(YEAR(K377),MONTH(K377)+VLOOKUP($F377,'Membership Level'!$A$3:$B$15,2,FALSE),DAY(K377)))</f>
        <v/>
      </c>
      <c r="M377" s="36" t="n"/>
      <c r="N377" s="34">
        <f>IF($L377="","",DATE(YEAR($L377),MONTH($L377),DAY($L377)-$M377))</f>
        <v/>
      </c>
      <c r="O377" s="33">
        <f>IF($L377="","",IF(DAYS360(NOW(),$L377)&gt;=0,DAYS360(NOW(),$L377),""))</f>
        <v/>
      </c>
      <c r="P377" s="34">
        <f>IF(OR(H377="",H377=0,F377="",K377=""),"",I377/H377*VLOOKUP(F377,'Membership Level'!$A$3:$C$15,3,FALSE)+K377)</f>
        <v/>
      </c>
      <c r="Q377" s="36" t="n"/>
    </row>
    <row r="378">
      <c r="C378" s="36" t="n"/>
      <c r="D378" s="36" t="n"/>
      <c r="E378" s="35" t="n"/>
      <c r="F378" s="36" t="n"/>
      <c r="G378" s="36" t="n"/>
      <c r="H378" s="30" t="n"/>
      <c r="I378" s="30" t="n">
        <v>0</v>
      </c>
      <c r="J378" s="31">
        <f>IF(H378="","",H378-I378)</f>
        <v/>
      </c>
      <c r="K378" s="43" t="n"/>
      <c r="L378" s="32">
        <f>IF(OR(K378="",$F378=""),"",DATE(YEAR(K378),MONTH(K378)+VLOOKUP($F378,'Membership Level'!$A$3:$B$15,2,FALSE),DAY(K378)))</f>
        <v/>
      </c>
      <c r="M378" s="36" t="n"/>
      <c r="N378" s="34">
        <f>IF($L378="","",DATE(YEAR($L378),MONTH($L378),DAY($L378)-$M378))</f>
        <v/>
      </c>
      <c r="O378" s="33">
        <f>IF($L378="","",IF(DAYS360(NOW(),$L378)&gt;=0,DAYS360(NOW(),$L378),""))</f>
        <v/>
      </c>
      <c r="P378" s="34">
        <f>IF(OR(H378="",H378=0,F378="",K378=""),"",I378/H378*VLOOKUP(F378,'Membership Level'!$A$3:$C$15,3,FALSE)+K378)</f>
        <v/>
      </c>
      <c r="Q378" s="36" t="n"/>
    </row>
    <row r="379" customFormat="1" s="26">
      <c r="C379" s="36" t="n"/>
      <c r="D379" s="36" t="n"/>
      <c r="E379" s="35" t="n"/>
      <c r="F379" s="36" t="n"/>
      <c r="G379" s="36" t="n"/>
      <c r="H379" s="30" t="n"/>
      <c r="I379" s="30" t="n">
        <v>0</v>
      </c>
      <c r="J379" s="31">
        <f>IF(H379="","",H379-I379)</f>
        <v/>
      </c>
      <c r="K379" s="43" t="n"/>
      <c r="L379" s="32">
        <f>IF(OR(K379="",$F379=""),"",DATE(YEAR(K379),MONTH(K379)+VLOOKUP($F379,'Membership Level'!$A$3:$B$15,2,FALSE),DAY(K379)))</f>
        <v/>
      </c>
      <c r="M379" s="36" t="n"/>
      <c r="N379" s="34">
        <f>IF($L379="","",DATE(YEAR($L379),MONTH($L379),DAY($L379)-$M379))</f>
        <v/>
      </c>
      <c r="O379" s="33">
        <f>IF($L379="","",IF(DAYS360(NOW(),$L379)&gt;=0,DAYS360(NOW(),$L379),""))</f>
        <v/>
      </c>
      <c r="P379" s="34">
        <f>IF(OR(H379="",H379=0,F379="",K379=""),"",I379/H379*VLOOKUP(F379,'Membership Level'!$A$3:$C$15,3,FALSE)+K379)</f>
        <v/>
      </c>
      <c r="Q379" s="36" t="n"/>
    </row>
    <row r="380">
      <c r="C380" s="36" t="n"/>
      <c r="D380" s="36" t="n"/>
      <c r="E380" s="35" t="n"/>
      <c r="F380" s="36" t="n"/>
      <c r="G380" s="36" t="n"/>
      <c r="H380" s="30" t="n"/>
      <c r="I380" s="30" t="n">
        <v>0</v>
      </c>
      <c r="J380" s="31">
        <f>IF(H380="","",H380-I380)</f>
        <v/>
      </c>
      <c r="K380" s="43" t="n"/>
      <c r="L380" s="32">
        <f>IF(OR(K380="",$F380=""),"",DATE(YEAR(K380),MONTH(K380)+VLOOKUP($F380,'Membership Level'!$A$3:$B$15,2,FALSE),DAY(K380)))</f>
        <v/>
      </c>
      <c r="M380" s="36" t="n"/>
      <c r="N380" s="34">
        <f>IF($L380="","",DATE(YEAR($L380),MONTH($L380),DAY($L380)-$M380))</f>
        <v/>
      </c>
      <c r="O380" s="33">
        <f>IF($L380="","",IF(DAYS360(NOW(),$L380)&gt;=0,DAYS360(NOW(),$L380),""))</f>
        <v/>
      </c>
      <c r="P380" s="34">
        <f>IF(OR(H380="",H380=0,F380="",K380=""),"",I380/H380*VLOOKUP(F380,'Membership Level'!$A$3:$C$15,3,FALSE)+K380)</f>
        <v/>
      </c>
      <c r="Q380" s="36" t="n"/>
    </row>
    <row r="381">
      <c r="C381" s="36" t="n"/>
      <c r="D381" s="36" t="n"/>
      <c r="E381" s="35" t="n"/>
      <c r="F381" s="36" t="n"/>
      <c r="G381" s="36" t="n"/>
      <c r="H381" s="30" t="n"/>
      <c r="I381" s="30" t="n">
        <v>0</v>
      </c>
      <c r="J381" s="31">
        <f>IF(H381="","",H381-I381)</f>
        <v/>
      </c>
      <c r="K381" s="43" t="n"/>
      <c r="L381" s="32">
        <f>IF(OR(K381="",$F381=""),"",DATE(YEAR(K381),MONTH(K381)+VLOOKUP($F381,'Membership Level'!$A$3:$B$15,2,FALSE),DAY(K381)))</f>
        <v/>
      </c>
      <c r="M381" s="36" t="n"/>
      <c r="N381" s="34">
        <f>IF($L381="","",DATE(YEAR($L381),MONTH($L381),DAY($L381)-$M381))</f>
        <v/>
      </c>
      <c r="O381" s="33">
        <f>IF($L381="","",IF(DAYS360(NOW(),$L381)&gt;=0,DAYS360(NOW(),$L381),""))</f>
        <v/>
      </c>
      <c r="P381" s="34">
        <f>IF(OR(H381="",H381=0,F381="",K381=""),"",I381/H381*VLOOKUP(F381,'Membership Level'!$A$3:$C$15,3,FALSE)+K381)</f>
        <v/>
      </c>
      <c r="Q381" s="36" t="n"/>
    </row>
    <row r="382">
      <c r="C382" s="36" t="n"/>
      <c r="D382" s="36" t="n"/>
      <c r="E382" s="35" t="n"/>
      <c r="F382" s="36" t="n"/>
      <c r="G382" s="36" t="n"/>
      <c r="H382" s="30" t="n"/>
      <c r="I382" s="30" t="n">
        <v>0</v>
      </c>
      <c r="J382" s="31">
        <f>IF(H382="","",H382-I382)</f>
        <v/>
      </c>
      <c r="K382" s="43" t="n"/>
      <c r="L382" s="32">
        <f>IF(OR(K382="",$F382=""),"",DATE(YEAR(K382),MONTH(K382)+VLOOKUP($F382,'Membership Level'!$A$3:$B$15,2,FALSE),DAY(K382)))</f>
        <v/>
      </c>
      <c r="M382" s="36" t="n"/>
      <c r="N382" s="34">
        <f>IF($L382="","",DATE(YEAR($L382),MONTH($L382),DAY($L382)-$M382))</f>
        <v/>
      </c>
      <c r="O382" s="33">
        <f>IF($L382="","",IF(DAYS360(NOW(),$L382)&gt;=0,DAYS360(NOW(),$L382),""))</f>
        <v/>
      </c>
      <c r="P382" s="34">
        <f>IF(OR(H382="",H382=0,F382="",K382=""),"",I382/H382*VLOOKUP(F382,'Membership Level'!$A$3:$C$15,3,FALSE)+K382)</f>
        <v/>
      </c>
      <c r="Q382" s="36" t="n"/>
    </row>
    <row r="383" customFormat="1" s="22">
      <c r="C383" s="36" t="n"/>
      <c r="D383" s="36" t="n"/>
      <c r="E383" s="35" t="n"/>
      <c r="F383" s="36" t="n"/>
      <c r="G383" s="36" t="n"/>
      <c r="H383" s="30" t="n"/>
      <c r="I383" s="30" t="n">
        <v>0</v>
      </c>
      <c r="J383" s="31">
        <f>IF(H383="","",H383-I383)</f>
        <v/>
      </c>
      <c r="K383" s="43" t="n"/>
      <c r="L383" s="32">
        <f>IF(OR(K383="",$F383=""),"",DATE(YEAR(K383),MONTH(K383)+VLOOKUP($F383,'Membership Level'!$A$3:$B$15,2,FALSE),DAY(K383)))</f>
        <v/>
      </c>
      <c r="M383" s="36" t="n"/>
      <c r="N383" s="34">
        <f>IF($L383="","",DATE(YEAR($L383),MONTH($L383),DAY($L383)-$M383))</f>
        <v/>
      </c>
      <c r="O383" s="33">
        <f>IF($L383="","",IF(DAYS360(NOW(),$L383)&gt;=0,DAYS360(NOW(),$L383),""))</f>
        <v/>
      </c>
      <c r="P383" s="34">
        <f>IF(OR(H383="",H383=0,F383="",K383=""),"",I383/H383*VLOOKUP(F383,'Membership Level'!$A$3:$C$15,3,FALSE)+K383)</f>
        <v/>
      </c>
      <c r="Q383" s="36" t="n"/>
    </row>
    <row r="384">
      <c r="C384" s="36" t="n"/>
      <c r="D384" s="36" t="n"/>
      <c r="E384" s="35" t="n"/>
      <c r="F384" s="36" t="n"/>
      <c r="G384" s="36" t="n"/>
      <c r="H384" s="30" t="n"/>
      <c r="I384" s="30" t="n">
        <v>0</v>
      </c>
      <c r="J384" s="31">
        <f>IF(H384="","",H384-I384)</f>
        <v/>
      </c>
      <c r="K384" s="43" t="n"/>
      <c r="L384" s="32">
        <f>IF(OR(K384="",$F384=""),"",DATE(YEAR(K384),MONTH(K384)+VLOOKUP($F384,'Membership Level'!$A$3:$B$15,2,FALSE),DAY(K384)))</f>
        <v/>
      </c>
      <c r="M384" s="36" t="n"/>
      <c r="N384" s="34">
        <f>IF($L384="","",DATE(YEAR($L384),MONTH($L384),DAY($L384)-$M384))</f>
        <v/>
      </c>
      <c r="O384" s="33">
        <f>IF($L384="","",IF(DAYS360(NOW(),$L384)&gt;=0,DAYS360(NOW(),$L384),""))</f>
        <v/>
      </c>
      <c r="P384" s="34">
        <f>IF(OR(H384="",H384=0,F384="",K384=""),"",I384/H384*VLOOKUP(F384,'Membership Level'!$A$3:$C$15,3,FALSE)+K384)</f>
        <v/>
      </c>
      <c r="Q384" s="36" t="n"/>
    </row>
    <row r="385">
      <c r="C385" s="36" t="n"/>
      <c r="D385" s="36" t="n"/>
      <c r="E385" s="35" t="n"/>
      <c r="F385" s="36" t="n"/>
      <c r="G385" s="36" t="n"/>
      <c r="H385" s="30" t="n"/>
      <c r="I385" s="30" t="n">
        <v>0</v>
      </c>
      <c r="J385" s="31">
        <f>IF(H385="","",H385-I385)</f>
        <v/>
      </c>
      <c r="K385" s="43" t="n"/>
      <c r="L385" s="32">
        <f>IF(OR(K385="",$F385=""),"",DATE(YEAR(K385),MONTH(K385)+VLOOKUP($F385,'Membership Level'!$A$3:$B$15,2,FALSE),DAY(K385)))</f>
        <v/>
      </c>
      <c r="M385" s="36" t="n"/>
      <c r="N385" s="34">
        <f>IF($L385="","",DATE(YEAR($L385),MONTH($L385),DAY($L385)-$M385))</f>
        <v/>
      </c>
      <c r="O385" s="33">
        <f>IF($L385="","",IF(DAYS360(NOW(),$L385)&gt;=0,DAYS360(NOW(),$L385),""))</f>
        <v/>
      </c>
      <c r="P385" s="34">
        <f>IF(OR(H385="",H385=0,F385="",K385=""),"",I385/H385*VLOOKUP(F385,'Membership Level'!$A$3:$C$15,3,FALSE)+K385)</f>
        <v/>
      </c>
      <c r="Q385" s="36" t="n"/>
    </row>
    <row r="386">
      <c r="C386" s="36" t="n"/>
      <c r="D386" s="36" t="n"/>
      <c r="E386" s="35" t="n"/>
      <c r="F386" s="36" t="n"/>
      <c r="G386" s="36" t="n"/>
      <c r="H386" s="30" t="n"/>
      <c r="I386" s="30" t="n">
        <v>0</v>
      </c>
      <c r="J386" s="31">
        <f>IF(H386="","",H386-I386)</f>
        <v/>
      </c>
      <c r="K386" s="43" t="n"/>
      <c r="L386" s="32">
        <f>IF(OR(K386="",$F386=""),"",DATE(YEAR(K386),MONTH(K386)+VLOOKUP($F386,'Membership Level'!$A$3:$B$15,2,FALSE),DAY(K386)))</f>
        <v/>
      </c>
      <c r="M386" s="36" t="n"/>
      <c r="N386" s="34">
        <f>IF($L386="","",DATE(YEAR($L386),MONTH($L386),DAY($L386)-$M386))</f>
        <v/>
      </c>
      <c r="O386" s="33">
        <f>IF($L386="","",IF(DAYS360(NOW(),$L386)&gt;=0,DAYS360(NOW(),$L386),""))</f>
        <v/>
      </c>
      <c r="P386" s="34">
        <f>IF(OR(H386="",H386=0,F386="",K386=""),"",I386/H386*VLOOKUP(F386,'Membership Level'!$A$3:$C$15,3,FALSE)+K386)</f>
        <v/>
      </c>
      <c r="Q386" s="36" t="n"/>
    </row>
    <row r="387">
      <c r="C387" s="36" t="n"/>
      <c r="D387" s="36" t="n"/>
      <c r="E387" s="35" t="n"/>
      <c r="F387" s="36" t="n"/>
      <c r="G387" s="36" t="n"/>
      <c r="H387" s="30" t="n"/>
      <c r="I387" s="30" t="n">
        <v>0</v>
      </c>
      <c r="J387" s="31">
        <f>IF(H387="","",H387-I387)</f>
        <v/>
      </c>
      <c r="K387" s="43" t="n"/>
      <c r="L387" s="32">
        <f>IF(OR(K387="",$F387=""),"",DATE(YEAR(K387),MONTH(K387)+VLOOKUP($F387,'Membership Level'!$A$3:$B$15,2,FALSE),DAY(K387)))</f>
        <v/>
      </c>
      <c r="M387" s="36" t="n"/>
      <c r="N387" s="34">
        <f>IF($L387="","",DATE(YEAR($L387),MONTH($L387),DAY($L387)-$M387))</f>
        <v/>
      </c>
      <c r="O387" s="33">
        <f>IF($L387="","",IF(DAYS360(NOW(),$L387)&gt;=0,DAYS360(NOW(),$L387),""))</f>
        <v/>
      </c>
      <c r="P387" s="34">
        <f>IF(OR(H387="",H387=0,F387="",K387=""),"",I387/H387*VLOOKUP(F387,'Membership Level'!$A$3:$C$15,3,FALSE)+K387)</f>
        <v/>
      </c>
      <c r="Q387" s="36" t="n"/>
    </row>
    <row r="388">
      <c r="C388" s="36" t="n"/>
      <c r="D388" s="36" t="n"/>
      <c r="E388" s="35" t="n"/>
      <c r="F388" s="36" t="n"/>
      <c r="G388" s="36" t="n"/>
      <c r="H388" s="30" t="n"/>
      <c r="I388" s="30" t="n">
        <v>0</v>
      </c>
      <c r="J388" s="31">
        <f>IF(H388="","",H388-I388)</f>
        <v/>
      </c>
      <c r="K388" s="43" t="n"/>
      <c r="L388" s="32">
        <f>IF(OR(K388="",$F388=""),"",DATE(YEAR(K388),MONTH(K388)+VLOOKUP($F388,'Membership Level'!$A$3:$B$15,2,FALSE),DAY(K388)))</f>
        <v/>
      </c>
      <c r="M388" s="36" t="n"/>
      <c r="N388" s="34">
        <f>IF($L388="","",DATE(YEAR($L388),MONTH($L388),DAY($L388)-$M388))</f>
        <v/>
      </c>
      <c r="O388" s="33">
        <f>IF($L388="","",IF(DAYS360(NOW(),$L388)&gt;=0,DAYS360(NOW(),$L388),""))</f>
        <v/>
      </c>
      <c r="P388" s="34">
        <f>IF(OR(H388="",H388=0,F388="",K388=""),"",I388/H388*VLOOKUP(F388,'Membership Level'!$A$3:$C$15,3,FALSE)+K388)</f>
        <v/>
      </c>
      <c r="Q388" s="43" t="n"/>
    </row>
    <row r="389">
      <c r="C389" s="36" t="n"/>
      <c r="D389" s="36" t="n"/>
      <c r="E389" s="35" t="n"/>
      <c r="F389" s="36" t="n"/>
      <c r="G389" s="36" t="n"/>
      <c r="H389" s="30" t="n"/>
      <c r="I389" s="30" t="n">
        <v>0</v>
      </c>
      <c r="J389" s="31">
        <f>IF(H389="","",H389-I389)</f>
        <v/>
      </c>
      <c r="K389" s="43" t="n"/>
      <c r="L389" s="32">
        <f>IF(OR(K389="",$F389=""),"",DATE(YEAR(K389),MONTH(K389)+VLOOKUP($F389,'Membership Level'!$A$3:$B$15,2,FALSE),DAY(K389)))</f>
        <v/>
      </c>
      <c r="M389" s="36" t="n"/>
      <c r="N389" s="34">
        <f>IF($L389="","",DATE(YEAR($L389),MONTH($L389),DAY($L389)-$M389))</f>
        <v/>
      </c>
      <c r="O389" s="33">
        <f>IF($L389="","",IF(DAYS360(NOW(),$L389)&gt;=0,DAYS360(NOW(),$L389),""))</f>
        <v/>
      </c>
      <c r="P389" s="34">
        <f>IF(OR(H389="",H389=0,F389="",K389=""),"",I389/H389*VLOOKUP(F389,'Membership Level'!$A$3:$C$15,3,FALSE)+K389)</f>
        <v/>
      </c>
      <c r="Q389" s="36" t="n"/>
    </row>
    <row r="390" customFormat="1" s="26">
      <c r="C390" s="36" t="n"/>
      <c r="D390" s="36" t="n"/>
      <c r="E390" s="35" t="n"/>
      <c r="F390" s="36" t="n"/>
      <c r="G390" s="36" t="n"/>
      <c r="H390" s="30" t="n"/>
      <c r="I390" s="30" t="n">
        <v>0</v>
      </c>
      <c r="J390" s="31">
        <f>IF(H390="","",H390-I390)</f>
        <v/>
      </c>
      <c r="K390" s="43" t="n"/>
      <c r="L390" s="32">
        <f>IF(OR(K390="",$F390=""),"",DATE(YEAR(K390),MONTH(K390)+VLOOKUP($F390,'Membership Level'!$A$3:$B$15,2,FALSE),DAY(K390)))</f>
        <v/>
      </c>
      <c r="M390" s="36" t="n"/>
      <c r="N390" s="34">
        <f>IF($L390="","",DATE(YEAR($L390),MONTH($L390),DAY($L390)-$M390))</f>
        <v/>
      </c>
      <c r="O390" s="33">
        <f>IF($L390="","",IF(DAYS360(NOW(),$L390)&gt;=0,DAYS360(NOW(),$L390),""))</f>
        <v/>
      </c>
      <c r="P390" s="34">
        <f>IF(OR(H390="",H390=0,F390="",K390=""),"",I390/H390*VLOOKUP(F390,'Membership Level'!$A$3:$C$15,3,FALSE)+K390)</f>
        <v/>
      </c>
      <c r="Q390" s="36" t="n"/>
    </row>
    <row r="391" customFormat="1" s="26">
      <c r="C391" s="36" t="n"/>
      <c r="D391" s="36" t="n"/>
      <c r="E391" s="35" t="n"/>
      <c r="F391" s="36" t="n"/>
      <c r="G391" s="36" t="n"/>
      <c r="H391" s="30" t="n"/>
      <c r="I391" s="30" t="n">
        <v>0</v>
      </c>
      <c r="J391" s="31">
        <f>IF(H391="","",H391-I391)</f>
        <v/>
      </c>
      <c r="K391" s="43" t="n"/>
      <c r="L391" s="32">
        <f>IF(OR(K391="",$F391=""),"",DATE(YEAR(K391),MONTH(K391)+VLOOKUP($F391,'Membership Level'!$A$3:$B$15,2,FALSE),DAY(K391)))</f>
        <v/>
      </c>
      <c r="M391" s="36" t="n"/>
      <c r="N391" s="34">
        <f>IF($L391="","",DATE(YEAR($L391),MONTH($L391),DAY($L391)-$M391))</f>
        <v/>
      </c>
      <c r="O391" s="33">
        <f>IF($L391="","",IF(DAYS360(NOW(),$L391)&gt;=0,DAYS360(NOW(),$L391),""))</f>
        <v/>
      </c>
      <c r="P391" s="34">
        <f>IF(OR(H391="",H391=0,F391="",K391=""),"",I391/H391*VLOOKUP(F391,'Membership Level'!$A$3:$C$15,3,FALSE)+K391)</f>
        <v/>
      </c>
      <c r="Q391" s="36" t="n"/>
    </row>
    <row r="392">
      <c r="C392" s="36" t="n"/>
      <c r="D392" s="36" t="n"/>
      <c r="E392" s="35" t="n"/>
      <c r="F392" s="36" t="n"/>
      <c r="G392" s="36" t="n"/>
      <c r="H392" s="30" t="n"/>
      <c r="I392" s="30" t="n">
        <v>0</v>
      </c>
      <c r="J392" s="31">
        <f>IF(H392="","",H392-I392)</f>
        <v/>
      </c>
      <c r="K392" s="43" t="n"/>
      <c r="L392" s="32">
        <f>IF(OR(K392="",$F392=""),"",DATE(YEAR(K392),MONTH(K392)+VLOOKUP($F392,'Membership Level'!$A$3:$B$15,2,FALSE),DAY(K392)))</f>
        <v/>
      </c>
      <c r="M392" s="36" t="n"/>
      <c r="N392" s="34">
        <f>IF($L392="","",DATE(YEAR($L392),MONTH($L392),DAY($L392)-$M392))</f>
        <v/>
      </c>
      <c r="O392" s="33">
        <f>IF($L392="","",IF(DAYS360(NOW(),$L392)&gt;=0,DAYS360(NOW(),$L392),""))</f>
        <v/>
      </c>
      <c r="P392" s="34">
        <f>IF(OR(H392="",H392=0,F392="",K392=""),"",I392/H392*VLOOKUP(F392,'Membership Level'!$A$3:$C$15,3,FALSE)+K392)</f>
        <v/>
      </c>
      <c r="Q392" s="36" t="n"/>
    </row>
    <row r="393">
      <c r="C393" s="36" t="n"/>
      <c r="D393" s="36" t="n"/>
      <c r="E393" s="35" t="n"/>
      <c r="F393" s="36" t="n"/>
      <c r="G393" s="36" t="n"/>
      <c r="H393" s="30" t="n"/>
      <c r="I393" s="30" t="n">
        <v>0</v>
      </c>
      <c r="J393" s="31">
        <f>IF(H393="","",H393-I393)</f>
        <v/>
      </c>
      <c r="K393" s="43" t="n"/>
      <c r="L393" s="32">
        <f>IF(OR(K393="",$F393=""),"",DATE(YEAR(K393),MONTH(K393)+VLOOKUP($F393,'Membership Level'!$A$3:$B$15,2,FALSE),DAY(K393)))</f>
        <v/>
      </c>
      <c r="M393" s="36" t="n"/>
      <c r="N393" s="34">
        <f>IF($L393="","",DATE(YEAR($L393),MONTH($L393),DAY($L393)-$M393))</f>
        <v/>
      </c>
      <c r="O393" s="33">
        <f>IF($L393="","",IF(DAYS360(NOW(),$L393)&gt;=0,DAYS360(NOW(),$L393),""))</f>
        <v/>
      </c>
      <c r="P393" s="34">
        <f>IF(OR(H393="",H393=0,F393="",K393=""),"",I393/H393*VLOOKUP(F393,'Membership Level'!$A$3:$C$15,3,FALSE)+K393)</f>
        <v/>
      </c>
      <c r="Q393" s="36" t="n"/>
    </row>
    <row r="394">
      <c r="C394" s="36" t="n"/>
      <c r="D394" s="36" t="n"/>
      <c r="E394" s="35" t="n"/>
      <c r="F394" s="36" t="n"/>
      <c r="G394" s="36" t="n"/>
      <c r="H394" s="30" t="n"/>
      <c r="I394" s="30" t="n">
        <v>0</v>
      </c>
      <c r="J394" s="31">
        <f>IF(H394="","",H394-I394)</f>
        <v/>
      </c>
      <c r="K394" s="43" t="n"/>
      <c r="L394" s="32">
        <f>IF(OR(K394="",$F394=""),"",DATE(YEAR(K394),MONTH(K394)+VLOOKUP($F394,'Membership Level'!$A$3:$B$15,2,FALSE),DAY(K394)))</f>
        <v/>
      </c>
      <c r="M394" s="36" t="n"/>
      <c r="N394" s="34">
        <f>IF($L394="","",DATE(YEAR($L394),MONTH($L394),DAY($L394)-$M394))</f>
        <v/>
      </c>
      <c r="O394" s="33">
        <f>IF($L394="","",IF(DAYS360(NOW(),$L394)&gt;=0,DAYS360(NOW(),$L394),""))</f>
        <v/>
      </c>
      <c r="P394" s="34">
        <f>IF(OR(H394="",H394=0,F394="",K394=""),"",I394/H394*VLOOKUP(F394,'Membership Level'!$A$3:$C$15,3,FALSE)+K394)</f>
        <v/>
      </c>
      <c r="Q394" s="36" t="n"/>
    </row>
    <row r="395">
      <c r="C395" s="36" t="n"/>
      <c r="D395" s="36" t="n"/>
      <c r="E395" s="35" t="n"/>
      <c r="F395" s="36" t="n"/>
      <c r="G395" s="36" t="n"/>
      <c r="H395" s="30" t="n"/>
      <c r="I395" s="30" t="n">
        <v>0</v>
      </c>
      <c r="J395" s="31">
        <f>IF(H395="","",H395-I395)</f>
        <v/>
      </c>
      <c r="K395" s="43" t="n"/>
      <c r="L395" s="32">
        <f>IF(OR(K395="",$F395=""),"",DATE(YEAR(K395),MONTH(K395)+VLOOKUP($F395,'Membership Level'!$A$3:$B$15,2,FALSE),DAY(K395)))</f>
        <v/>
      </c>
      <c r="M395" s="36" t="n"/>
      <c r="N395" s="34">
        <f>IF($L395="","",DATE(YEAR($L395),MONTH($L395),DAY($L395)-$M395))</f>
        <v/>
      </c>
      <c r="O395" s="33">
        <f>IF($L395="","",IF(DAYS360(NOW(),$L395)&gt;=0,DAYS360(NOW(),$L395),""))</f>
        <v/>
      </c>
      <c r="P395" s="34">
        <f>IF(OR(H395="",H395=0,F395="",K395=""),"",I395/H395*VLOOKUP(F395,'Membership Level'!$A$3:$C$15,3,FALSE)+K395)</f>
        <v/>
      </c>
      <c r="Q395" s="36" t="n"/>
    </row>
    <row r="396">
      <c r="C396" s="36" t="n"/>
      <c r="D396" s="36" t="n"/>
      <c r="E396" s="35" t="n"/>
      <c r="F396" s="36" t="n"/>
      <c r="G396" s="36" t="n"/>
      <c r="H396" s="30" t="n"/>
      <c r="I396" s="30" t="n">
        <v>0</v>
      </c>
      <c r="J396" s="31">
        <f>IF(H396="","",H396-I396)</f>
        <v/>
      </c>
      <c r="K396" s="43" t="n"/>
      <c r="L396" s="32">
        <f>IF(OR(K396="",$F396=""),"",DATE(YEAR(K396),MONTH(K396)+VLOOKUP($F396,'Membership Level'!$A$3:$B$15,2,FALSE),DAY(K396)))</f>
        <v/>
      </c>
      <c r="M396" s="36" t="n"/>
      <c r="N396" s="34">
        <f>IF($L396="","",DATE(YEAR($L396),MONTH($L396),DAY($L396)-$M396))</f>
        <v/>
      </c>
      <c r="O396" s="33">
        <f>IF($L396="","",IF(DAYS360(NOW(),$L396)&gt;=0,DAYS360(NOW(),$L396),""))</f>
        <v/>
      </c>
      <c r="P396" s="34">
        <f>IF(OR(H396="",H396=0,F396="",K396=""),"",I396/H396*VLOOKUP(F396,'Membership Level'!$A$3:$C$15,3,FALSE)+K396)</f>
        <v/>
      </c>
      <c r="Q396" s="36" t="n"/>
    </row>
    <row r="397">
      <c r="C397" s="36" t="n"/>
      <c r="D397" s="36" t="n"/>
      <c r="E397" s="35" t="n"/>
      <c r="F397" s="36" t="n"/>
      <c r="G397" s="36" t="n"/>
      <c r="H397" s="30" t="n"/>
      <c r="I397" s="30" t="n">
        <v>0</v>
      </c>
      <c r="J397" s="31">
        <f>IF(H397="","",H397-I397)</f>
        <v/>
      </c>
      <c r="K397" s="43" t="n"/>
      <c r="L397" s="32">
        <f>IF(OR(K397="",$F397=""),"",DATE(YEAR(K397),MONTH(K397)+VLOOKUP($F397,'Membership Level'!$A$3:$B$15,2,FALSE),DAY(K397)))</f>
        <v/>
      </c>
      <c r="M397" s="36" t="n"/>
      <c r="N397" s="34">
        <f>IF($L397="","",DATE(YEAR($L397),MONTH($L397),DAY($L397)-$M397))</f>
        <v/>
      </c>
      <c r="O397" s="33">
        <f>IF($L397="","",IF(DAYS360(NOW(),$L397)&gt;=0,DAYS360(NOW(),$L397),""))</f>
        <v/>
      </c>
      <c r="P397" s="34">
        <f>IF(OR(H397="",H397=0,F397="",K397=""),"",I397/H397*VLOOKUP(F397,'Membership Level'!$A$3:$C$15,3,FALSE)+K397)</f>
        <v/>
      </c>
      <c r="Q397" s="36" t="n"/>
    </row>
    <row r="398">
      <c r="C398" s="36" t="n"/>
      <c r="D398" s="36" t="n"/>
      <c r="E398" s="35" t="n"/>
      <c r="F398" s="36" t="n"/>
      <c r="G398" s="36" t="n"/>
      <c r="H398" s="30" t="n"/>
      <c r="I398" s="30" t="n">
        <v>0</v>
      </c>
      <c r="J398" s="31">
        <f>IF(H398="","",H398-I398)</f>
        <v/>
      </c>
      <c r="K398" s="43" t="n"/>
      <c r="L398" s="32">
        <f>IF(OR(K398="",$F398=""),"",DATE(YEAR(K398),MONTH(K398)+VLOOKUP($F398,'Membership Level'!$A$3:$B$15,2,FALSE),DAY(K398)))</f>
        <v/>
      </c>
      <c r="M398" s="36" t="n"/>
      <c r="N398" s="34">
        <f>IF($L398="","",DATE(YEAR($L398),MONTH($L398),DAY($L398)-$M398))</f>
        <v/>
      </c>
      <c r="O398" s="33">
        <f>IF($L398="","",IF(DAYS360(NOW(),$L398)&gt;=0,DAYS360(NOW(),$L398),""))</f>
        <v/>
      </c>
      <c r="P398" s="34">
        <f>IF(OR(H398="",H398=0,F398="",K398=""),"",I398/H398*VLOOKUP(F398,'Membership Level'!$A$3:$C$15,3,FALSE)+K398)</f>
        <v/>
      </c>
      <c r="Q398" s="36" t="n"/>
    </row>
    <row r="399">
      <c r="C399" s="36" t="n"/>
      <c r="D399" s="36" t="n"/>
      <c r="E399" s="35" t="n"/>
      <c r="F399" s="36" t="n"/>
      <c r="G399" s="36" t="n"/>
      <c r="H399" s="30" t="n"/>
      <c r="I399" s="30" t="n">
        <v>0</v>
      </c>
      <c r="J399" s="31">
        <f>IF(H399="","",H399-I399)</f>
        <v/>
      </c>
      <c r="K399" s="43" t="n"/>
      <c r="L399" s="32">
        <f>IF(OR(K399="",$F399=""),"",DATE(YEAR(K399),MONTH(K399)+VLOOKUP($F399,'Membership Level'!$A$3:$B$15,2,FALSE),DAY(K399)))</f>
        <v/>
      </c>
      <c r="M399" s="36" t="n"/>
      <c r="N399" s="34">
        <f>IF($L399="","",DATE(YEAR($L399),MONTH($L399),DAY($L399)-$M399))</f>
        <v/>
      </c>
      <c r="O399" s="33">
        <f>IF($L399="","",IF(DAYS360(NOW(),$L399)&gt;=0,DAYS360(NOW(),$L399),""))</f>
        <v/>
      </c>
      <c r="P399" s="34">
        <f>IF(OR(H399="",H399=0,F399="",K399=""),"",I399/H399*VLOOKUP(F399,'Membership Level'!$A$3:$C$15,3,FALSE)+K399)</f>
        <v/>
      </c>
      <c r="Q399" s="36" t="n"/>
    </row>
    <row r="400">
      <c r="C400" s="36" t="n"/>
      <c r="D400" s="36" t="n"/>
      <c r="E400" s="35" t="n"/>
      <c r="F400" s="36" t="n"/>
      <c r="G400" s="36" t="n"/>
      <c r="H400" s="30" t="n"/>
      <c r="I400" s="30" t="n">
        <v>0</v>
      </c>
      <c r="J400" s="31">
        <f>IF(H400="","",H400-I400)</f>
        <v/>
      </c>
      <c r="K400" s="43" t="n"/>
      <c r="L400" s="32">
        <f>IF(OR(K400="",$F400=""),"",DATE(YEAR(K400),MONTH(K400)+VLOOKUP($F400,'Membership Level'!$A$3:$B$15,2,FALSE),DAY(K400)))</f>
        <v/>
      </c>
      <c r="M400" s="36" t="n"/>
      <c r="N400" s="34">
        <f>IF($L400="","",DATE(YEAR($L400),MONTH($L400),DAY($L400)-$M400))</f>
        <v/>
      </c>
      <c r="O400" s="33">
        <f>IF($L400="","",IF(DAYS360(NOW(),$L400)&gt;=0,DAYS360(NOW(),$L400),""))</f>
        <v/>
      </c>
      <c r="P400" s="34">
        <f>IF(OR(H400="",H400=0,F400="",K400=""),"",I400/H400*VLOOKUP(F400,'Membership Level'!$A$3:$C$15,3,FALSE)+K400)</f>
        <v/>
      </c>
      <c r="Q400" s="36" t="n"/>
    </row>
    <row r="401" customFormat="1" s="22">
      <c r="C401" s="36" t="n"/>
      <c r="D401" s="36" t="n"/>
      <c r="E401" s="35" t="n"/>
      <c r="F401" s="36" t="n"/>
      <c r="G401" s="36" t="n"/>
      <c r="H401" s="30" t="n"/>
      <c r="I401" s="30" t="n">
        <v>0</v>
      </c>
      <c r="J401" s="31">
        <f>IF(H401="","",H401-I401)</f>
        <v/>
      </c>
      <c r="K401" s="43" t="n"/>
      <c r="L401" s="32">
        <f>IF(OR(K401="",$F401=""),"",DATE(YEAR(K401),MONTH(K401)+VLOOKUP($F401,'Membership Level'!$A$3:$B$15,2,FALSE),DAY(K401)))</f>
        <v/>
      </c>
      <c r="M401" s="36" t="n"/>
      <c r="N401" s="34">
        <f>IF($L401="","",DATE(YEAR($L401),MONTH($L401),DAY($L401)-$M401))</f>
        <v/>
      </c>
      <c r="O401" s="33">
        <f>IF($L401="","",IF(DAYS360(NOW(),$L401)&gt;=0,DAYS360(NOW(),$L401),""))</f>
        <v/>
      </c>
      <c r="P401" s="34">
        <f>IF(OR(H401="",H401=0,F401="",K401=""),"",I401/H401*VLOOKUP(F401,'Membership Level'!$A$3:$C$15,3,FALSE)+K401)</f>
        <v/>
      </c>
      <c r="Q401" s="36" t="n"/>
    </row>
    <row r="402">
      <c r="C402" s="36" t="n"/>
      <c r="D402" s="36" t="n"/>
      <c r="E402" s="35" t="n"/>
      <c r="F402" s="36" t="n"/>
      <c r="G402" s="36" t="n"/>
      <c r="H402" s="30" t="n"/>
      <c r="I402" s="30" t="n">
        <v>0</v>
      </c>
      <c r="J402" s="31">
        <f>IF(H402="","",H402-I402)</f>
        <v/>
      </c>
      <c r="K402" s="43" t="n"/>
      <c r="L402" s="32">
        <f>IF(OR(K402="",$F402=""),"",DATE(YEAR(K402),MONTH(K402)+VLOOKUP($F402,'Membership Level'!$A$3:$B$15,2,FALSE),DAY(K402)))</f>
        <v/>
      </c>
      <c r="M402" s="36" t="n"/>
      <c r="N402" s="34">
        <f>IF($L402="","",DATE(YEAR($L402),MONTH($L402),DAY($L402)-$M402))</f>
        <v/>
      </c>
      <c r="O402" s="33">
        <f>IF($L402="","",IF(DAYS360(NOW(),$L402)&gt;=0,DAYS360(NOW(),$L402),""))</f>
        <v/>
      </c>
      <c r="P402" s="34">
        <f>IF(OR(H402="",H402=0,F402="",K402=""),"",I402/H402*VLOOKUP(F402,'Membership Level'!$A$3:$C$15,3,FALSE)+K402)</f>
        <v/>
      </c>
      <c r="Q402" s="36" t="n"/>
    </row>
    <row r="403">
      <c r="C403" s="36" t="n"/>
      <c r="D403" s="36" t="n"/>
      <c r="E403" s="35" t="n"/>
      <c r="F403" s="36" t="n"/>
      <c r="G403" s="36" t="n"/>
      <c r="H403" s="30" t="n"/>
      <c r="I403" s="30" t="n">
        <v>0</v>
      </c>
      <c r="J403" s="31">
        <f>IF(H403="","",H403-I403)</f>
        <v/>
      </c>
      <c r="K403" s="43" t="n"/>
      <c r="L403" s="32">
        <f>IF(OR(K403="",$F403=""),"",DATE(YEAR(K403),MONTH(K403)+VLOOKUP($F403,'Membership Level'!$A$3:$B$15,2,FALSE),DAY(K403)))</f>
        <v/>
      </c>
      <c r="M403" s="36" t="n"/>
      <c r="N403" s="34">
        <f>IF($L403="","",DATE(YEAR($L403),MONTH($L403),DAY($L403)-$M403))</f>
        <v/>
      </c>
      <c r="O403" s="33">
        <f>IF($L403="","",IF(DAYS360(NOW(),$L403)&gt;=0,DAYS360(NOW(),$L403),""))</f>
        <v/>
      </c>
      <c r="P403" s="34">
        <f>IF(OR(H403="",H403=0,F403="",K403=""),"",I403/H403*VLOOKUP(F403,'Membership Level'!$A$3:$C$15,3,FALSE)+K403)</f>
        <v/>
      </c>
      <c r="Q403" s="36" t="n"/>
    </row>
    <row r="404">
      <c r="C404" s="36" t="n"/>
      <c r="D404" s="36" t="n"/>
      <c r="E404" s="35" t="n"/>
      <c r="F404" s="36" t="n"/>
      <c r="G404" s="36" t="n"/>
      <c r="H404" s="30" t="n"/>
      <c r="I404" s="30" t="n">
        <v>0</v>
      </c>
      <c r="J404" s="31">
        <f>IF(H404="","",H404-I404)</f>
        <v/>
      </c>
      <c r="K404" s="43" t="n"/>
      <c r="L404" s="32">
        <f>IF(OR(K404="",$F404=""),"",DATE(YEAR(K404),MONTH(K404)+VLOOKUP($F404,'Membership Level'!$A$3:$B$15,2,FALSE),DAY(K404)))</f>
        <v/>
      </c>
      <c r="M404" s="36" t="n"/>
      <c r="N404" s="34">
        <f>IF($L404="","",DATE(YEAR($L404),MONTH($L404),DAY($L404)-$M404))</f>
        <v/>
      </c>
      <c r="O404" s="33">
        <f>IF($L404="","",IF(DAYS360(NOW(),$L404)&gt;=0,DAYS360(NOW(),$L404),""))</f>
        <v/>
      </c>
      <c r="P404" s="34">
        <f>IF(OR(H404="",H404=0,F404="",K404=""),"",I404/H404*VLOOKUP(F404,'Membership Level'!$A$3:$C$15,3,FALSE)+K404)</f>
        <v/>
      </c>
      <c r="Q404" s="36" t="n"/>
    </row>
    <row r="405">
      <c r="C405" s="36" t="n"/>
      <c r="D405" s="36" t="n"/>
      <c r="E405" s="35" t="n"/>
      <c r="F405" s="36" t="n"/>
      <c r="G405" s="36" t="n"/>
      <c r="H405" s="30" t="n"/>
      <c r="I405" s="30" t="n">
        <v>0</v>
      </c>
      <c r="J405" s="31">
        <f>IF(H405="","",H405-I405)</f>
        <v/>
      </c>
      <c r="K405" s="43" t="n"/>
      <c r="L405" s="32">
        <f>IF(OR(K405="",$F405=""),"",DATE(YEAR(K405),MONTH(K405)+VLOOKUP($F405,'Membership Level'!$A$3:$B$15,2,FALSE),DAY(K405)))</f>
        <v/>
      </c>
      <c r="M405" s="36" t="n"/>
      <c r="N405" s="34">
        <f>IF($L405="","",DATE(YEAR($L405),MONTH($L405),DAY($L405)-$M405))</f>
        <v/>
      </c>
      <c r="O405" s="33">
        <f>IF($L405="","",IF(DAYS360(NOW(),$L405)&gt;=0,DAYS360(NOW(),$L405),""))</f>
        <v/>
      </c>
      <c r="P405" s="34">
        <f>IF(OR(H405="",H405=0,F405="",K405=""),"",I405/H405*VLOOKUP(F405,'Membership Level'!$A$3:$C$15,3,FALSE)+K405)</f>
        <v/>
      </c>
      <c r="Q405" s="36" t="n"/>
    </row>
    <row r="406">
      <c r="C406" s="36" t="n"/>
      <c r="D406" s="36" t="n"/>
      <c r="E406" s="35" t="n"/>
      <c r="F406" s="36" t="n"/>
      <c r="G406" s="36" t="n"/>
      <c r="H406" s="30" t="n"/>
      <c r="I406" s="30" t="n">
        <v>0</v>
      </c>
      <c r="J406" s="31">
        <f>IF(H406="","",H406-I406)</f>
        <v/>
      </c>
      <c r="K406" s="43" t="n"/>
      <c r="L406" s="32">
        <f>IF(OR(K406="",$F406=""),"",DATE(YEAR(K406),MONTH(K406)+VLOOKUP($F406,'Membership Level'!$A$3:$B$15,2,FALSE),DAY(K406)))</f>
        <v/>
      </c>
      <c r="M406" s="36" t="n"/>
      <c r="N406" s="34">
        <f>IF($L406="","",DATE(YEAR($L406),MONTH($L406),DAY($L406)-$M406))</f>
        <v/>
      </c>
      <c r="O406" s="33">
        <f>IF($L406="","",IF(DAYS360(NOW(),$L406)&gt;=0,DAYS360(NOW(),$L406),""))</f>
        <v/>
      </c>
      <c r="P406" s="34">
        <f>IF(OR(H406="",H406=0,F406="",K406=""),"",I406/H406*VLOOKUP(F406,'Membership Level'!$A$3:$C$15,3,FALSE)+K406)</f>
        <v/>
      </c>
      <c r="Q406" s="36" t="n"/>
    </row>
    <row r="407">
      <c r="C407" s="36" t="n"/>
      <c r="D407" s="36" t="n"/>
      <c r="E407" s="35" t="n"/>
      <c r="F407" s="36" t="n"/>
      <c r="G407" s="36" t="n"/>
      <c r="H407" s="30" t="n"/>
      <c r="I407" s="30" t="n">
        <v>0</v>
      </c>
      <c r="J407" s="31">
        <f>IF(H407="","",H407-I407)</f>
        <v/>
      </c>
      <c r="K407" s="43" t="n"/>
      <c r="L407" s="32">
        <f>IF(OR(K407="",$F407=""),"",DATE(YEAR(K407),MONTH(K407)+VLOOKUP($F407,'Membership Level'!$A$3:$B$15,2,FALSE),DAY(K407)))</f>
        <v/>
      </c>
      <c r="M407" s="36" t="n"/>
      <c r="N407" s="34">
        <f>IF($L407="","",DATE(YEAR($L407),MONTH($L407),DAY($L407)-$M407))</f>
        <v/>
      </c>
      <c r="O407" s="33">
        <f>IF($L407="","",IF(DAYS360(NOW(),$L407)&gt;=0,DAYS360(NOW(),$L407),""))</f>
        <v/>
      </c>
      <c r="P407" s="34">
        <f>IF(OR(H407="",H407=0,F407="",K407=""),"",I407/H407*VLOOKUP(F407,'Membership Level'!$A$3:$C$15,3,FALSE)+K407)</f>
        <v/>
      </c>
      <c r="Q407" s="36" t="n"/>
    </row>
    <row r="408">
      <c r="C408" s="36" t="n"/>
      <c r="D408" s="36" t="n"/>
      <c r="E408" s="36" t="n"/>
      <c r="F408" s="36" t="n"/>
      <c r="G408" s="36" t="n"/>
      <c r="H408" s="30" t="n"/>
      <c r="I408" s="30" t="n">
        <v>0</v>
      </c>
      <c r="J408" s="31">
        <f>IF(H408="","",H408-I408)</f>
        <v/>
      </c>
      <c r="K408" s="43" t="n"/>
      <c r="L408" s="32">
        <f>IF(OR(K408="",$F408=""),"",DATE(YEAR(K408),MONTH(K408)+VLOOKUP($F408,'Membership Level'!$A$3:$B$15,2,FALSE),DAY(K408)))</f>
        <v/>
      </c>
      <c r="M408" s="36" t="n"/>
      <c r="N408" s="34">
        <f>IF($L408="","",DATE(YEAR($L408),MONTH($L408),DAY($L408)-$M408))</f>
        <v/>
      </c>
      <c r="O408" s="33">
        <f>IF($L408="","",IF(DAYS360(NOW(),$L408)&gt;=0,DAYS360(NOW(),$L408),""))</f>
        <v/>
      </c>
      <c r="P408" s="34">
        <f>IF(OR(H408="",H408=0,F408="",K408=""),"",I408/H408*VLOOKUP(F408,'Membership Level'!$A$3:$C$15,3,FALSE)+K408)</f>
        <v/>
      </c>
      <c r="Q408" s="36" t="n"/>
    </row>
    <row r="409">
      <c r="C409" s="36" t="n"/>
      <c r="D409" s="36" t="n"/>
      <c r="E409" s="35" t="n"/>
      <c r="F409" s="36" t="n"/>
      <c r="G409" s="36" t="n"/>
      <c r="H409" s="30" t="n"/>
      <c r="I409" s="30" t="n">
        <v>0</v>
      </c>
      <c r="J409" s="31">
        <f>IF(H409="","",H409-I409)</f>
        <v/>
      </c>
      <c r="K409" s="43" t="n"/>
      <c r="L409" s="32">
        <f>IF(OR(K409="",$F409=""),"",DATE(YEAR(K409),MONTH(K409)+VLOOKUP($F409,'Membership Level'!$A$3:$B$15,2,FALSE),DAY(K409)))</f>
        <v/>
      </c>
      <c r="M409" s="36" t="n"/>
      <c r="N409" s="34">
        <f>IF($L409="","",DATE(YEAR($L409),MONTH($L409),DAY($L409)-$M409))</f>
        <v/>
      </c>
      <c r="O409" s="33">
        <f>IF($L409="","",IF(DAYS360(NOW(),$L409)&gt;=0,DAYS360(NOW(),$L409),""))</f>
        <v/>
      </c>
      <c r="P409" s="34">
        <f>IF(OR(H409="",H409=0,F409="",K409=""),"",I409/H409*VLOOKUP(F409,'Membership Level'!$A$3:$C$15,3,FALSE)+K409)</f>
        <v/>
      </c>
      <c r="Q409" s="36" t="n"/>
    </row>
    <row r="410">
      <c r="C410" s="36" t="n"/>
      <c r="D410" s="36" t="n"/>
      <c r="E410" s="35" t="n"/>
      <c r="F410" s="36" t="n"/>
      <c r="G410" s="36" t="n"/>
      <c r="H410" s="30" t="n"/>
      <c r="I410" s="30" t="n">
        <v>0</v>
      </c>
      <c r="J410" s="31">
        <f>IF(H410="","",H410-I410)</f>
        <v/>
      </c>
      <c r="K410" s="43" t="n"/>
      <c r="L410" s="32">
        <f>IF(OR(K410="",$F410=""),"",DATE(YEAR(K410),MONTH(K410)+VLOOKUP($F410,'Membership Level'!$A$3:$B$15,2,FALSE),DAY(K410)))</f>
        <v/>
      </c>
      <c r="M410" s="36" t="n"/>
      <c r="N410" s="34">
        <f>IF($L410="","",DATE(YEAR($L410),MONTH($L410),DAY($L410)-$M410))</f>
        <v/>
      </c>
      <c r="O410" s="33">
        <f>IF($L410="","",IF(DAYS360(NOW(),$L410)&gt;=0,DAYS360(NOW(),$L410),""))</f>
        <v/>
      </c>
      <c r="P410" s="34">
        <f>IF(OR(H410="",H410=0,F410="",K410=""),"",I410/H410*VLOOKUP(F410,'Membership Level'!$A$3:$C$15,3,FALSE)+K410)</f>
        <v/>
      </c>
      <c r="Q410" s="36" t="n"/>
    </row>
    <row r="411">
      <c r="C411" s="36" t="n"/>
      <c r="D411" s="36" t="n"/>
      <c r="E411" s="35" t="n"/>
      <c r="F411" s="36" t="n"/>
      <c r="G411" s="36" t="n"/>
      <c r="H411" s="30" t="n"/>
      <c r="I411" s="30" t="n">
        <v>0</v>
      </c>
      <c r="J411" s="31">
        <f>IF(H411="","",H411-I411)</f>
        <v/>
      </c>
      <c r="K411" s="43" t="n"/>
      <c r="L411" s="32">
        <f>IF(OR(K411="",$F411=""),"",DATE(YEAR(K411),MONTH(K411)+VLOOKUP($F411,'Membership Level'!$A$3:$B$15,2,FALSE),DAY(K411)))</f>
        <v/>
      </c>
      <c r="M411" s="36" t="n"/>
      <c r="N411" s="34">
        <f>IF($L411="","",DATE(YEAR($L411),MONTH($L411),DAY($L411)-$M411))</f>
        <v/>
      </c>
      <c r="O411" s="33">
        <f>IF($L411="","",IF(DAYS360(NOW(),$L411)&gt;=0,DAYS360(NOW(),$L411),""))</f>
        <v/>
      </c>
      <c r="P411" s="34">
        <f>IF(OR(H411="",H411=0,F411="",K411=""),"",I411/H411*VLOOKUP(F411,'Membership Level'!$A$3:$C$15,3,FALSE)+K411)</f>
        <v/>
      </c>
      <c r="Q411" s="36" t="n"/>
    </row>
    <row r="412">
      <c r="C412" s="36" t="n"/>
      <c r="D412" s="36" t="n"/>
      <c r="E412" s="35" t="n"/>
      <c r="F412" s="36" t="n"/>
      <c r="G412" s="36" t="n"/>
      <c r="H412" s="30" t="n"/>
      <c r="I412" s="30" t="n">
        <v>0</v>
      </c>
      <c r="J412" s="31">
        <f>IF(H412="","",H412-I412)</f>
        <v/>
      </c>
      <c r="K412" s="43" t="n"/>
      <c r="L412" s="32">
        <f>IF(OR(K412="",$F412=""),"",DATE(YEAR(K412),MONTH(K412)+VLOOKUP($F412,'Membership Level'!$A$3:$B$15,2,FALSE),DAY(K412)))</f>
        <v/>
      </c>
      <c r="M412" s="36" t="n"/>
      <c r="N412" s="34">
        <f>IF($L412="","",DATE(YEAR($L412),MONTH($L412),DAY($L412)-$M412))</f>
        <v/>
      </c>
      <c r="O412" s="33">
        <f>IF($L412="","",IF(DAYS360(NOW(),$L412)&gt;=0,DAYS360(NOW(),$L412),""))</f>
        <v/>
      </c>
      <c r="P412" s="34">
        <f>IF(OR(H412="",H412=0,F412="",K412=""),"",I412/H412*VLOOKUP(F412,'Membership Level'!$A$3:$C$15,3,FALSE)+K412)</f>
        <v/>
      </c>
      <c r="Q412" s="36" t="n"/>
    </row>
    <row r="413">
      <c r="C413" s="36" t="n"/>
      <c r="D413" s="36" t="n"/>
      <c r="E413" s="35" t="n"/>
      <c r="F413" s="36" t="n"/>
      <c r="G413" s="36" t="n"/>
      <c r="H413" s="30" t="n"/>
      <c r="I413" s="30" t="n">
        <v>0</v>
      </c>
      <c r="J413" s="31">
        <f>IF(H413="","",H413-I413)</f>
        <v/>
      </c>
      <c r="K413" s="43" t="n"/>
      <c r="L413" s="32">
        <f>IF(OR(K413="",$F413=""),"",DATE(YEAR(K413),MONTH(K413)+VLOOKUP($F413,'Membership Level'!$A$3:$B$15,2,FALSE),DAY(K413)))</f>
        <v/>
      </c>
      <c r="M413" s="36" t="n"/>
      <c r="N413" s="34">
        <f>IF($L413="","",DATE(YEAR($L413),MONTH($L413),DAY($L413)-$M413))</f>
        <v/>
      </c>
      <c r="O413" s="33">
        <f>IF($L413="","",IF(DAYS360(NOW(),$L413)&gt;=0,DAYS360(NOW(),$L413),""))</f>
        <v/>
      </c>
      <c r="P413" s="34">
        <f>IF(OR(H413="",H413=0,F413="",K413=""),"",I413/H413*VLOOKUP(F413,'Membership Level'!$A$3:$C$15,3,FALSE)+K413)</f>
        <v/>
      </c>
      <c r="Q413" s="36" t="n"/>
    </row>
    <row r="414">
      <c r="C414" s="36" t="n"/>
      <c r="D414" s="36" t="n"/>
      <c r="E414" s="35" t="n"/>
      <c r="F414" s="36" t="n"/>
      <c r="G414" s="36" t="n"/>
      <c r="H414" s="30" t="n"/>
      <c r="I414" s="30" t="n">
        <v>0</v>
      </c>
      <c r="J414" s="31">
        <f>IF(H414="","",H414-I414)</f>
        <v/>
      </c>
      <c r="K414" s="43" t="n"/>
      <c r="L414" s="32">
        <f>IF(OR(K414="",$F414=""),"",DATE(YEAR(K414),MONTH(K414)+VLOOKUP($F414,'Membership Level'!$A$3:$B$15,2,FALSE),DAY(K414)))</f>
        <v/>
      </c>
      <c r="M414" s="36" t="n"/>
      <c r="N414" s="34">
        <f>IF($L414="","",DATE(YEAR($L414),MONTH($L414),DAY($L414)-$M414))</f>
        <v/>
      </c>
      <c r="O414" s="33">
        <f>IF($L414="","",IF(DAYS360(NOW(),$L414)&gt;=0,DAYS360(NOW(),$L414),""))</f>
        <v/>
      </c>
      <c r="P414" s="34">
        <f>IF(OR(H414="",H414=0,F414="",K414=""),"",I414/H414*VLOOKUP(F414,'Membership Level'!$A$3:$C$15,3,FALSE)+K414)</f>
        <v/>
      </c>
      <c r="Q414" s="36" t="n"/>
    </row>
    <row r="415">
      <c r="C415" s="36" t="n"/>
      <c r="D415" s="36" t="n"/>
      <c r="E415" s="35" t="n"/>
      <c r="F415" s="36" t="n"/>
      <c r="G415" s="36" t="n"/>
      <c r="H415" s="30" t="n"/>
      <c r="I415" s="30" t="n">
        <v>0</v>
      </c>
      <c r="J415" s="31">
        <f>IF(H415="","",H415-I415)</f>
        <v/>
      </c>
      <c r="K415" s="43" t="n"/>
      <c r="L415" s="32">
        <f>IF(OR(K415="",$F415=""),"",DATE(YEAR(K415),MONTH(K415)+VLOOKUP($F415,'Membership Level'!$A$3:$B$15,2,FALSE),DAY(K415)))</f>
        <v/>
      </c>
      <c r="M415" s="36" t="n"/>
      <c r="N415" s="34">
        <f>IF($L415="","",DATE(YEAR($L415),MONTH($L415),DAY($L415)-$M415))</f>
        <v/>
      </c>
      <c r="O415" s="33">
        <f>IF($L415="","",IF(DAYS360(NOW(),$L415)&gt;=0,DAYS360(NOW(),$L415),""))</f>
        <v/>
      </c>
      <c r="P415" s="34">
        <f>IF(OR(H415="",H415=0,F415="",K415=""),"",I415/H415*VLOOKUP(F415,'Membership Level'!$A$3:$C$15,3,FALSE)+K415)</f>
        <v/>
      </c>
      <c r="Q415" s="36" t="n"/>
    </row>
    <row r="416" customFormat="1" s="22">
      <c r="C416" s="36" t="n"/>
      <c r="D416" s="36" t="n"/>
      <c r="E416" s="35" t="n"/>
      <c r="F416" s="36" t="n"/>
      <c r="G416" s="36" t="n"/>
      <c r="H416" s="30" t="n"/>
      <c r="I416" s="30" t="n">
        <v>0</v>
      </c>
      <c r="J416" s="31">
        <f>IF(H416="","",H416-I416)</f>
        <v/>
      </c>
      <c r="K416" s="43" t="n"/>
      <c r="L416" s="32">
        <f>IF(OR(K416="",$F416=""),"",DATE(YEAR(K416),MONTH(K416)+VLOOKUP($F416,'Membership Level'!$A$3:$B$15,2,FALSE),DAY(K416)))</f>
        <v/>
      </c>
      <c r="M416" s="36" t="n"/>
      <c r="N416" s="34">
        <f>IF($L416="","",DATE(YEAR($L416),MONTH($L416),DAY($L416)-$M416))</f>
        <v/>
      </c>
      <c r="O416" s="33">
        <f>IF($L416="","",IF(DAYS360(NOW(),$L416)&gt;=0,DAYS360(NOW(),$L416),""))</f>
        <v/>
      </c>
      <c r="P416" s="34">
        <f>IF(OR(H416="",H416=0,F416="",K416=""),"",I416/H416*VLOOKUP(F416,'Membership Level'!$A$3:$C$15,3,FALSE)+K416)</f>
        <v/>
      </c>
      <c r="Q416" s="36" t="n"/>
    </row>
    <row r="417" customFormat="1" s="22">
      <c r="C417" s="36" t="n"/>
      <c r="D417" s="36" t="n"/>
      <c r="E417" s="35" t="n"/>
      <c r="F417" s="36" t="n"/>
      <c r="G417" s="36" t="n"/>
      <c r="H417" s="30" t="n"/>
      <c r="I417" s="30" t="n">
        <v>0</v>
      </c>
      <c r="J417" s="31">
        <f>IF(H417="","",H417-I417)</f>
        <v/>
      </c>
      <c r="K417" s="43" t="n"/>
      <c r="L417" s="32">
        <f>IF(OR(K417="",$F417=""),"",DATE(YEAR(K417),MONTH(K417)+VLOOKUP($F417,'Membership Level'!$A$3:$B$15,2,FALSE),DAY(K417)))</f>
        <v/>
      </c>
      <c r="M417" s="36" t="n"/>
      <c r="N417" s="34">
        <f>IF($L417="","",DATE(YEAR($L417),MONTH($L417),DAY($L417)-$M417))</f>
        <v/>
      </c>
      <c r="O417" s="33">
        <f>IF($L417="","",IF(DAYS360(NOW(),$L417)&gt;=0,DAYS360(NOW(),$L417),""))</f>
        <v/>
      </c>
      <c r="P417" s="34">
        <f>IF(OR(H417="",H417=0,F417="",K417=""),"",I417/H417*VLOOKUP(F417,'Membership Level'!$A$3:$C$15,3,FALSE)+K417)</f>
        <v/>
      </c>
      <c r="Q417" s="36" t="n"/>
    </row>
    <row r="418">
      <c r="C418" s="36" t="n"/>
      <c r="D418" s="36" t="n"/>
      <c r="E418" s="35" t="n"/>
      <c r="F418" s="36" t="n"/>
      <c r="G418" s="36" t="n"/>
      <c r="H418" s="30" t="n"/>
      <c r="I418" s="30" t="n">
        <v>0</v>
      </c>
      <c r="J418" s="31">
        <f>IF(H418="","",H418-I418)</f>
        <v/>
      </c>
      <c r="K418" s="43" t="n"/>
      <c r="L418" s="32">
        <f>IF(OR(K418="",$F418=""),"",DATE(YEAR(K418),MONTH(K418)+VLOOKUP($F418,'Membership Level'!$A$3:$B$15,2,FALSE),DAY(K418)))</f>
        <v/>
      </c>
      <c r="M418" s="36" t="n"/>
      <c r="N418" s="34">
        <f>IF($L418="","",DATE(YEAR($L418),MONTH($L418),DAY($L418)-$M418))</f>
        <v/>
      </c>
      <c r="O418" s="33">
        <f>IF($L418="","",IF(DAYS360(NOW(),$L418)&gt;=0,DAYS360(NOW(),$L418),""))</f>
        <v/>
      </c>
      <c r="P418" s="34">
        <f>IF(OR(H418="",H418=0,F418="",K418=""),"",I418/H418*VLOOKUP(F418,'Membership Level'!$A$3:$C$15,3,FALSE)+K418)</f>
        <v/>
      </c>
      <c r="Q418" s="36" t="n"/>
    </row>
    <row r="419">
      <c r="C419" s="36" t="n"/>
      <c r="D419" s="36" t="n"/>
      <c r="E419" s="36" t="n"/>
      <c r="F419" s="36" t="n"/>
      <c r="G419" s="36" t="n"/>
      <c r="H419" s="30" t="n"/>
      <c r="I419" s="30" t="n">
        <v>0</v>
      </c>
      <c r="J419" s="31">
        <f>IF(H419="","",H419-I419)</f>
        <v/>
      </c>
      <c r="K419" s="43" t="n"/>
      <c r="L419" s="32">
        <f>IF(OR(K419="",$F419=""),"",DATE(YEAR(K419),MONTH(K419)+VLOOKUP($F419,'Membership Level'!$A$3:$B$15,2,FALSE),DAY(K419)))</f>
        <v/>
      </c>
      <c r="M419" s="36" t="n"/>
      <c r="N419" s="34">
        <f>IF($L419="","",DATE(YEAR($L419),MONTH($L419),DAY($L419)-$M419))</f>
        <v/>
      </c>
      <c r="O419" s="33">
        <f>IF($L419="","",IF(DAYS360(NOW(),$L419)&gt;=0,DAYS360(NOW(),$L419),""))</f>
        <v/>
      </c>
      <c r="P419" s="34">
        <f>IF(OR(H419="",H419=0,F419="",K419=""),"",I419/H419*VLOOKUP(F419,'Membership Level'!$A$3:$C$15,3,FALSE)+K419)</f>
        <v/>
      </c>
      <c r="Q419" s="36" t="n"/>
    </row>
    <row r="420">
      <c r="C420" s="36" t="n"/>
      <c r="D420" s="36" t="n"/>
      <c r="E420" s="35" t="n"/>
      <c r="F420" s="36" t="n"/>
      <c r="G420" s="36" t="n"/>
      <c r="H420" s="30" t="n"/>
      <c r="I420" s="30" t="n">
        <v>0</v>
      </c>
      <c r="J420" s="31">
        <f>IF(H420="","",H420-I420)</f>
        <v/>
      </c>
      <c r="K420" s="43" t="n"/>
      <c r="L420" s="32">
        <f>IF(OR(K420="",$F420=""),"",DATE(YEAR(K420),MONTH(K420)+VLOOKUP($F420,'Membership Level'!$A$3:$B$15,2,FALSE),DAY(K420)))</f>
        <v/>
      </c>
      <c r="M420" s="36" t="n"/>
      <c r="N420" s="34">
        <f>IF($L420="","",DATE(YEAR($L420),MONTH($L420),DAY($L420)-$M420))</f>
        <v/>
      </c>
      <c r="O420" s="33">
        <f>IF($L420="","",IF(DAYS360(NOW(),$L420)&gt;=0,DAYS360(NOW(),$L420),""))</f>
        <v/>
      </c>
      <c r="P420" s="34">
        <f>IF(OR(H420="",H420=0,F420="",K420=""),"",I420/H420*VLOOKUP(F420,'Membership Level'!$A$3:$C$15,3,FALSE)+K420)</f>
        <v/>
      </c>
      <c r="Q420" s="36" t="n"/>
    </row>
    <row r="421">
      <c r="C421" s="36" t="n"/>
      <c r="D421" s="36" t="n"/>
      <c r="E421" s="35" t="n"/>
      <c r="F421" s="36" t="n"/>
      <c r="G421" s="36" t="n"/>
      <c r="H421" s="30" t="n"/>
      <c r="I421" s="30" t="n">
        <v>0</v>
      </c>
      <c r="J421" s="31">
        <f>IF(H421="","",H421-I421)</f>
        <v/>
      </c>
      <c r="K421" s="43" t="n"/>
      <c r="L421" s="32">
        <f>IF(OR(K421="",$F421=""),"",DATE(YEAR(K421),MONTH(K421)+VLOOKUP($F421,'Membership Level'!$A$3:$B$15,2,FALSE),DAY(K421)))</f>
        <v/>
      </c>
      <c r="M421" s="36" t="n"/>
      <c r="N421" s="34">
        <f>IF($L421="","",DATE(YEAR($L421),MONTH($L421),DAY($L421)-$M421))</f>
        <v/>
      </c>
      <c r="O421" s="33">
        <f>IF($L421="","",IF(DAYS360(NOW(),$L421)&gt;=0,DAYS360(NOW(),$L421),""))</f>
        <v/>
      </c>
      <c r="P421" s="34">
        <f>IF(OR(H421="",H421=0,F421="",K421=""),"",I421/H421*VLOOKUP(F421,'Membership Level'!$A$3:$C$15,3,FALSE)+K421)</f>
        <v/>
      </c>
      <c r="Q421" s="36" t="n"/>
    </row>
    <row r="422">
      <c r="C422" s="36" t="n"/>
      <c r="D422" s="36" t="n"/>
      <c r="E422" s="35" t="n"/>
      <c r="F422" s="36" t="n"/>
      <c r="G422" s="36" t="n"/>
      <c r="H422" s="30" t="n"/>
      <c r="I422" s="30" t="n">
        <v>0</v>
      </c>
      <c r="J422" s="31">
        <f>IF(H422="","",H422-I422)</f>
        <v/>
      </c>
      <c r="K422" s="43" t="n"/>
      <c r="L422" s="32">
        <f>IF(OR(K422="",$F422=""),"",DATE(YEAR(K422),MONTH(K422)+VLOOKUP($F422,'Membership Level'!$A$3:$B$15,2,FALSE),DAY(K422)))</f>
        <v/>
      </c>
      <c r="M422" s="36" t="n"/>
      <c r="N422" s="34">
        <f>IF($L422="","",DATE(YEAR($L422),MONTH($L422),DAY($L422)-$M422))</f>
        <v/>
      </c>
      <c r="O422" s="33">
        <f>IF($L422="","",IF(DAYS360(NOW(),$L422)&gt;=0,DAYS360(NOW(),$L422),""))</f>
        <v/>
      </c>
      <c r="P422" s="34">
        <f>IF(OR(H422="",H422=0,F422="",K422=""),"",I422/H422*VLOOKUP(F422,'Membership Level'!$A$3:$C$15,3,FALSE)+K422)</f>
        <v/>
      </c>
      <c r="Q422" s="36" t="n"/>
    </row>
    <row r="423">
      <c r="C423" s="36" t="n"/>
      <c r="D423" s="36" t="n"/>
      <c r="E423" s="35" t="n"/>
      <c r="F423" s="36" t="n"/>
      <c r="G423" s="36" t="n"/>
      <c r="H423" s="30" t="n"/>
      <c r="I423" s="30" t="n">
        <v>0</v>
      </c>
      <c r="J423" s="31">
        <f>IF(H423="","",H423-I423)</f>
        <v/>
      </c>
      <c r="K423" s="43" t="n"/>
      <c r="L423" s="32">
        <f>IF(OR(K423="",$F423=""),"",DATE(YEAR(K423),MONTH(K423)+VLOOKUP($F423,'Membership Level'!$A$3:$B$15,2,FALSE),DAY(K423)))</f>
        <v/>
      </c>
      <c r="M423" s="36" t="n"/>
      <c r="N423" s="34">
        <f>IF($L423="","",DATE(YEAR($L423),MONTH($L423),DAY($L423)-$M423))</f>
        <v/>
      </c>
      <c r="O423" s="33">
        <f>IF($L423="","",IF(DAYS360(NOW(),$L423)&gt;=0,DAYS360(NOW(),$L423),""))</f>
        <v/>
      </c>
      <c r="P423" s="34">
        <f>IF(OR(H423="",H423=0,F423="",K423=""),"",I423/H423*VLOOKUP(F423,'Membership Level'!$A$3:$C$15,3,FALSE)+K423)</f>
        <v/>
      </c>
      <c r="Q423" s="36" t="n"/>
    </row>
    <row r="424">
      <c r="C424" s="36" t="n"/>
      <c r="D424" s="36" t="n"/>
      <c r="E424" s="35" t="n"/>
      <c r="F424" s="36" t="n"/>
      <c r="G424" s="36" t="n"/>
      <c r="H424" s="30" t="n"/>
      <c r="I424" s="30" t="n">
        <v>0</v>
      </c>
      <c r="J424" s="31">
        <f>IF(H424="","",H424-I424)</f>
        <v/>
      </c>
      <c r="K424" s="43" t="n"/>
      <c r="L424" s="32">
        <f>IF(OR(K424="",$F424=""),"",DATE(YEAR(K424),MONTH(K424)+VLOOKUP($F424,'Membership Level'!$A$3:$B$15,2,FALSE),DAY(K424)))</f>
        <v/>
      </c>
      <c r="M424" s="36" t="n"/>
      <c r="N424" s="34">
        <f>IF($L424="","",DATE(YEAR($L424),MONTH($L424),DAY($L424)-$M424))</f>
        <v/>
      </c>
      <c r="O424" s="33">
        <f>IF($L424="","",IF(DAYS360(NOW(),$L424)&gt;=0,DAYS360(NOW(),$L424),""))</f>
        <v/>
      </c>
      <c r="P424" s="34">
        <f>IF(OR(H424="",H424=0,F424="",K424=""),"",I424/H424*VLOOKUP(F424,'Membership Level'!$A$3:$C$15,3,FALSE)+K424)</f>
        <v/>
      </c>
      <c r="Q424" s="36" t="n"/>
    </row>
    <row r="425">
      <c r="C425" s="36" t="n"/>
      <c r="D425" s="36" t="n"/>
      <c r="E425" s="35" t="n"/>
      <c r="F425" s="36" t="n"/>
      <c r="G425" s="36" t="n"/>
      <c r="H425" s="30" t="n"/>
      <c r="I425" s="30" t="n">
        <v>0</v>
      </c>
      <c r="J425" s="31">
        <f>IF(H425="","",H425-I425)</f>
        <v/>
      </c>
      <c r="K425" s="43" t="n"/>
      <c r="L425" s="32">
        <f>IF(OR(K425="",$F425=""),"",DATE(YEAR(K425),MONTH(K425)+VLOOKUP($F425,'Membership Level'!$A$3:$B$15,2,FALSE),DAY(K425)))</f>
        <v/>
      </c>
      <c r="M425" s="36" t="n"/>
      <c r="N425" s="34">
        <f>IF($L425="","",DATE(YEAR($L425),MONTH($L425),DAY($L425)-$M425))</f>
        <v/>
      </c>
      <c r="O425" s="33">
        <f>IF($L425="","",IF(DAYS360(NOW(),$L425)&gt;=0,DAYS360(NOW(),$L425),""))</f>
        <v/>
      </c>
      <c r="P425" s="34">
        <f>IF(OR(H425="",H425=0,F425="",K425=""),"",I425/H425*VLOOKUP(F425,'Membership Level'!$A$3:$C$15,3,FALSE)+K425)</f>
        <v/>
      </c>
      <c r="Q425" s="36" t="n"/>
    </row>
    <row r="426">
      <c r="C426" s="36" t="n"/>
      <c r="D426" s="36" t="n"/>
      <c r="E426" s="35" t="n"/>
      <c r="F426" s="36" t="n"/>
      <c r="G426" s="36" t="n"/>
      <c r="H426" s="30" t="n"/>
      <c r="I426" s="30" t="n">
        <v>0</v>
      </c>
      <c r="J426" s="31">
        <f>IF(H426="","",H426-I426)</f>
        <v/>
      </c>
      <c r="K426" s="43" t="n"/>
      <c r="L426" s="32">
        <f>IF(OR(K426="",$F426=""),"",DATE(YEAR(K426),MONTH(K426)+VLOOKUP($F426,'Membership Level'!$A$3:$B$15,2,FALSE),DAY(K426)))</f>
        <v/>
      </c>
      <c r="M426" s="36" t="n"/>
      <c r="N426" s="34">
        <f>IF($L426="","",DATE(YEAR($L426),MONTH($L426),DAY($L426)-$M426))</f>
        <v/>
      </c>
      <c r="O426" s="33">
        <f>IF($L426="","",IF(DAYS360(NOW(),$L426)&gt;=0,DAYS360(NOW(),$L426),""))</f>
        <v/>
      </c>
      <c r="P426" s="34">
        <f>IF(OR(H426="",H426=0,F426="",K426=""),"",I426/H426*VLOOKUP(F426,'Membership Level'!$A$3:$C$15,3,FALSE)+K426)</f>
        <v/>
      </c>
      <c r="Q426" s="36" t="n"/>
    </row>
    <row r="427">
      <c r="C427" s="36" t="n"/>
      <c r="D427" s="36" t="n"/>
      <c r="E427" s="35" t="n"/>
      <c r="F427" s="36" t="n"/>
      <c r="G427" s="36" t="n"/>
      <c r="H427" s="30" t="n"/>
      <c r="I427" s="30" t="n">
        <v>0</v>
      </c>
      <c r="J427" s="31">
        <f>IF(H427="","",H427-I427)</f>
        <v/>
      </c>
      <c r="K427" s="43" t="n"/>
      <c r="L427" s="32">
        <f>IF(OR(K427="",$F427=""),"",DATE(YEAR(K427),MONTH(K427)+VLOOKUP($F427,'Membership Level'!$A$3:$B$15,2,FALSE),DAY(K427)))</f>
        <v/>
      </c>
      <c r="M427" s="36" t="n"/>
      <c r="N427" s="34">
        <f>IF($L427="","",DATE(YEAR($L427),MONTH($L427),DAY($L427)-$M427))</f>
        <v/>
      </c>
      <c r="O427" s="33">
        <f>IF($L427="","",IF(DAYS360(NOW(),$L427)&gt;=0,DAYS360(NOW(),$L427),""))</f>
        <v/>
      </c>
      <c r="P427" s="34">
        <f>IF(OR(H427="",H427=0,F427="",K427=""),"",I427/H427*VLOOKUP(F427,'Membership Level'!$A$3:$C$15,3,FALSE)+K427)</f>
        <v/>
      </c>
      <c r="Q427" s="36" t="n"/>
    </row>
    <row r="428">
      <c r="C428" s="36" t="n"/>
      <c r="D428" s="36" t="n"/>
      <c r="E428" s="35" t="n"/>
      <c r="F428" s="36" t="n"/>
      <c r="G428" s="36" t="n"/>
      <c r="H428" s="30" t="n"/>
      <c r="I428" s="30" t="n">
        <v>0</v>
      </c>
      <c r="J428" s="31">
        <f>IF(H428="","",H428-I428)</f>
        <v/>
      </c>
      <c r="K428" s="43" t="n"/>
      <c r="L428" s="32">
        <f>IF(OR(K428="",$F428=""),"",DATE(YEAR(K428),MONTH(K428)+VLOOKUP($F428,'Membership Level'!$A$3:$B$15,2,FALSE),DAY(K428)))</f>
        <v/>
      </c>
      <c r="M428" s="36" t="n"/>
      <c r="N428" s="34">
        <f>IF($L428="","",DATE(YEAR($L428),MONTH($L428),DAY($L428)-$M428))</f>
        <v/>
      </c>
      <c r="O428" s="33">
        <f>IF($L428="","",IF(DAYS360(NOW(),$L428)&gt;=0,DAYS360(NOW(),$L428),""))</f>
        <v/>
      </c>
      <c r="P428" s="34">
        <f>IF(OR(H428="",H428=0,F428="",K428=""),"",I428/H428*VLOOKUP(F428,'Membership Level'!$A$3:$C$15,3,FALSE)+K428)</f>
        <v/>
      </c>
      <c r="Q428" s="36" t="n"/>
    </row>
    <row r="429">
      <c r="C429" s="36" t="n"/>
      <c r="D429" s="36" t="n"/>
      <c r="E429" s="35" t="n"/>
      <c r="F429" s="33" t="n"/>
      <c r="G429" s="36" t="n"/>
      <c r="H429" s="30" t="n"/>
      <c r="I429" s="30" t="n">
        <v>0</v>
      </c>
      <c r="J429" s="31">
        <f>IF(H429="","",H429-I429)</f>
        <v/>
      </c>
      <c r="K429" s="43" t="n"/>
      <c r="L429" s="32">
        <f>IF(OR(K429="",$F429=""),"",DATE(YEAR(K429),MONTH(K429)+VLOOKUP($F429,'Membership Level'!$A$3:$B$15,2,FALSE),DAY(K429)))</f>
        <v/>
      </c>
      <c r="M429" s="36" t="n"/>
      <c r="N429" s="34">
        <f>IF($L429="","",DATE(YEAR($L429),MONTH($L429),DAY($L429)-$M429))</f>
        <v/>
      </c>
      <c r="O429" s="33">
        <f>IF($L429="","",IF(DAYS360(NOW(),$L429)&gt;=0,DAYS360(NOW(),$L429),""))</f>
        <v/>
      </c>
      <c r="P429" s="34">
        <f>IF(OR(H429="",H429=0,F429="",K429=""),"",I429/H429*VLOOKUP(F429,'Membership Level'!$A$3:$C$15,3,FALSE)+K429)</f>
        <v/>
      </c>
      <c r="Q429" s="36" t="n"/>
    </row>
    <row r="430">
      <c r="C430" s="36" t="n"/>
      <c r="D430" s="36" t="n"/>
      <c r="E430" s="66" t="n"/>
      <c r="F430" s="36" t="n"/>
      <c r="G430" s="36" t="n"/>
      <c r="H430" s="30" t="n"/>
      <c r="I430" s="30" t="n">
        <v>0</v>
      </c>
      <c r="J430" s="31">
        <f>IF(H430="","",H430-I430)</f>
        <v/>
      </c>
      <c r="K430" s="43" t="n"/>
      <c r="L430" s="32">
        <f>IF(OR(K430="",$F430=""),"",DATE(YEAR(K430),MONTH(K430)+VLOOKUP($F430,'Membership Level'!$A$3:$B$15,2,FALSE),DAY(K430)))</f>
        <v/>
      </c>
      <c r="M430" s="36" t="n"/>
      <c r="N430" s="34">
        <f>IF($L430="","",DATE(YEAR($L430),MONTH($L430),DAY($L430)-$M430))</f>
        <v/>
      </c>
      <c r="O430" s="33">
        <f>IF($L430="","",IF(DAYS360(NOW(),$L430)&gt;=0,DAYS360(NOW(),$L430),""))</f>
        <v/>
      </c>
      <c r="P430" s="34">
        <f>IF(OR(H430="",H430=0,F430="",K430=""),"",I430/H430*VLOOKUP(F430,'Membership Level'!$A$3:$C$15,3,FALSE)+K430)</f>
        <v/>
      </c>
      <c r="Q430" s="36" t="n"/>
    </row>
    <row r="431" customFormat="1" s="22">
      <c r="C431" s="33" t="n"/>
      <c r="D431" s="33" t="n"/>
      <c r="E431" s="35" t="n"/>
      <c r="F431" s="36" t="n"/>
      <c r="G431" s="33" t="n"/>
      <c r="H431" s="44" t="n"/>
      <c r="I431" s="30" t="n">
        <v>0</v>
      </c>
      <c r="J431" s="31">
        <f>IF(H431="","",H431-I431)</f>
        <v/>
      </c>
      <c r="K431" s="32" t="n"/>
      <c r="L431" s="32">
        <f>IF(OR(K431="",$F431=""),"",DATE(YEAR(K431),MONTH(K431)+VLOOKUP($F431,'Membership Level'!$A$3:$B$15,2,FALSE),DAY(K431)))</f>
        <v/>
      </c>
      <c r="M431" s="36" t="n"/>
      <c r="N431" s="34">
        <f>IF($L431="","",DATE(YEAR($L431),MONTH($L431),DAY($L431)-$M431))</f>
        <v/>
      </c>
      <c r="O431" s="33">
        <f>IF($L431="","",IF(DAYS360(NOW(),$L431)&gt;=0,DAYS360(NOW(),$L431),""))</f>
        <v/>
      </c>
      <c r="P431" s="34">
        <f>IF(OR(H431="",H431=0,F431="",K431=""),"",I431/H431*VLOOKUP(F431,'Membership Level'!$A$3:$C$15,3,FALSE)+K431)</f>
        <v/>
      </c>
      <c r="Q431" s="33" t="n"/>
    </row>
    <row r="432">
      <c r="C432" s="36" t="n"/>
      <c r="D432" s="36" t="n"/>
      <c r="E432" s="35" t="n"/>
      <c r="F432" s="36" t="n"/>
      <c r="G432" s="36" t="n"/>
      <c r="H432" s="30" t="n"/>
      <c r="I432" s="30" t="n">
        <v>0</v>
      </c>
      <c r="J432" s="31">
        <f>IF(H432="","",H432-I432)</f>
        <v/>
      </c>
      <c r="K432" s="43" t="n"/>
      <c r="L432" s="32">
        <f>IF(OR(K432="",$F432=""),"",DATE(YEAR(K432),MONTH(K432)+VLOOKUP($F432,'Membership Level'!$A$3:$B$15,2,FALSE),DAY(K432)))</f>
        <v/>
      </c>
      <c r="M432" s="36" t="n"/>
      <c r="N432" s="34">
        <f>IF($L432="","",DATE(YEAR($L432),MONTH($L432),DAY($L432)-$M432))</f>
        <v/>
      </c>
      <c r="O432" s="33">
        <f>IF($L432="","",IF(DAYS360(NOW(),$L432)&gt;=0,DAYS360(NOW(),$L432),""))</f>
        <v/>
      </c>
      <c r="P432" s="34">
        <f>IF(OR(H432="",H432=0,F432="",K432=""),"",I432/H432*VLOOKUP(F432,'Membership Level'!$A$3:$C$15,3,FALSE)+K432)</f>
        <v/>
      </c>
      <c r="Q432" s="36" t="n"/>
    </row>
    <row r="433" customFormat="1" s="26">
      <c r="C433" s="36" t="n"/>
      <c r="D433" s="36" t="n"/>
      <c r="E433" s="35" t="n"/>
      <c r="F433" s="36" t="n"/>
      <c r="G433" s="36" t="n"/>
      <c r="H433" s="30" t="n"/>
      <c r="I433" s="30" t="n">
        <v>0</v>
      </c>
      <c r="J433" s="31">
        <f>IF(H433="","",H433-I433)</f>
        <v/>
      </c>
      <c r="K433" s="43" t="n"/>
      <c r="L433" s="32">
        <f>IF(OR(K433="",$F433=""),"",DATE(YEAR(K433),MONTH(K433)+VLOOKUP($F433,'Membership Level'!$A$3:$B$15,2,FALSE),DAY(K433)))</f>
        <v/>
      </c>
      <c r="M433" s="36" t="n"/>
      <c r="N433" s="34">
        <f>IF($L433="","",DATE(YEAR($L433),MONTH($L433),DAY($L433)-$M433))</f>
        <v/>
      </c>
      <c r="O433" s="33">
        <f>IF($L433="","",IF(DAYS360(NOW(),$L433)&gt;=0,DAYS360(NOW(),$L433),""))</f>
        <v/>
      </c>
      <c r="P433" s="34">
        <f>IF(OR(H433="",H433=0,F433="",K433=""),"",I433/H433*VLOOKUP(F433,'Membership Level'!$A$3:$C$15,3,FALSE)+K433)</f>
        <v/>
      </c>
      <c r="Q433" s="36" t="n"/>
    </row>
    <row r="434">
      <c r="C434" s="36" t="n"/>
      <c r="D434" s="36" t="n"/>
      <c r="E434" s="35" t="n"/>
      <c r="F434" s="36" t="n"/>
      <c r="G434" s="36" t="n"/>
      <c r="H434" s="30" t="n"/>
      <c r="I434" s="30" t="n">
        <v>0</v>
      </c>
      <c r="J434" s="31">
        <f>IF(H434="","",H434-I434)</f>
        <v/>
      </c>
      <c r="K434" s="43" t="n"/>
      <c r="L434" s="32">
        <f>IF(OR(K434="",$F434=""),"",DATE(YEAR(K434),MONTH(K434)+VLOOKUP($F434,'Membership Level'!$A$3:$B$15,2,FALSE),DAY(K434)))</f>
        <v/>
      </c>
      <c r="M434" s="36" t="n"/>
      <c r="N434" s="34">
        <f>IF($L434="","",DATE(YEAR($L434),MONTH($L434),DAY($L434)-$M434))</f>
        <v/>
      </c>
      <c r="O434" s="33">
        <f>IF($L434="","",IF(DAYS360(NOW(),$L434)&gt;=0,DAYS360(NOW(),$L434),""))</f>
        <v/>
      </c>
      <c r="P434" s="34">
        <f>IF(OR(H434="",H434=0,F434="",K434=""),"",I434/H434*VLOOKUP(F434,'Membership Level'!$A$3:$C$15,3,FALSE)+K434)</f>
        <v/>
      </c>
      <c r="Q434" s="35" t="n"/>
    </row>
    <row r="435">
      <c r="C435" s="36" t="n"/>
      <c r="D435" s="36" t="n"/>
      <c r="E435" s="35" t="n"/>
      <c r="F435" s="36" t="n"/>
      <c r="G435" s="36" t="n"/>
      <c r="H435" s="30" t="n"/>
      <c r="I435" s="30" t="n">
        <v>0</v>
      </c>
      <c r="J435" s="31">
        <f>IF(H435="","",H435-I435)</f>
        <v/>
      </c>
      <c r="K435" s="43" t="n"/>
      <c r="L435" s="32">
        <f>IF(OR(K435="",$F435=""),"",DATE(YEAR(K435),MONTH(K435)+VLOOKUP($F435,'Membership Level'!$A$3:$B$15,2,FALSE),DAY(K435)))</f>
        <v/>
      </c>
      <c r="M435" s="36" t="n"/>
      <c r="N435" s="34">
        <f>IF($L435="","",DATE(YEAR($L435),MONTH($L435),DAY($L435)-$M435))</f>
        <v/>
      </c>
      <c r="O435" s="33">
        <f>IF($L435="","",IF(DAYS360(NOW(),$L435)&gt;=0,DAYS360(NOW(),$L435),""))</f>
        <v/>
      </c>
      <c r="P435" s="34">
        <f>IF(OR(H435="",H435=0,F435="",K435=""),"",I435/H435*VLOOKUP(F435,'Membership Level'!$A$3:$C$15,3,FALSE)+K435)</f>
        <v/>
      </c>
      <c r="Q435" s="36" t="n"/>
    </row>
    <row r="436">
      <c r="C436" s="36" t="n"/>
      <c r="D436" s="36" t="n"/>
      <c r="E436" s="35" t="n"/>
      <c r="F436" s="36" t="n"/>
      <c r="G436" s="36" t="n"/>
      <c r="H436" s="30" t="n"/>
      <c r="I436" s="30" t="n">
        <v>0</v>
      </c>
      <c r="J436" s="31">
        <f>IF(H436="","",H436-I436)</f>
        <v/>
      </c>
      <c r="K436" s="43" t="n"/>
      <c r="L436" s="32">
        <f>IF(OR(K436="",$F436=""),"",DATE(YEAR(K436),MONTH(K436)+VLOOKUP($F436,'Membership Level'!$A$3:$B$15,2,FALSE),DAY(K436)))</f>
        <v/>
      </c>
      <c r="M436" s="36" t="n"/>
      <c r="N436" s="34">
        <f>IF($L436="","",DATE(YEAR($L436),MONTH($L436),DAY($L436)-$M436))</f>
        <v/>
      </c>
      <c r="O436" s="33">
        <f>IF($L436="","",IF(DAYS360(NOW(),$L436)&gt;=0,DAYS360(NOW(),$L436),""))</f>
        <v/>
      </c>
      <c r="P436" s="34">
        <f>IF(OR(H436="",H436=0,F436="",K436=""),"",I436/H436*VLOOKUP(F436,'Membership Level'!$A$3:$C$15,3,FALSE)+K436)</f>
        <v/>
      </c>
      <c r="Q436" s="36" t="n"/>
    </row>
    <row r="437">
      <c r="C437" s="36" t="n"/>
      <c r="D437" s="36" t="n"/>
      <c r="E437" s="35" t="n"/>
      <c r="F437" s="36" t="n"/>
      <c r="G437" s="36" t="n"/>
      <c r="H437" s="30" t="n"/>
      <c r="I437" s="30" t="n">
        <v>0</v>
      </c>
      <c r="J437" s="31">
        <f>IF(H437="","",H437-I437)</f>
        <v/>
      </c>
      <c r="K437" s="43" t="n"/>
      <c r="L437" s="32">
        <f>IF(OR(K437="",$F437=""),"",DATE(YEAR(K437),MONTH(K437)+VLOOKUP($F437,'Membership Level'!$A$3:$B$15,2,FALSE),DAY(K437)))</f>
        <v/>
      </c>
      <c r="M437" s="36" t="n"/>
      <c r="N437" s="34">
        <f>IF($L437="","",DATE(YEAR($L437),MONTH($L437),DAY($L437)-$M437))</f>
        <v/>
      </c>
      <c r="O437" s="33">
        <f>IF($L437="","",IF(DAYS360(NOW(),$L437)&gt;=0,DAYS360(NOW(),$L437),""))</f>
        <v/>
      </c>
      <c r="P437" s="34">
        <f>IF(OR(H437="",H437=0,F437="",K437=""),"",I437/H437*VLOOKUP(F437,'Membership Level'!$A$3:$C$15,3,FALSE)+K437)</f>
        <v/>
      </c>
      <c r="Q437" s="36" t="n"/>
    </row>
    <row r="438">
      <c r="C438" s="36" t="n"/>
      <c r="D438" s="36" t="n"/>
      <c r="E438" s="35" t="n"/>
      <c r="F438" s="36" t="n"/>
      <c r="G438" s="36" t="n"/>
      <c r="H438" s="30" t="n"/>
      <c r="I438" s="30" t="n">
        <v>0</v>
      </c>
      <c r="J438" s="31">
        <f>IF(H438="","",H438-I438)</f>
        <v/>
      </c>
      <c r="K438" s="43" t="n"/>
      <c r="L438" s="32">
        <f>IF(OR(K438="",$F438=""),"",DATE(YEAR(K438),MONTH(K438)+VLOOKUP($F438,'Membership Level'!$A$3:$B$15,2,FALSE),DAY(K438)))</f>
        <v/>
      </c>
      <c r="M438" s="36" t="n"/>
      <c r="N438" s="34">
        <f>IF($L438="","",DATE(YEAR($L438),MONTH($L438),DAY($L438)-$M438))</f>
        <v/>
      </c>
      <c r="O438" s="33">
        <f>IF($L438="","",IF(DAYS360(NOW(),$L438)&gt;=0,DAYS360(NOW(),$L438),""))</f>
        <v/>
      </c>
      <c r="P438" s="34">
        <f>IF(OR(H438="",H438=0,F438="",K438=""),"",I438/H438*VLOOKUP(F438,'Membership Level'!$A$3:$C$15,3,FALSE)+K438)</f>
        <v/>
      </c>
      <c r="Q438" s="36" t="n"/>
    </row>
    <row r="439">
      <c r="C439" s="36" t="n"/>
      <c r="D439" s="36" t="n"/>
      <c r="E439" s="35" t="n"/>
      <c r="F439" s="36" t="n"/>
      <c r="G439" s="36" t="n"/>
      <c r="H439" s="30" t="n"/>
      <c r="I439" s="30" t="n">
        <v>0</v>
      </c>
      <c r="J439" s="31">
        <f>IF(H439="","",H439-I439)</f>
        <v/>
      </c>
      <c r="K439" s="43" t="n"/>
      <c r="L439" s="32">
        <f>IF(OR(K439="",$F439=""),"",DATE(YEAR(K439),MONTH(K439)+VLOOKUP($F439,'Membership Level'!$A$3:$B$15,2,FALSE),DAY(K439)))</f>
        <v/>
      </c>
      <c r="M439" s="36" t="n"/>
      <c r="N439" s="34">
        <f>IF($L439="","",DATE(YEAR($L439),MONTH($L439),DAY($L439)-$M439))</f>
        <v/>
      </c>
      <c r="O439" s="33">
        <f>IF($L439="","",IF(DAYS360(NOW(),$L439)&gt;=0,DAYS360(NOW(),$L439),""))</f>
        <v/>
      </c>
      <c r="P439" s="34">
        <f>IF(OR(H439="",H439=0,F439="",K439=""),"",I439/H439*VLOOKUP(F439,'Membership Level'!$A$3:$C$15,3,FALSE)+K439)</f>
        <v/>
      </c>
      <c r="Q439" s="36" t="n"/>
    </row>
    <row r="440">
      <c r="C440" s="36" t="n"/>
      <c r="D440" s="36" t="n"/>
      <c r="E440" s="35" t="n"/>
      <c r="F440" s="36" t="n"/>
      <c r="G440" s="36" t="n"/>
      <c r="H440" s="30" t="n"/>
      <c r="I440" s="30" t="n">
        <v>0</v>
      </c>
      <c r="J440" s="31">
        <f>IF(H440="","",H440-I440)</f>
        <v/>
      </c>
      <c r="K440" s="43" t="n"/>
      <c r="L440" s="32">
        <f>IF(OR(K440="",$F440=""),"",DATE(YEAR(K440),MONTH(K440)+VLOOKUP($F440,'Membership Level'!$A$3:$B$15,2,FALSE),DAY(K440)))</f>
        <v/>
      </c>
      <c r="M440" s="36" t="n"/>
      <c r="N440" s="34">
        <f>IF($L440="","",DATE(YEAR($L440),MONTH($L440),DAY($L440)-$M440))</f>
        <v/>
      </c>
      <c r="O440" s="33">
        <f>IF($L440="","",IF(DAYS360(NOW(),$L440)&gt;=0,DAYS360(NOW(),$L440),""))</f>
        <v/>
      </c>
      <c r="P440" s="34">
        <f>IF(OR(H440="",H440=0,F440="",K440=""),"",I440/H440*VLOOKUP(F440,'Membership Level'!$A$3:$C$15,3,FALSE)+K440)</f>
        <v/>
      </c>
      <c r="Q440" s="36" t="n"/>
    </row>
    <row r="441">
      <c r="C441" s="36" t="n"/>
      <c r="D441" s="36" t="n"/>
      <c r="E441" s="35" t="n"/>
      <c r="F441" s="36" t="n"/>
      <c r="G441" s="36" t="n"/>
      <c r="H441" s="30" t="n"/>
      <c r="I441" s="30" t="n">
        <v>0</v>
      </c>
      <c r="J441" s="31">
        <f>IF(H441="","",H441-I441)</f>
        <v/>
      </c>
      <c r="K441" s="43" t="n"/>
      <c r="L441" s="32">
        <f>IF(OR(K441="",$F441=""),"",DATE(YEAR(K441),MONTH(K441)+VLOOKUP($F441,'Membership Level'!$A$3:$B$15,2,FALSE),DAY(K441)))</f>
        <v/>
      </c>
      <c r="M441" s="36" t="n"/>
      <c r="N441" s="34">
        <f>IF($L441="","",DATE(YEAR($L441),MONTH($L441),DAY($L441)-$M441))</f>
        <v/>
      </c>
      <c r="O441" s="33">
        <f>IF($L441="","",IF(DAYS360(NOW(),$L441)&gt;=0,DAYS360(NOW(),$L441),""))</f>
        <v/>
      </c>
      <c r="P441" s="34">
        <f>IF(OR(H441="",H441=0,F441="",K441=""),"",I441/H441*VLOOKUP(F441,'Membership Level'!$A$3:$C$15,3,FALSE)+K441)</f>
        <v/>
      </c>
      <c r="Q441" s="36" t="n"/>
    </row>
    <row r="442">
      <c r="C442" s="36" t="n"/>
      <c r="D442" s="36" t="n"/>
      <c r="E442" s="35" t="n"/>
      <c r="F442" s="36" t="n"/>
      <c r="G442" s="36" t="n"/>
      <c r="H442" s="30" t="n"/>
      <c r="I442" s="30" t="n">
        <v>0</v>
      </c>
      <c r="J442" s="31">
        <f>IF(H442="","",H442-I442)</f>
        <v/>
      </c>
      <c r="K442" s="43" t="n"/>
      <c r="L442" s="32">
        <f>IF(OR(K442="",$F442=""),"",DATE(YEAR(K442),MONTH(K442)+VLOOKUP($F442,'Membership Level'!$A$3:$B$15,2,FALSE),DAY(K442)))</f>
        <v/>
      </c>
      <c r="M442" s="36" t="n"/>
      <c r="N442" s="34">
        <f>IF($L442="","",DATE(YEAR($L442),MONTH($L442),DAY($L442)-$M442))</f>
        <v/>
      </c>
      <c r="O442" s="33">
        <f>IF($L442="","",IF(DAYS360(NOW(),$L442)&gt;=0,DAYS360(NOW(),$L442),""))</f>
        <v/>
      </c>
      <c r="P442" s="34">
        <f>IF(OR(H442="",H442=0,F442="",K442=""),"",I442/H442*VLOOKUP(F442,'Membership Level'!$A$3:$C$15,3,FALSE)+K442)</f>
        <v/>
      </c>
      <c r="Q442" s="36" t="n"/>
    </row>
    <row r="443">
      <c r="C443" s="36" t="n"/>
      <c r="D443" s="36" t="n"/>
      <c r="E443" s="35" t="n"/>
      <c r="F443" s="36" t="n"/>
      <c r="G443" s="36" t="n"/>
      <c r="H443" s="30" t="n"/>
      <c r="I443" s="30" t="n">
        <v>0</v>
      </c>
      <c r="J443" s="31">
        <f>IF(H443="","",H443-I443)</f>
        <v/>
      </c>
      <c r="K443" s="43" t="n"/>
      <c r="L443" s="32">
        <f>IF(OR(K443="",$F443=""),"",DATE(YEAR(K443),MONTH(K443)+VLOOKUP($F443,'Membership Level'!$A$3:$B$15,2,FALSE),DAY(K443)))</f>
        <v/>
      </c>
      <c r="M443" s="36" t="n"/>
      <c r="N443" s="34">
        <f>IF($L443="","",DATE(YEAR($L443),MONTH($L443),DAY($L443)-$M443))</f>
        <v/>
      </c>
      <c r="O443" s="33">
        <f>IF($L443="","",IF(DAYS360(NOW(),$L443)&gt;=0,DAYS360(NOW(),$L443),""))</f>
        <v/>
      </c>
      <c r="P443" s="34">
        <f>IF(OR(H443="",H443=0,F443="",K443=""),"",I443/H443*VLOOKUP(F443,'Membership Level'!$A$3:$C$15,3,FALSE)+K443)</f>
        <v/>
      </c>
      <c r="Q443" s="36" t="n"/>
    </row>
    <row r="444">
      <c r="C444" s="36" t="n"/>
      <c r="D444" s="36" t="n"/>
      <c r="E444" s="66" t="n"/>
      <c r="F444" s="36" t="n"/>
      <c r="G444" s="36" t="n"/>
      <c r="H444" s="30" t="n"/>
      <c r="I444" s="30" t="n">
        <v>0</v>
      </c>
      <c r="J444" s="31">
        <f>IF(H444="","",H444-I444)</f>
        <v/>
      </c>
      <c r="K444" s="43" t="n"/>
      <c r="L444" s="32">
        <f>IF(OR(K444="",$F444=""),"",DATE(YEAR(K444),MONTH(K444)+VLOOKUP($F444,'Membership Level'!$A$3:$B$15,2,FALSE),DAY(K444)))</f>
        <v/>
      </c>
      <c r="M444" s="36" t="n"/>
      <c r="N444" s="34">
        <f>IF($L444="","",DATE(YEAR($L444),MONTH($L444),DAY($L444)-$M444))</f>
        <v/>
      </c>
      <c r="O444" s="33">
        <f>IF($L444="","",IF(DAYS360(NOW(),$L444)&gt;=0,DAYS360(NOW(),$L444),""))</f>
        <v/>
      </c>
      <c r="P444" s="34">
        <f>IF(OR(H444="",H444=0,F444="",K444=""),"",I444/H444*VLOOKUP(F444,'Membership Level'!$A$3:$C$15,3,FALSE)+K444)</f>
        <v/>
      </c>
      <c r="Q444" s="36" t="n"/>
    </row>
    <row r="445">
      <c r="C445" s="36" t="n"/>
      <c r="D445" s="36" t="n"/>
      <c r="E445" s="35" t="n"/>
      <c r="F445" s="36" t="n"/>
      <c r="G445" s="36" t="n"/>
      <c r="H445" s="30" t="n"/>
      <c r="I445" s="30" t="n">
        <v>0</v>
      </c>
      <c r="J445" s="31">
        <f>IF(H445="","",H445-I445)</f>
        <v/>
      </c>
      <c r="K445" s="43" t="n"/>
      <c r="L445" s="32">
        <f>IF(OR(K445="",$F445=""),"",DATE(YEAR(K445),MONTH(K445)+VLOOKUP($F445,'Membership Level'!$A$3:$B$15,2,FALSE),DAY(K445)))</f>
        <v/>
      </c>
      <c r="M445" s="36" t="n"/>
      <c r="N445" s="34">
        <f>IF($L445="","",DATE(YEAR($L445),MONTH($L445),DAY($L445)-$M445))</f>
        <v/>
      </c>
      <c r="O445" s="33">
        <f>IF($L445="","",IF(DAYS360(NOW(),$L445)&gt;=0,DAYS360(NOW(),$L445),""))</f>
        <v/>
      </c>
      <c r="P445" s="34">
        <f>IF(OR(H445="",H445=0,F445="",K445=""),"",I445/H445*VLOOKUP(F445,'Membership Level'!$A$3:$C$15,3,FALSE)+K445)</f>
        <v/>
      </c>
      <c r="Q445" s="36" t="n"/>
    </row>
    <row r="446">
      <c r="C446" s="36" t="n"/>
      <c r="D446" s="36" t="n"/>
      <c r="E446" s="35" t="n"/>
      <c r="F446" s="36" t="n"/>
      <c r="G446" s="36" t="n"/>
      <c r="H446" s="30" t="n"/>
      <c r="I446" s="30" t="n">
        <v>0</v>
      </c>
      <c r="J446" s="31">
        <f>IF(H446="","",H446-I446)</f>
        <v/>
      </c>
      <c r="K446" s="43" t="n"/>
      <c r="L446" s="32">
        <f>IF(OR(K446="",$F446=""),"",DATE(YEAR(K446),MONTH(K446)+VLOOKUP($F446,'Membership Level'!$A$3:$B$15,2,FALSE),DAY(K446)))</f>
        <v/>
      </c>
      <c r="M446" s="36" t="n"/>
      <c r="N446" s="34">
        <f>IF($L446="","",DATE(YEAR($L446),MONTH($L446),DAY($L446)-$M446))</f>
        <v/>
      </c>
      <c r="O446" s="33">
        <f>IF($L446="","",IF(DAYS360(NOW(),$L446)&gt;=0,DAYS360(NOW(),$L446),""))</f>
        <v/>
      </c>
      <c r="P446" s="34">
        <f>IF(OR(H446="",H446=0,F446="",K446=""),"",I446/H446*VLOOKUP(F446,'Membership Level'!$A$3:$C$15,3,FALSE)+K446)</f>
        <v/>
      </c>
      <c r="Q446" s="36" t="n"/>
    </row>
    <row r="447">
      <c r="C447" s="36" t="n"/>
      <c r="D447" s="36" t="n"/>
      <c r="E447" s="35" t="n"/>
      <c r="F447" s="36" t="n"/>
      <c r="G447" s="36" t="n"/>
      <c r="H447" s="30" t="n"/>
      <c r="I447" s="30" t="n">
        <v>0</v>
      </c>
      <c r="J447" s="31">
        <f>IF(H447="","",H447-I447)</f>
        <v/>
      </c>
      <c r="K447" s="43" t="n"/>
      <c r="L447" s="32">
        <f>IF(OR(K447="",$F447=""),"",DATE(YEAR(K447),MONTH(K447)+VLOOKUP($F447,'Membership Level'!$A$3:$B$15,2,FALSE),DAY(K447)))</f>
        <v/>
      </c>
      <c r="M447" s="36" t="n"/>
      <c r="N447" s="34">
        <f>IF($L447="","",DATE(YEAR($L447),MONTH($L447),DAY($L447)-$M447))</f>
        <v/>
      </c>
      <c r="O447" s="33">
        <f>IF($L447="","",IF(DAYS360(NOW(),$L447)&gt;=0,DAYS360(NOW(),$L447),""))</f>
        <v/>
      </c>
      <c r="P447" s="34">
        <f>IF(OR(H447="",H447=0,F447="",K447=""),"",I447/H447*VLOOKUP(F447,'Membership Level'!$A$3:$C$15,3,FALSE)+K447)</f>
        <v/>
      </c>
      <c r="Q447" s="36" t="n"/>
    </row>
    <row r="448">
      <c r="C448" s="36" t="n"/>
      <c r="D448" s="36" t="n"/>
      <c r="E448" s="35" t="n"/>
      <c r="F448" s="36" t="n"/>
      <c r="G448" s="36" t="n"/>
      <c r="H448" s="30" t="n"/>
      <c r="I448" s="30" t="n">
        <v>0</v>
      </c>
      <c r="J448" s="31">
        <f>IF(H448="","",H448-I448)</f>
        <v/>
      </c>
      <c r="K448" s="43" t="n"/>
      <c r="L448" s="32">
        <f>IF(OR(K448="",$F448=""),"",DATE(YEAR(K448),MONTH(K448)+VLOOKUP($F448,'Membership Level'!$A$3:$B$15,2,FALSE),DAY(K448)))</f>
        <v/>
      </c>
      <c r="M448" s="36" t="n"/>
      <c r="N448" s="34">
        <f>IF($L448="","",DATE(YEAR($L448),MONTH($L448),DAY($L448)-$M448))</f>
        <v/>
      </c>
      <c r="O448" s="33">
        <f>IF($L448="","",IF(DAYS360(NOW(),$L448)&gt;=0,DAYS360(NOW(),$L448),""))</f>
        <v/>
      </c>
      <c r="P448" s="34">
        <f>IF(OR(H448="",H448=0,F448="",K448=""),"",I448/H448*VLOOKUP(F448,'Membership Level'!$A$3:$C$15,3,FALSE)+K448)</f>
        <v/>
      </c>
      <c r="Q448" s="36" t="n"/>
    </row>
    <row r="449">
      <c r="C449" s="36" t="n"/>
      <c r="D449" s="36" t="n"/>
      <c r="E449" s="35" t="n"/>
      <c r="F449" s="36" t="n"/>
      <c r="G449" s="36" t="n"/>
      <c r="H449" s="30" t="n"/>
      <c r="I449" s="30" t="n">
        <v>0</v>
      </c>
      <c r="J449" s="31">
        <f>IF(H449="","",H449-I449)</f>
        <v/>
      </c>
      <c r="K449" s="43" t="n"/>
      <c r="L449" s="32">
        <f>IF(OR(K449="",$F449=""),"",DATE(YEAR(K449),MONTH(K449)+VLOOKUP($F449,'Membership Level'!$A$3:$B$15,2,FALSE),DAY(K449)))</f>
        <v/>
      </c>
      <c r="M449" s="36" t="n"/>
      <c r="N449" s="34">
        <f>IF($L449="","",DATE(YEAR($L449),MONTH($L449),DAY($L449)-$M449))</f>
        <v/>
      </c>
      <c r="O449" s="33">
        <f>IF($L449="","",IF(DAYS360(NOW(),$L449)&gt;=0,DAYS360(NOW(),$L449),""))</f>
        <v/>
      </c>
      <c r="P449" s="34">
        <f>IF(OR(H449="",H449=0,F449="",K449=""),"",I449/H449*VLOOKUP(F449,'Membership Level'!$A$3:$C$15,3,FALSE)+K449)</f>
        <v/>
      </c>
      <c r="Q449" s="36" t="n"/>
    </row>
    <row r="450">
      <c r="C450" s="36" t="n"/>
      <c r="D450" s="36" t="n"/>
      <c r="E450" s="35" t="n"/>
      <c r="F450" s="36" t="n"/>
      <c r="G450" s="36" t="n"/>
      <c r="H450" s="30" t="n"/>
      <c r="I450" s="30" t="n">
        <v>0</v>
      </c>
      <c r="J450" s="31">
        <f>IF(H450="","",H450-I450)</f>
        <v/>
      </c>
      <c r="K450" s="43" t="n"/>
      <c r="L450" s="32">
        <f>IF(OR(K450="",$F450=""),"",DATE(YEAR(K450),MONTH(K450)+VLOOKUP($F450,'Membership Level'!$A$3:$B$15,2,FALSE),DAY(K450)))</f>
        <v/>
      </c>
      <c r="M450" s="36" t="n"/>
      <c r="N450" s="34">
        <f>IF($L450="","",DATE(YEAR($L450),MONTH($L450),DAY($L450)-$M450))</f>
        <v/>
      </c>
      <c r="O450" s="33">
        <f>IF($L450="","",IF(DAYS360(NOW(),$L450)&gt;=0,DAYS360(NOW(),$L450),""))</f>
        <v/>
      </c>
      <c r="P450" s="34">
        <f>IF(OR(H450="",H450=0,F450="",K450=""),"",I450/H450*VLOOKUP(F450,'Membership Level'!$A$3:$C$15,3,FALSE)+K450)</f>
        <v/>
      </c>
      <c r="Q450" s="36" t="n"/>
    </row>
    <row r="451">
      <c r="C451" s="36" t="n"/>
      <c r="D451" s="36" t="n"/>
      <c r="E451" s="35" t="n"/>
      <c r="F451" s="36" t="n"/>
      <c r="G451" s="36" t="n"/>
      <c r="H451" s="30" t="n"/>
      <c r="I451" s="30" t="n">
        <v>0</v>
      </c>
      <c r="J451" s="31">
        <f>IF(H451="","",H451-I451)</f>
        <v/>
      </c>
      <c r="K451" s="43" t="n"/>
      <c r="L451" s="32">
        <f>IF(OR(K451="",$F451=""),"",DATE(YEAR(K451),MONTH(K451)+VLOOKUP($F451,'Membership Level'!$A$3:$B$15,2,FALSE),DAY(K451)))</f>
        <v/>
      </c>
      <c r="M451" s="36" t="n"/>
      <c r="N451" s="34">
        <f>IF($L451="","",DATE(YEAR($L451),MONTH($L451),DAY($L451)-$M451))</f>
        <v/>
      </c>
      <c r="O451" s="33">
        <f>IF($L451="","",IF(DAYS360(NOW(),$L451)&gt;=0,DAYS360(NOW(),$L451),""))</f>
        <v/>
      </c>
      <c r="P451" s="34">
        <f>IF(OR(H451="",H451=0,F451="",K451=""),"",I451/H451*VLOOKUP(F451,'Membership Level'!$A$3:$C$15,3,FALSE)+K451)</f>
        <v/>
      </c>
      <c r="Q451" s="36" t="n"/>
    </row>
    <row r="452">
      <c r="C452" s="36" t="n"/>
      <c r="D452" s="36" t="n"/>
      <c r="E452" s="35" t="n"/>
      <c r="F452" s="36" t="n"/>
      <c r="G452" s="36" t="n"/>
      <c r="H452" s="30" t="n"/>
      <c r="I452" s="30" t="n">
        <v>0</v>
      </c>
      <c r="J452" s="31">
        <f>IF(H452="","",H452-I452)</f>
        <v/>
      </c>
      <c r="K452" s="43" t="n"/>
      <c r="L452" s="32">
        <f>IF(OR(K452="",$F452=""),"",DATE(YEAR(K452),MONTH(K452)+VLOOKUP($F452,'Membership Level'!$A$3:$B$15,2,FALSE),DAY(K452)))</f>
        <v/>
      </c>
      <c r="M452" s="36" t="n"/>
      <c r="N452" s="34">
        <f>IF($L452="","",DATE(YEAR($L452),MONTH($L452),DAY($L452)-$M452))</f>
        <v/>
      </c>
      <c r="O452" s="33">
        <f>IF($L452="","",IF(DAYS360(NOW(),$L452)&gt;=0,DAYS360(NOW(),$L452),""))</f>
        <v/>
      </c>
      <c r="P452" s="34">
        <f>IF(OR(H452="",H452=0,F452="",K452=""),"",I452/H452*VLOOKUP(F452,'Membership Level'!$A$3:$C$15,3,FALSE)+K452)</f>
        <v/>
      </c>
      <c r="Q452" s="36" t="n"/>
    </row>
    <row r="453">
      <c r="C453" s="36" t="n"/>
      <c r="D453" s="36" t="n"/>
      <c r="E453" s="35" t="n"/>
      <c r="F453" s="36" t="n"/>
      <c r="G453" s="36" t="n"/>
      <c r="H453" s="30" t="n"/>
      <c r="I453" s="30" t="n">
        <v>0</v>
      </c>
      <c r="J453" s="31">
        <f>IF(H453="","",H453-I453)</f>
        <v/>
      </c>
      <c r="K453" s="43" t="n"/>
      <c r="L453" s="32">
        <f>IF(OR(K453="",$F453=""),"",DATE(YEAR(K453),MONTH(K453)+VLOOKUP($F453,'Membership Level'!$A$3:$B$15,2,FALSE),DAY(K453)))</f>
        <v/>
      </c>
      <c r="M453" s="36" t="n"/>
      <c r="N453" s="34">
        <f>IF($L453="","",DATE(YEAR($L453),MONTH($L453),DAY($L453)-$M453))</f>
        <v/>
      </c>
      <c r="O453" s="33">
        <f>IF($L453="","",IF(DAYS360(NOW(),$L453)&gt;=0,DAYS360(NOW(),$L453),""))</f>
        <v/>
      </c>
      <c r="P453" s="34">
        <f>IF(OR(H453="",H453=0,F453="",K453=""),"",I453/H453*VLOOKUP(F453,'Membership Level'!$A$3:$C$15,3,FALSE)+K453)</f>
        <v/>
      </c>
      <c r="Q453" s="36" t="n"/>
    </row>
    <row r="454">
      <c r="C454" s="36" t="n"/>
      <c r="D454" s="36" t="n"/>
      <c r="E454" s="35" t="n"/>
      <c r="F454" s="36" t="n"/>
      <c r="G454" s="36" t="n"/>
      <c r="H454" s="30" t="n"/>
      <c r="I454" s="30" t="n">
        <v>0</v>
      </c>
      <c r="J454" s="31">
        <f>IF(H454="","",H454-I454)</f>
        <v/>
      </c>
      <c r="K454" s="43" t="n"/>
      <c r="L454" s="32">
        <f>IF(OR(K454="",$F454=""),"",DATE(YEAR(K454),MONTH(K454)+VLOOKUP($F454,'Membership Level'!$A$3:$B$15,2,FALSE),DAY(K454)))</f>
        <v/>
      </c>
      <c r="M454" s="36" t="n"/>
      <c r="N454" s="34">
        <f>IF($L454="","",DATE(YEAR($L454),MONTH($L454),DAY($L454)-$M454))</f>
        <v/>
      </c>
      <c r="O454" s="33">
        <f>IF($L454="","",IF(DAYS360(NOW(),$L454)&gt;=0,DAYS360(NOW(),$L454),""))</f>
        <v/>
      </c>
      <c r="P454" s="34">
        <f>IF(OR(H454="",H454=0,F454="",K454=""),"",I454/H454*VLOOKUP(F454,'Membership Level'!$A$3:$C$15,3,FALSE)+K454)</f>
        <v/>
      </c>
      <c r="Q454" s="36" t="n"/>
    </row>
    <row r="455">
      <c r="C455" s="36" t="n"/>
      <c r="D455" s="36" t="n"/>
      <c r="E455" s="35" t="n"/>
      <c r="F455" s="36" t="n"/>
      <c r="G455" s="36" t="n"/>
      <c r="H455" s="30" t="n"/>
      <c r="I455" s="30" t="n"/>
      <c r="J455" s="31">
        <f>IF(H455="","",H455-I455)</f>
        <v/>
      </c>
      <c r="K455" s="43" t="n"/>
      <c r="L455" s="32">
        <f>IF(OR(K455="",$F455=""),"",DATE(YEAR(K455),MONTH(K455)+VLOOKUP($F455,'Membership Level'!$A$3:$B$15,2,FALSE),DAY(K455)))</f>
        <v/>
      </c>
      <c r="M455" s="36" t="n"/>
      <c r="N455" s="34">
        <f>IF($L455="","",DATE(YEAR($L455),MONTH($L455),DAY($L455)-$M455))</f>
        <v/>
      </c>
      <c r="O455" s="33">
        <f>IF($L455="","",IF(DAYS360(NOW(),$L455)&gt;=0,DAYS360(NOW(),$L455),""))</f>
        <v/>
      </c>
      <c r="P455" s="34">
        <f>IF(OR(H455="",H455=0,F455="",K455=""),"",I455/H455*VLOOKUP(F455,'Membership Level'!$A$3:$C$15,3,FALSE)+K455)</f>
        <v/>
      </c>
      <c r="Q455" s="36" t="n"/>
    </row>
    <row r="456">
      <c r="C456" s="36" t="n"/>
      <c r="D456" s="36" t="n"/>
      <c r="E456" s="35" t="n"/>
      <c r="F456" s="36" t="n"/>
      <c r="G456" s="36" t="n"/>
      <c r="H456" s="30" t="n"/>
      <c r="I456" s="30" t="n"/>
      <c r="J456" s="31">
        <f>IF(H456="","",H456-I456)</f>
        <v/>
      </c>
      <c r="K456" s="43" t="n"/>
      <c r="L456" s="32">
        <f>IF(OR(K456="",$F456=""),"",DATE(YEAR(K456),MONTH(K456)+VLOOKUP($F456,'Membership Level'!$A$3:$B$15,2,FALSE),DAY(K456)))</f>
        <v/>
      </c>
      <c r="M456" s="36" t="n"/>
      <c r="N456" s="34">
        <f>IF($L456="","",DATE(YEAR($L456),MONTH($L456),DAY($L456)-$M456))</f>
        <v/>
      </c>
      <c r="O456" s="33">
        <f>IF($L456="","",IF(DAYS360(NOW(),$L456)&gt;=0,DAYS360(NOW(),$L456),""))</f>
        <v/>
      </c>
      <c r="P456" s="34">
        <f>IF(OR(H456="",H456=0,F456="",K456=""),"",I456/H456*VLOOKUP(F456,'Membership Level'!$A$3:$C$15,3,FALSE)+K456)</f>
        <v/>
      </c>
      <c r="Q456" s="36" t="n"/>
    </row>
    <row r="457">
      <c r="C457" s="36" t="n"/>
      <c r="D457" s="36" t="n"/>
      <c r="E457" s="35" t="n"/>
      <c r="F457" s="36" t="n"/>
      <c r="G457" s="36" t="n"/>
      <c r="H457" s="30" t="n"/>
      <c r="I457" s="30" t="n"/>
      <c r="J457" s="31">
        <f>IF(H457="","",H457-I457)</f>
        <v/>
      </c>
      <c r="K457" s="43" t="n"/>
      <c r="L457" s="32">
        <f>IF(OR(K457="",$F457=""),"",DATE(YEAR(K457),MONTH(K457)+VLOOKUP($F457,'Membership Level'!$A$3:$B$15,2,FALSE),DAY(K457)))</f>
        <v/>
      </c>
      <c r="M457" s="36" t="n"/>
      <c r="N457" s="34">
        <f>IF($L457="","",DATE(YEAR($L457),MONTH($L457),DAY($L457)-$M457))</f>
        <v/>
      </c>
      <c r="O457" s="33">
        <f>IF($L457="","",IF(DAYS360(NOW(),$L457)&gt;=0,DAYS360(NOW(),$L457),""))</f>
        <v/>
      </c>
      <c r="P457" s="34">
        <f>IF(OR(H457="",H457=0,F457="",K457=""),"",I457/H457*VLOOKUP(F457,'Membership Level'!$A$3:$C$15,3,FALSE)+K457)</f>
        <v/>
      </c>
      <c r="Q457" s="36" t="n"/>
    </row>
    <row r="458">
      <c r="C458" s="36" t="n"/>
      <c r="D458" s="36" t="n"/>
      <c r="E458" s="35" t="n"/>
      <c r="F458" s="36" t="n"/>
      <c r="G458" s="36" t="n"/>
      <c r="H458" s="30" t="n"/>
      <c r="I458" s="30" t="n"/>
      <c r="J458" s="31">
        <f>IF(H458="","",H458-I458)</f>
        <v/>
      </c>
      <c r="K458" s="43" t="n"/>
      <c r="L458" s="32">
        <f>IF(OR(K458="",$F458=""),"",DATE(YEAR(K458),MONTH(K458)+VLOOKUP($F458,'Membership Level'!$A$3:$B$15,2,FALSE),DAY(K458)))</f>
        <v/>
      </c>
      <c r="M458" s="36" t="n"/>
      <c r="N458" s="34">
        <f>IF($L458="","",DATE(YEAR($L458),MONTH($L458),DAY($L458)-$M458))</f>
        <v/>
      </c>
      <c r="O458" s="33">
        <f>IF($L458="","",IF(DAYS360(NOW(),$L458)&gt;=0,DAYS360(NOW(),$L458),""))</f>
        <v/>
      </c>
      <c r="P458" s="34">
        <f>IF(OR(H458="",H458=0,F458="",K458=""),"",I458/H458*VLOOKUP(F458,'Membership Level'!$A$3:$C$15,3,FALSE)+K458)</f>
        <v/>
      </c>
      <c r="Q458" s="35" t="n"/>
    </row>
    <row r="459">
      <c r="C459" s="36" t="n"/>
      <c r="D459" s="36" t="n"/>
      <c r="E459" s="35" t="n"/>
      <c r="F459" s="36" t="n"/>
      <c r="G459" s="36" t="n"/>
      <c r="H459" s="30" t="n"/>
      <c r="I459" s="30" t="n"/>
      <c r="J459" s="31">
        <f>IF(H459="","",H459-I459)</f>
        <v/>
      </c>
      <c r="K459" s="43" t="n"/>
      <c r="L459" s="32">
        <f>IF(OR(K459="",$F459=""),"",DATE(YEAR(K459),MONTH(K459)+VLOOKUP($F459,'Membership Level'!$A$3:$B$15,2,FALSE),DAY(K459)))</f>
        <v/>
      </c>
      <c r="M459" s="36" t="n"/>
      <c r="N459" s="34">
        <f>IF($L459="","",DATE(YEAR($L459),MONTH($L459),DAY($L459)-$M459))</f>
        <v/>
      </c>
      <c r="O459" s="33">
        <f>IF($L459="","",IF(DAYS360(NOW(),$L459)&gt;=0,DAYS360(NOW(),$L459),""))</f>
        <v/>
      </c>
      <c r="P459" s="34">
        <f>IF(OR(H459="",H459=0,F459="",K459=""),"",I459/H459*VLOOKUP(F459,'Membership Level'!$A$3:$C$15,3,FALSE)+K459)</f>
        <v/>
      </c>
      <c r="Q459" s="36" t="n"/>
    </row>
    <row r="460">
      <c r="C460" s="36" t="n"/>
      <c r="D460" s="36" t="n"/>
      <c r="E460" s="35" t="n"/>
      <c r="F460" s="36" t="n"/>
      <c r="G460" s="36" t="n"/>
      <c r="H460" s="30" t="n"/>
      <c r="I460" s="30" t="n"/>
      <c r="J460" s="31">
        <f>IF(H460="","",H460-I460)</f>
        <v/>
      </c>
      <c r="K460" s="43" t="n"/>
      <c r="L460" s="32">
        <f>IF(OR(K460="",$F460=""),"",DATE(YEAR(K460),MONTH(K460)+VLOOKUP($F460,'Membership Level'!$A$3:$B$15,2,FALSE),DAY(K460)))</f>
        <v/>
      </c>
      <c r="M460" s="36" t="n"/>
      <c r="N460" s="34">
        <f>IF($L460="","",DATE(YEAR($L460),MONTH($L460),DAY($L460)-$M460))</f>
        <v/>
      </c>
      <c r="O460" s="33">
        <f>IF($L460="","",IF(DAYS360(NOW(),$L460)&gt;=0,DAYS360(NOW(),$L460),""))</f>
        <v/>
      </c>
      <c r="P460" s="34">
        <f>IF(OR(H460="",H460=0,F460="",K460=""),"",I460/H460*VLOOKUP(F460,'Membership Level'!$A$3:$C$15,3,FALSE)+K460)</f>
        <v/>
      </c>
      <c r="Q460" s="36" t="n"/>
    </row>
    <row r="461">
      <c r="C461" s="36" t="n"/>
      <c r="D461" s="36" t="n"/>
      <c r="E461" s="35" t="n"/>
      <c r="F461" s="36" t="n"/>
      <c r="G461" s="36" t="n"/>
      <c r="H461" s="30" t="n"/>
      <c r="I461" s="30" t="n"/>
      <c r="J461" s="31">
        <f>IF(H461="","",H461-I461)</f>
        <v/>
      </c>
      <c r="K461" s="43" t="n"/>
      <c r="L461" s="32">
        <f>IF(OR(K461="",$F461=""),"",DATE(YEAR(K461),MONTH(K461)+VLOOKUP($F461,'Membership Level'!$A$3:$B$15,2,FALSE),DAY(K461)))</f>
        <v/>
      </c>
      <c r="M461" s="36" t="n"/>
      <c r="N461" s="34">
        <f>IF($L461="","",DATE(YEAR($L461),MONTH($L461),DAY($L461)-$M461))</f>
        <v/>
      </c>
      <c r="O461" s="33">
        <f>IF($L461="","",IF(DAYS360(NOW(),$L461)&gt;=0,DAYS360(NOW(),$L461),""))</f>
        <v/>
      </c>
      <c r="P461" s="34">
        <f>IF(OR(H461="",H461=0,F461="",K461=""),"",I461/H461*VLOOKUP(F461,'Membership Level'!$A$3:$C$15,3,FALSE)+K461)</f>
        <v/>
      </c>
      <c r="Q461" s="36" t="n"/>
    </row>
    <row r="462">
      <c r="C462" s="36" t="n"/>
      <c r="D462" s="36" t="n"/>
      <c r="E462" s="35" t="n"/>
      <c r="F462" s="36" t="n"/>
      <c r="G462" s="36" t="n"/>
      <c r="H462" s="30" t="n"/>
      <c r="I462" s="30" t="n"/>
      <c r="J462" s="31">
        <f>IF(H462="","",H462-I462)</f>
        <v/>
      </c>
      <c r="K462" s="43" t="n"/>
      <c r="L462" s="32">
        <f>IF(OR(K462="",$F462=""),"",DATE(YEAR(K462),MONTH(K462)+VLOOKUP($F462,'Membership Level'!$A$3:$B$15,2,FALSE),DAY(K462)))</f>
        <v/>
      </c>
      <c r="M462" s="36" t="n"/>
      <c r="N462" s="34">
        <f>IF($L462="","",DATE(YEAR($L462),MONTH($L462),DAY($L462)-$M462))</f>
        <v/>
      </c>
      <c r="O462" s="33">
        <f>IF($L462="","",IF(DAYS360(NOW(),$L462)&gt;=0,DAYS360(NOW(),$L462),""))</f>
        <v/>
      </c>
      <c r="P462" s="34">
        <f>IF(OR(H462="",H462=0,F462="",K462=""),"",I462/H462*VLOOKUP(F462,'Membership Level'!$A$3:$C$15,3,FALSE)+K462)</f>
        <v/>
      </c>
      <c r="Q462" s="36" t="n"/>
    </row>
    <row r="463">
      <c r="C463" s="36" t="n"/>
      <c r="D463" s="36" t="n"/>
      <c r="E463" s="35" t="n"/>
      <c r="F463" s="36" t="n"/>
      <c r="G463" s="36" t="n"/>
      <c r="H463" s="30" t="n"/>
      <c r="I463" s="30" t="n"/>
      <c r="J463" s="31">
        <f>IF(H463="","",H463-I463)</f>
        <v/>
      </c>
      <c r="K463" s="43" t="n"/>
      <c r="L463" s="32">
        <f>IF(OR(K463="",$F463=""),"",DATE(YEAR(K463),MONTH(K463)+VLOOKUP($F463,'Membership Level'!$A$3:$B$15,2,FALSE),DAY(K463)))</f>
        <v/>
      </c>
      <c r="M463" s="36" t="n"/>
      <c r="N463" s="34">
        <f>IF($L463="","",DATE(YEAR($L463),MONTH($L463),DAY($L463)-$M463))</f>
        <v/>
      </c>
      <c r="O463" s="33">
        <f>IF($L463="","",IF(DAYS360(NOW(),$L463)&gt;=0,DAYS360(NOW(),$L463),""))</f>
        <v/>
      </c>
      <c r="P463" s="34">
        <f>IF(OR(H463="",H463=0,F463="",K463=""),"",I463/H463*VLOOKUP(F463,'Membership Level'!$A$3:$C$15,3,FALSE)+K463)</f>
        <v/>
      </c>
      <c r="Q463" s="36" t="n"/>
    </row>
    <row r="464">
      <c r="C464" s="36" t="n"/>
      <c r="D464" s="36" t="n"/>
      <c r="E464" s="36" t="n"/>
      <c r="F464" s="36" t="n"/>
      <c r="G464" s="36" t="n"/>
      <c r="H464" s="30" t="n"/>
      <c r="I464" s="30" t="n"/>
      <c r="J464" s="31">
        <f>IF(H464="","",H464-I464)</f>
        <v/>
      </c>
      <c r="K464" s="43" t="n"/>
      <c r="L464" s="32">
        <f>IF(OR(K464="",$F464=""),"",DATE(YEAR(K464),MONTH(K464)+VLOOKUP($F464,'Membership Level'!$A$3:$B$15,2,FALSE),DAY(K464)))</f>
        <v/>
      </c>
      <c r="M464" s="36" t="n"/>
      <c r="N464" s="34">
        <f>IF($L464="","",DATE(YEAR($L464),MONTH($L464),DAY($L464)-$M464))</f>
        <v/>
      </c>
      <c r="O464" s="33">
        <f>IF($L464="","",IF(DAYS360(NOW(),$L464)&gt;=0,DAYS360(NOW(),$L464),""))</f>
        <v/>
      </c>
      <c r="P464" s="34">
        <f>IF(OR(H464="",H464=0,F464="",K464=""),"",I464/H464*VLOOKUP(F464,'Membership Level'!$A$3:$C$15,3,FALSE)+K464)</f>
        <v/>
      </c>
      <c r="Q464" s="36" t="n"/>
    </row>
    <row r="465">
      <c r="C465" s="36" t="n"/>
      <c r="D465" s="36" t="n"/>
      <c r="E465" s="36" t="n"/>
      <c r="F465" s="36" t="n"/>
      <c r="G465" s="36" t="n"/>
      <c r="H465" s="30" t="n"/>
      <c r="I465" s="30" t="n"/>
      <c r="J465" s="31">
        <f>IF(H465="","",H465-I465)</f>
        <v/>
      </c>
      <c r="K465" s="43" t="n"/>
      <c r="L465" s="32">
        <f>IF(OR(K465="",$F465=""),"",DATE(YEAR(K465),MONTH(K465)+VLOOKUP($F465,'Membership Level'!$A$3:$B$15,2,FALSE),DAY(K465)))</f>
        <v/>
      </c>
      <c r="M465" s="36" t="n"/>
      <c r="N465" s="34">
        <f>IF($L465="","",DATE(YEAR($L465),MONTH($L465),DAY($L465)-$M465))</f>
        <v/>
      </c>
      <c r="O465" s="33">
        <f>IF($L465="","",IF(DAYS360(NOW(),$L465)&gt;=0,DAYS360(NOW(),$L465),""))</f>
        <v/>
      </c>
      <c r="P465" s="34">
        <f>IF(OR(H465="",H465=0,F465="",K465=""),"",I465/H465*VLOOKUP(F465,'Membership Level'!$A$3:$C$15,3,FALSE)+K465)</f>
        <v/>
      </c>
      <c r="Q465" s="36" t="n"/>
    </row>
    <row r="466">
      <c r="C466" s="36" t="n"/>
      <c r="D466" s="36" t="n"/>
      <c r="E466" s="35" t="n"/>
      <c r="F466" s="36" t="n"/>
      <c r="G466" s="36" t="n"/>
      <c r="H466" s="30" t="n"/>
      <c r="I466" s="30" t="n"/>
      <c r="J466" s="31">
        <f>IF(H466="","",H466-I466)</f>
        <v/>
      </c>
      <c r="K466" s="43" t="n"/>
      <c r="L466" s="32">
        <f>IF(OR(K466="",$F466=""),"",DATE(YEAR(K466),MONTH(K466)+VLOOKUP($F466,'Membership Level'!$A$3:$B$15,2,FALSE),DAY(K466)))</f>
        <v/>
      </c>
      <c r="M466" s="36" t="n"/>
      <c r="N466" s="34">
        <f>IF($L466="","",DATE(YEAR($L466),MONTH($L466),DAY($L466)-$M466))</f>
        <v/>
      </c>
      <c r="O466" s="33">
        <f>IF($L466="","",IF(DAYS360(NOW(),$L466)&gt;=0,DAYS360(NOW(),$L466),""))</f>
        <v/>
      </c>
      <c r="P466" s="34">
        <f>IF(OR(H466="",H466=0,F466="",K466=""),"",I466/H466*VLOOKUP(F466,'Membership Level'!$A$3:$C$15,3,FALSE)+K466)</f>
        <v/>
      </c>
      <c r="Q466" s="36" t="n"/>
    </row>
    <row r="467">
      <c r="C467" s="36" t="n"/>
      <c r="D467" s="36" t="n"/>
      <c r="E467" s="35" t="n"/>
      <c r="F467" s="36" t="n"/>
      <c r="G467" s="36" t="n"/>
      <c r="H467" s="30" t="n"/>
      <c r="I467" s="30" t="n"/>
      <c r="J467" s="31">
        <f>IF(H467="","",H467-I467)</f>
        <v/>
      </c>
      <c r="K467" s="43" t="n"/>
      <c r="L467" s="32">
        <f>IF(OR(K467="",$F467=""),"",DATE(YEAR(K467),MONTH(K467)+VLOOKUP($F467,'Membership Level'!$A$3:$B$15,2,FALSE),DAY(K467)))</f>
        <v/>
      </c>
      <c r="M467" s="36" t="n"/>
      <c r="N467" s="34">
        <f>IF($L467="","",DATE(YEAR($L467),MONTH($L467),DAY($L467)-$M467))</f>
        <v/>
      </c>
      <c r="O467" s="33">
        <f>IF($L467="","",IF(DAYS360(NOW(),$L467)&gt;=0,DAYS360(NOW(),$L467),""))</f>
        <v/>
      </c>
      <c r="P467" s="34">
        <f>IF(OR(H467="",H467=0,F467="",K467=""),"",I467/H467*VLOOKUP(F467,'Membership Level'!$A$3:$C$15,3,FALSE)+K467)</f>
        <v/>
      </c>
      <c r="Q467" s="36" t="n"/>
    </row>
    <row r="468">
      <c r="C468" s="36" t="n"/>
      <c r="D468" s="36" t="n"/>
      <c r="E468" s="35" t="n"/>
      <c r="F468" s="36" t="n"/>
      <c r="G468" s="36" t="n"/>
      <c r="H468" s="30" t="n"/>
      <c r="I468" s="30" t="n"/>
      <c r="J468" s="31">
        <f>IF(H468="","",H468-I468)</f>
        <v/>
      </c>
      <c r="K468" s="43" t="n"/>
      <c r="L468" s="32">
        <f>IF(OR(K468="",$F468=""),"",DATE(YEAR(K468),MONTH(K468)+VLOOKUP($F468,'Membership Level'!$A$3:$B$15,2,FALSE),DAY(K468)))</f>
        <v/>
      </c>
      <c r="M468" s="36" t="n"/>
      <c r="N468" s="34">
        <f>IF($L468="","",DATE(YEAR($L468),MONTH($L468),DAY($L468)-$M468))</f>
        <v/>
      </c>
      <c r="O468" s="33">
        <f>IF($L468="","",IF(DAYS360(NOW(),$L468)&gt;=0,DAYS360(NOW(),$L468),""))</f>
        <v/>
      </c>
      <c r="P468" s="34">
        <f>IF(OR(H468="",H468=0,F468="",K468=""),"",I468/H468*VLOOKUP(F468,'Membership Level'!$A$3:$C$15,3,FALSE)+K468)</f>
        <v/>
      </c>
      <c r="Q468" s="36" t="n"/>
    </row>
    <row r="469">
      <c r="C469" s="36" t="n"/>
      <c r="D469" s="36" t="n"/>
      <c r="E469" s="35" t="n"/>
      <c r="F469" s="36" t="n"/>
      <c r="G469" s="36" t="n"/>
      <c r="H469" s="30" t="n"/>
      <c r="I469" s="30" t="n"/>
      <c r="J469" s="31">
        <f>IF(H469="","",H469-I469)</f>
        <v/>
      </c>
      <c r="K469" s="43" t="n"/>
      <c r="L469" s="32">
        <f>IF(OR(K469="",$F469=""),"",DATE(YEAR(K469),MONTH(K469)+VLOOKUP($F469,'Membership Level'!$A$3:$B$15,2,FALSE),DAY(K469)))</f>
        <v/>
      </c>
      <c r="M469" s="36" t="n"/>
      <c r="N469" s="34">
        <f>IF($L469="","",DATE(YEAR($L469),MONTH($L469),DAY($L469)-$M469))</f>
        <v/>
      </c>
      <c r="O469" s="33">
        <f>IF($L469="","",IF(DAYS360(NOW(),$L469)&gt;=0,DAYS360(NOW(),$L469),""))</f>
        <v/>
      </c>
      <c r="P469" s="34">
        <f>IF(OR(H469="",H469=0,F469="",K469=""),"",I469/H469*VLOOKUP(F469,'Membership Level'!$A$3:$C$15,3,FALSE)+K469)</f>
        <v/>
      </c>
      <c r="Q469" s="36" t="n"/>
    </row>
    <row r="470">
      <c r="C470" s="36" t="n"/>
      <c r="D470" s="36" t="n"/>
      <c r="E470" s="35" t="n"/>
      <c r="F470" s="36" t="n"/>
      <c r="G470" s="36" t="n"/>
      <c r="H470" s="30" t="n"/>
      <c r="I470" s="30" t="n"/>
      <c r="J470" s="31">
        <f>IF(H470="","",H470-I470)</f>
        <v/>
      </c>
      <c r="K470" s="43" t="n"/>
      <c r="L470" s="32">
        <f>IF(OR(K470="",$F470=""),"",DATE(YEAR(K470),MONTH(K470)+VLOOKUP($F470,'Membership Level'!$A$3:$B$15,2,FALSE),DAY(K470)))</f>
        <v/>
      </c>
      <c r="M470" s="36" t="n"/>
      <c r="N470" s="34">
        <f>IF($L470="","",DATE(YEAR($L470),MONTH($L470),DAY($L470)-$M470))</f>
        <v/>
      </c>
      <c r="O470" s="33">
        <f>IF($L470="","",IF(DAYS360(NOW(),$L470)&gt;=0,DAYS360(NOW(),$L470),""))</f>
        <v/>
      </c>
      <c r="P470" s="34">
        <f>IF(OR(H470="",H470=0,F470="",K470=""),"",I470/H470*VLOOKUP(F470,'Membership Level'!$A$3:$C$15,3,FALSE)+K470)</f>
        <v/>
      </c>
      <c r="Q470" s="36" t="n"/>
    </row>
    <row r="471">
      <c r="C471" s="36" t="n"/>
      <c r="D471" s="36" t="n"/>
      <c r="E471" s="35" t="n"/>
      <c r="F471" s="36" t="n"/>
      <c r="G471" s="36" t="n"/>
      <c r="H471" s="30" t="n"/>
      <c r="I471" s="30" t="n"/>
      <c r="J471" s="31">
        <f>IF(H471="","",H471-I471)</f>
        <v/>
      </c>
      <c r="K471" s="43" t="n"/>
      <c r="L471" s="32">
        <f>IF(OR(K471="",$F471=""),"",DATE(YEAR(K471),MONTH(K471)+VLOOKUP($F471,'Membership Level'!$A$3:$B$15,2,FALSE),DAY(K471)))</f>
        <v/>
      </c>
      <c r="M471" s="36" t="n"/>
      <c r="N471" s="34">
        <f>IF($L471="","",DATE(YEAR($L471),MONTH($L471),DAY($L471)-$M471))</f>
        <v/>
      </c>
      <c r="O471" s="33">
        <f>IF($L471="","",IF(DAYS360(NOW(),$L471)&gt;=0,DAYS360(NOW(),$L471),""))</f>
        <v/>
      </c>
      <c r="P471" s="34">
        <f>IF(OR(H471="",H471=0,F471="",K471=""),"",I471/H471*VLOOKUP(F471,'Membership Level'!$A$3:$C$15,3,FALSE)+K471)</f>
        <v/>
      </c>
      <c r="Q471" s="36" t="n"/>
    </row>
    <row r="472">
      <c r="C472" s="36" t="n"/>
      <c r="D472" s="36" t="n"/>
      <c r="E472" s="35" t="n"/>
      <c r="F472" s="36" t="n"/>
      <c r="G472" s="36" t="n"/>
      <c r="H472" s="30" t="n"/>
      <c r="I472" s="30" t="n"/>
      <c r="J472" s="31">
        <f>IF(H472="","",H472-I472)</f>
        <v/>
      </c>
      <c r="K472" s="43" t="n"/>
      <c r="L472" s="32">
        <f>IF(OR(K472="",$F472=""),"",DATE(YEAR(K472),MONTH(K472)+VLOOKUP($F472,'Membership Level'!$A$3:$B$15,2,FALSE),DAY(K472)))</f>
        <v/>
      </c>
      <c r="M472" s="36" t="n"/>
      <c r="N472" s="34">
        <f>IF($L472="","",DATE(YEAR($L472),MONTH($L472),DAY($L472)-$M472))</f>
        <v/>
      </c>
      <c r="O472" s="33">
        <f>IF($L472="","",IF(DAYS360(NOW(),$L472)&gt;=0,DAYS360(NOW(),$L472),""))</f>
        <v/>
      </c>
      <c r="P472" s="34">
        <f>IF(OR(H472="",H472=0,F472="",K472=""),"",I472/H472*VLOOKUP(F472,'Membership Level'!$A$3:$C$15,3,FALSE)+K472)</f>
        <v/>
      </c>
      <c r="Q472" s="36" t="n"/>
    </row>
    <row r="473">
      <c r="C473" s="36" t="n"/>
      <c r="D473" s="36" t="n"/>
      <c r="E473" s="35" t="n"/>
      <c r="F473" s="36" t="n"/>
      <c r="G473" s="36" t="n"/>
      <c r="H473" s="30" t="n"/>
      <c r="I473" s="30" t="n"/>
      <c r="J473" s="31">
        <f>IF(H473="","",H473-I473)</f>
        <v/>
      </c>
      <c r="K473" s="43" t="n"/>
      <c r="L473" s="32">
        <f>IF(OR(K473="",$F473=""),"",DATE(YEAR(K473),MONTH(K473)+VLOOKUP($F473,'Membership Level'!$A$3:$B$15,2,FALSE),DAY(K473)))</f>
        <v/>
      </c>
      <c r="M473" s="36" t="n"/>
      <c r="N473" s="34">
        <f>IF($L473="","",DATE(YEAR($L473),MONTH($L473),DAY($L473)-$M473))</f>
        <v/>
      </c>
      <c r="O473" s="33">
        <f>IF($L473="","",IF(DAYS360(NOW(),$L473)&gt;=0,DAYS360(NOW(),$L473),""))</f>
        <v/>
      </c>
      <c r="P473" s="34">
        <f>IF(OR(H473="",H473=0,F473="",K473=""),"",I473/H473*VLOOKUP(F473,'Membership Level'!$A$3:$C$15,3,FALSE)+K473)</f>
        <v/>
      </c>
      <c r="Q473" s="36" t="n"/>
    </row>
    <row r="474">
      <c r="C474" s="36" t="n"/>
      <c r="D474" s="36" t="n"/>
      <c r="E474" s="35" t="n"/>
      <c r="F474" s="36" t="n"/>
      <c r="G474" s="36" t="n"/>
      <c r="H474" s="30" t="n"/>
      <c r="I474" s="30" t="n"/>
      <c r="J474" s="31">
        <f>IF(H474="","",H474-I474)</f>
        <v/>
      </c>
      <c r="K474" s="43" t="n"/>
      <c r="L474" s="32">
        <f>IF(OR(K474="",$F474=""),"",DATE(YEAR(K474),MONTH(K474)+VLOOKUP($F474,'Membership Level'!$A$3:$B$15,2,FALSE),DAY(K474)))</f>
        <v/>
      </c>
      <c r="M474" s="36" t="n"/>
      <c r="N474" s="34">
        <f>IF($L474="","",DATE(YEAR($L474),MONTH($L474),DAY($L474)-$M474))</f>
        <v/>
      </c>
      <c r="O474" s="33">
        <f>IF($L474="","",IF(DAYS360(NOW(),$L474)&gt;=0,DAYS360(NOW(),$L474),""))</f>
        <v/>
      </c>
      <c r="P474" s="34">
        <f>IF(OR(H474="",H474=0,F474="",K474=""),"",I474/H474*VLOOKUP(F474,'Membership Level'!$A$3:$C$15,3,FALSE)+K474)</f>
        <v/>
      </c>
      <c r="Q474" s="36" t="n"/>
    </row>
    <row r="475">
      <c r="C475" s="36" t="n"/>
      <c r="D475" s="36" t="n"/>
      <c r="E475" s="35" t="n"/>
      <c r="F475" s="36" t="n"/>
      <c r="G475" s="36" t="n"/>
      <c r="H475" s="30" t="n"/>
      <c r="I475" s="30" t="n"/>
      <c r="J475" s="31">
        <f>IF(H475="","",H475-I475)</f>
        <v/>
      </c>
      <c r="K475" s="43" t="n"/>
      <c r="L475" s="32">
        <f>IF(OR(K475="",$F475=""),"",DATE(YEAR(K475),MONTH(K475)+VLOOKUP($F475,'Membership Level'!$A$3:$B$15,2,FALSE),DAY(K475)))</f>
        <v/>
      </c>
      <c r="M475" s="36" t="n"/>
      <c r="N475" s="34">
        <f>IF($L475="","",DATE(YEAR($L475),MONTH($L475),DAY($L475)-$M475))</f>
        <v/>
      </c>
      <c r="O475" s="33">
        <f>IF($L475="","",IF(DAYS360(NOW(),$L475)&gt;=0,DAYS360(NOW(),$L475),""))</f>
        <v/>
      </c>
      <c r="P475" s="34">
        <f>IF(OR(H475="",H475=0,F475="",K475=""),"",I475/H475*VLOOKUP(F475,'Membership Level'!$A$3:$C$15,3,FALSE)+K475)</f>
        <v/>
      </c>
      <c r="Q475" s="36" t="n"/>
    </row>
    <row r="476">
      <c r="C476" s="36" t="n"/>
      <c r="D476" s="36" t="n"/>
      <c r="E476" s="35" t="n"/>
      <c r="F476" s="36" t="n"/>
      <c r="G476" s="36" t="n"/>
      <c r="H476" s="30" t="n"/>
      <c r="I476" s="30" t="n"/>
      <c r="J476" s="31">
        <f>IF(H476="","",H476-I476)</f>
        <v/>
      </c>
      <c r="K476" s="43" t="n"/>
      <c r="L476" s="32">
        <f>IF(OR(K476="",$F476=""),"",DATE(YEAR(K476),MONTH(K476)+VLOOKUP($F476,'Membership Level'!$A$3:$B$15,2,FALSE),DAY(K476)))</f>
        <v/>
      </c>
      <c r="M476" s="36" t="n"/>
      <c r="N476" s="34">
        <f>IF($L476="","",DATE(YEAR($L476),MONTH($L476),DAY($L476)-$M476))</f>
        <v/>
      </c>
      <c r="O476" s="33">
        <f>IF($L476="","",IF(DAYS360(NOW(),$L476)&gt;=0,DAYS360(NOW(),$L476),""))</f>
        <v/>
      </c>
      <c r="P476" s="34">
        <f>IF(OR(H476="",H476=0,F476="",K476=""),"",I476/H476*VLOOKUP(F476,'Membership Level'!$A$3:$C$15,3,FALSE)+K476)</f>
        <v/>
      </c>
      <c r="Q476" s="36" t="n"/>
    </row>
    <row r="477">
      <c r="C477" s="36" t="n"/>
      <c r="D477" s="36" t="n"/>
      <c r="E477" s="35" t="n"/>
      <c r="F477" s="36" t="n"/>
      <c r="G477" s="36" t="n"/>
      <c r="H477" s="30" t="n"/>
      <c r="I477" s="30" t="n"/>
      <c r="J477" s="31">
        <f>IF(H477="","",H477-I477)</f>
        <v/>
      </c>
      <c r="K477" s="43" t="n"/>
      <c r="L477" s="32">
        <f>IF(OR(K477="",$F477=""),"",DATE(YEAR(K477),MONTH(K477)+VLOOKUP($F477,'Membership Level'!$A$3:$B$15,2,FALSE),DAY(K477)))</f>
        <v/>
      </c>
      <c r="M477" s="36" t="n"/>
      <c r="N477" s="34">
        <f>IF($L477="","",DATE(YEAR($L477),MONTH($L477),DAY($L477)-$M477))</f>
        <v/>
      </c>
      <c r="O477" s="33">
        <f>IF($L477="","",IF(DAYS360(NOW(),$L477)&gt;=0,DAYS360(NOW(),$L477),""))</f>
        <v/>
      </c>
      <c r="P477" s="34">
        <f>IF(OR(H477="",H477=0,F477="",K477=""),"",I477/H477*VLOOKUP(F477,'Membership Level'!$A$3:$C$15,3,FALSE)+K477)</f>
        <v/>
      </c>
      <c r="Q477" s="36" t="n"/>
    </row>
    <row r="478">
      <c r="C478" s="36" t="n"/>
      <c r="D478" s="36" t="n"/>
      <c r="E478" s="35" t="n"/>
      <c r="F478" s="36" t="n"/>
      <c r="G478" s="36" t="n"/>
      <c r="H478" s="30" t="n"/>
      <c r="I478" s="30" t="n"/>
      <c r="J478" s="31">
        <f>IF(H478="","",H478-I478)</f>
        <v/>
      </c>
      <c r="K478" s="43" t="n"/>
      <c r="L478" s="32">
        <f>IF(OR(K478="",$F478=""),"",DATE(YEAR(K478),MONTH(K478)+VLOOKUP($F478,'Membership Level'!$A$3:$B$15,2,FALSE),DAY(K478)))</f>
        <v/>
      </c>
      <c r="M478" s="36" t="n"/>
      <c r="N478" s="34">
        <f>IF($L478="","",DATE(YEAR($L478),MONTH($L478),DAY($L478)-$M478))</f>
        <v/>
      </c>
      <c r="O478" s="33">
        <f>IF($L478="","",IF(DAYS360(NOW(),$L478)&gt;=0,DAYS360(NOW(),$L478),""))</f>
        <v/>
      </c>
      <c r="P478" s="34">
        <f>IF(OR(H478="",H478=0,F478="",K478=""),"",I478/H478*VLOOKUP(F478,'Membership Level'!$A$3:$C$15,3,FALSE)+K478)</f>
        <v/>
      </c>
      <c r="Q478" s="36" t="n"/>
    </row>
    <row r="479">
      <c r="C479" s="36" t="n"/>
      <c r="D479" s="36" t="n"/>
      <c r="E479" s="35" t="n"/>
      <c r="F479" s="36" t="n"/>
      <c r="G479" s="36" t="n"/>
      <c r="H479" s="30" t="n"/>
      <c r="I479" s="30" t="n"/>
      <c r="J479" s="31">
        <f>IF(H479="","",H479-I479)</f>
        <v/>
      </c>
      <c r="K479" s="43" t="n"/>
      <c r="L479" s="32">
        <f>IF(OR(K479="",$F479=""),"",DATE(YEAR(K479),MONTH(K479)+VLOOKUP($F479,'Membership Level'!$A$3:$B$15,2,FALSE),DAY(K479)))</f>
        <v/>
      </c>
      <c r="M479" s="36" t="n"/>
      <c r="N479" s="34">
        <f>IF($L479="","",DATE(YEAR($L479),MONTH($L479),DAY($L479)-$M479))</f>
        <v/>
      </c>
      <c r="O479" s="33">
        <f>IF($L479="","",IF(DAYS360(NOW(),$L479)&gt;=0,DAYS360(NOW(),$L479),""))</f>
        <v/>
      </c>
      <c r="P479" s="34">
        <f>IF(OR(H479="",H479=0,F479="",K479=""),"",I479/H479*VLOOKUP(F479,'Membership Level'!$A$3:$C$15,3,FALSE)+K479)</f>
        <v/>
      </c>
      <c r="Q479" s="36" t="n"/>
    </row>
    <row r="480">
      <c r="C480" s="36" t="n"/>
      <c r="D480" s="36" t="n"/>
      <c r="E480" s="35" t="n"/>
      <c r="F480" s="36" t="n"/>
      <c r="G480" s="36" t="n"/>
      <c r="H480" s="30" t="n"/>
      <c r="I480" s="30" t="n"/>
      <c r="J480" s="31">
        <f>IF(H480="","",H480-I480)</f>
        <v/>
      </c>
      <c r="K480" s="43" t="n"/>
      <c r="L480" s="32">
        <f>IF(OR(K480="",$F480=""),"",DATE(YEAR(K480),MONTH(K480)+VLOOKUP($F480,'Membership Level'!$A$3:$B$15,2,FALSE),DAY(K480)))</f>
        <v/>
      </c>
      <c r="M480" s="36" t="n"/>
      <c r="N480" s="34">
        <f>IF($L480="","",DATE(YEAR($L480),MONTH($L480),DAY($L480)-$M480))</f>
        <v/>
      </c>
      <c r="O480" s="33">
        <f>IF($L480="","",IF(DAYS360(NOW(),$L480)&gt;=0,DAYS360(NOW(),$L480),""))</f>
        <v/>
      </c>
      <c r="P480" s="34">
        <f>IF(OR(H480="",H480=0,F480="",K480=""),"",I480/H480*VLOOKUP(F480,'Membership Level'!$A$3:$C$15,3,FALSE)+K480)</f>
        <v/>
      </c>
      <c r="Q480" s="36" t="n"/>
    </row>
    <row r="481">
      <c r="C481" s="36" t="n"/>
      <c r="D481" s="36" t="n"/>
      <c r="E481" s="35" t="n"/>
      <c r="F481" s="36" t="n"/>
      <c r="G481" s="36" t="n"/>
      <c r="H481" s="30" t="n"/>
      <c r="I481" s="30" t="n"/>
      <c r="J481" s="31">
        <f>IF(H481="","",H481-I481)</f>
        <v/>
      </c>
      <c r="K481" s="43" t="n"/>
      <c r="L481" s="32">
        <f>IF(OR(K481="",$F481=""),"",DATE(YEAR(K481),MONTH(K481)+VLOOKUP($F481,'Membership Level'!$A$3:$B$15,2,FALSE),DAY(K481)))</f>
        <v/>
      </c>
      <c r="M481" s="36" t="n"/>
      <c r="N481" s="34">
        <f>IF($L481="","",DATE(YEAR($L481),MONTH($L481),DAY($L481)-$M481))</f>
        <v/>
      </c>
      <c r="O481" s="33">
        <f>IF($L481="","",IF(DAYS360(NOW(),$L481)&gt;=0,DAYS360(NOW(),$L481),""))</f>
        <v/>
      </c>
      <c r="P481" s="34">
        <f>IF(OR(H481="",H481=0,F481="",K481=""),"",I481/H481*VLOOKUP(F481,'Membership Level'!$A$3:$C$15,3,FALSE)+K481)</f>
        <v/>
      </c>
      <c r="Q481" s="36" t="n"/>
    </row>
    <row r="482">
      <c r="C482" s="36" t="n"/>
      <c r="D482" s="36" t="n"/>
      <c r="E482" s="35" t="n"/>
      <c r="F482" s="36" t="n"/>
      <c r="G482" s="36" t="n"/>
      <c r="H482" s="30" t="n"/>
      <c r="I482" s="30" t="n"/>
      <c r="J482" s="31">
        <f>IF(H482="","",H482-I482)</f>
        <v/>
      </c>
      <c r="K482" s="43" t="n"/>
      <c r="L482" s="32">
        <f>IF(OR(K482="",$F482=""),"",DATE(YEAR(K482),MONTH(K482)+VLOOKUP($F482,'Membership Level'!$A$3:$B$15,2,FALSE),DAY(K482)))</f>
        <v/>
      </c>
      <c r="M482" s="36" t="n"/>
      <c r="N482" s="34">
        <f>IF($L482="","",DATE(YEAR($L482),MONTH($L482),DAY($L482)-$M482))</f>
        <v/>
      </c>
      <c r="O482" s="33">
        <f>IF($L482="","",IF(DAYS360(NOW(),$L482)&gt;=0,DAYS360(NOW(),$L482),""))</f>
        <v/>
      </c>
      <c r="P482" s="34">
        <f>IF(OR(H482="",H482=0,F482="",K482=""),"",I482/H482*VLOOKUP(F482,'Membership Level'!$A$3:$C$15,3,FALSE)+K482)</f>
        <v/>
      </c>
      <c r="Q482" s="36" t="n"/>
    </row>
    <row r="483">
      <c r="C483" s="36" t="n"/>
      <c r="D483" s="36" t="n"/>
      <c r="E483" s="35" t="n"/>
      <c r="F483" s="36" t="n"/>
      <c r="G483" s="36" t="n"/>
      <c r="H483" s="30" t="n"/>
      <c r="I483" s="30" t="n"/>
      <c r="J483" s="31">
        <f>IF(H483="","",H483-I483)</f>
        <v/>
      </c>
      <c r="K483" s="43" t="n"/>
      <c r="L483" s="32">
        <f>IF(OR(K483="",$F483=""),"",DATE(YEAR(K483),MONTH(K483)+VLOOKUP($F483,'Membership Level'!$A$3:$B$15,2,FALSE),DAY(K483)))</f>
        <v/>
      </c>
      <c r="M483" s="36" t="n"/>
      <c r="N483" s="34">
        <f>IF($L483="","",DATE(YEAR($L483),MONTH($L483),DAY($L483)-$M483))</f>
        <v/>
      </c>
      <c r="O483" s="33">
        <f>IF($L483="","",IF(DAYS360(NOW(),$L483)&gt;=0,DAYS360(NOW(),$L483),""))</f>
        <v/>
      </c>
      <c r="P483" s="34">
        <f>IF(OR(H483="",H483=0,F483="",K483=""),"",I483/H483*VLOOKUP(F483,'Membership Level'!$A$3:$C$15,3,FALSE)+K483)</f>
        <v/>
      </c>
      <c r="Q483" s="36" t="n"/>
    </row>
    <row r="484">
      <c r="C484" s="36" t="n"/>
      <c r="D484" s="36" t="n"/>
      <c r="E484" s="35" t="n"/>
      <c r="F484" s="36" t="n"/>
      <c r="G484" s="36" t="n"/>
      <c r="H484" s="30" t="n"/>
      <c r="I484" s="30" t="n"/>
      <c r="J484" s="31">
        <f>IF(H484="","",H484-I484)</f>
        <v/>
      </c>
      <c r="K484" s="43" t="n"/>
      <c r="L484" s="32">
        <f>IF(OR(K484="",$F484=""),"",DATE(YEAR(K484),MONTH(K484)+VLOOKUP($F484,'Membership Level'!$A$3:$B$15,2,FALSE),DAY(K484)))</f>
        <v/>
      </c>
      <c r="M484" s="36" t="n"/>
      <c r="N484" s="34">
        <f>IF($L484="","",DATE(YEAR($L484),MONTH($L484),DAY($L484)-$M484))</f>
        <v/>
      </c>
      <c r="O484" s="33">
        <f>IF($L484="","",IF(DAYS360(NOW(),$L484)&gt;=0,DAYS360(NOW(),$L484),""))</f>
        <v/>
      </c>
      <c r="P484" s="34">
        <f>IF(OR(H484="",H484=0,F484="",K484=""),"",I484/H484*VLOOKUP(F484,'Membership Level'!$A$3:$C$15,3,FALSE)+K484)</f>
        <v/>
      </c>
      <c r="Q484" s="36" t="n"/>
    </row>
    <row r="485">
      <c r="C485" s="36" t="n"/>
      <c r="D485" s="36" t="n"/>
      <c r="E485" s="35" t="n"/>
      <c r="F485" s="36" t="n"/>
      <c r="G485" s="36" t="n"/>
      <c r="H485" s="30" t="n"/>
      <c r="I485" s="30" t="n"/>
      <c r="J485" s="31">
        <f>IF(H485="","",H485-I485)</f>
        <v/>
      </c>
      <c r="K485" s="43" t="n"/>
      <c r="L485" s="32">
        <f>IF(OR(K485="",$F485=""),"",DATE(YEAR(K485),MONTH(K485)+VLOOKUP($F485,'Membership Level'!$A$3:$B$15,2,FALSE),DAY(K485)))</f>
        <v/>
      </c>
      <c r="M485" s="36" t="n"/>
      <c r="N485" s="34">
        <f>IF($L485="","",DATE(YEAR($L485),MONTH($L485),DAY($L485)-$M485))</f>
        <v/>
      </c>
      <c r="O485" s="33">
        <f>IF($L485="","",IF(DAYS360(NOW(),$L485)&gt;=0,DAYS360(NOW(),$L485),""))</f>
        <v/>
      </c>
      <c r="P485" s="34">
        <f>IF(OR(H485="",H485=0,F485="",K485=""),"",I485/H485*VLOOKUP(F485,'Membership Level'!$A$3:$C$15,3,FALSE)+K485)</f>
        <v/>
      </c>
      <c r="Q485" s="36" t="n"/>
    </row>
    <row r="486">
      <c r="C486" s="36" t="n"/>
      <c r="D486" s="36" t="n"/>
      <c r="E486" s="35" t="n"/>
      <c r="F486" s="36" t="n"/>
      <c r="G486" s="36" t="n"/>
      <c r="H486" s="30" t="n"/>
      <c r="I486" s="30" t="n"/>
      <c r="J486" s="31">
        <f>IF(H486="","",H486-I486)</f>
        <v/>
      </c>
      <c r="K486" s="43" t="n"/>
      <c r="L486" s="32">
        <f>IF(OR(K486="",$F486=""),"",DATE(YEAR(K486),MONTH(K486)+VLOOKUP($F486,'Membership Level'!$A$3:$B$15,2,FALSE),DAY(K486)))</f>
        <v/>
      </c>
      <c r="M486" s="36" t="n"/>
      <c r="N486" s="34">
        <f>IF($L486="","",DATE(YEAR($L486),MONTH($L486),DAY($L486)-$M486))</f>
        <v/>
      </c>
      <c r="O486" s="33">
        <f>IF($L486="","",IF(DAYS360(NOW(),$L486)&gt;=0,DAYS360(NOW(),$L486),""))</f>
        <v/>
      </c>
      <c r="P486" s="34">
        <f>IF(OR(H486="",H486=0,F486="",K486=""),"",I486/H486*VLOOKUP(F486,'Membership Level'!$A$3:$C$15,3,FALSE)+K486)</f>
        <v/>
      </c>
      <c r="Q486" s="36" t="n"/>
    </row>
    <row r="487">
      <c r="C487" s="36" t="n"/>
      <c r="D487" s="36" t="n"/>
      <c r="E487" s="35" t="n"/>
      <c r="F487" s="36" t="n"/>
      <c r="G487" s="36" t="n"/>
      <c r="H487" s="30" t="n"/>
      <c r="I487" s="30" t="n"/>
      <c r="J487" s="31">
        <f>IF(H487="","",H487-I487)</f>
        <v/>
      </c>
      <c r="K487" s="43" t="n"/>
      <c r="L487" s="32">
        <f>IF(OR(K487="",$F487=""),"",DATE(YEAR(K487),MONTH(K487)+VLOOKUP($F487,'Membership Level'!$A$3:$B$15,2,FALSE),DAY(K487)))</f>
        <v/>
      </c>
      <c r="M487" s="36" t="n"/>
      <c r="N487" s="34">
        <f>IF($L487="","",DATE(YEAR($L487),MONTH($L487),DAY($L487)-$M487))</f>
        <v/>
      </c>
      <c r="O487" s="33">
        <f>IF($L487="","",IF(DAYS360(NOW(),$L487)&gt;=0,DAYS360(NOW(),$L487),""))</f>
        <v/>
      </c>
      <c r="P487" s="34">
        <f>IF(OR(H487="",H487=0,F487="",K487=""),"",I487/H487*VLOOKUP(F487,'Membership Level'!$A$3:$C$15,3,FALSE)+K487)</f>
        <v/>
      </c>
      <c r="Q487" s="36" t="n"/>
    </row>
    <row r="488">
      <c r="C488" s="36" t="n"/>
      <c r="D488" s="36" t="n"/>
      <c r="E488" s="35" t="n"/>
      <c r="F488" s="36" t="n"/>
      <c r="G488" s="36" t="n"/>
      <c r="H488" s="30" t="n"/>
      <c r="I488" s="30" t="n"/>
      <c r="J488" s="31">
        <f>IF(H488="","",H488-I488)</f>
        <v/>
      </c>
      <c r="K488" s="43" t="n"/>
      <c r="L488" s="32">
        <f>IF(OR(K488="",$F488=""),"",DATE(YEAR(K488),MONTH(K488)+VLOOKUP($F488,'Membership Level'!$A$3:$B$15,2,FALSE),DAY(K488)))</f>
        <v/>
      </c>
      <c r="M488" s="36" t="n"/>
      <c r="N488" s="34">
        <f>IF($L488="","",DATE(YEAR($L488),MONTH($L488),DAY($L488)-$M488))</f>
        <v/>
      </c>
      <c r="O488" s="33">
        <f>IF($L488="","",IF(DAYS360(NOW(),$L488)&gt;=0,DAYS360(NOW(),$L488),""))</f>
        <v/>
      </c>
      <c r="P488" s="34">
        <f>IF(OR(H488="",H488=0,F488="",K488=""),"",I488/H488*VLOOKUP(F488,'Membership Level'!$A$3:$C$15,3,FALSE)+K488)</f>
        <v/>
      </c>
      <c r="Q488" s="36" t="n"/>
    </row>
    <row r="489">
      <c r="C489" s="36" t="n"/>
      <c r="D489" s="36" t="n"/>
      <c r="E489" s="35" t="n"/>
      <c r="F489" s="36" t="n"/>
      <c r="G489" s="36" t="n"/>
      <c r="H489" s="30" t="n"/>
      <c r="I489" s="30" t="n"/>
      <c r="J489" s="31">
        <f>IF(H489="","",H489-I489)</f>
        <v/>
      </c>
      <c r="K489" s="43" t="n"/>
      <c r="L489" s="32">
        <f>IF(OR(K489="",$F489=""),"",DATE(YEAR(K489),MONTH(K489)+VLOOKUP($F489,'Membership Level'!$A$3:$B$15,2,FALSE),DAY(K489)))</f>
        <v/>
      </c>
      <c r="M489" s="36" t="n"/>
      <c r="N489" s="34">
        <f>IF($L489="","",DATE(YEAR($L489),MONTH($L489),DAY($L489)-$M489))</f>
        <v/>
      </c>
      <c r="O489" s="33">
        <f>IF($L489="","",IF(DAYS360(NOW(),$L489)&gt;=0,DAYS360(NOW(),$L489),""))</f>
        <v/>
      </c>
      <c r="P489" s="34">
        <f>IF(OR(H489="",H489=0,F489="",K489=""),"",I489/H489*VLOOKUP(F489,'Membership Level'!$A$3:$C$15,3,FALSE)+K489)</f>
        <v/>
      </c>
      <c r="Q489" s="36" t="n"/>
    </row>
    <row r="490">
      <c r="C490" s="36" t="n"/>
      <c r="D490" s="36" t="n"/>
      <c r="E490" s="35" t="n"/>
      <c r="F490" s="36" t="n"/>
      <c r="G490" s="36" t="n"/>
      <c r="H490" s="30" t="n"/>
      <c r="I490" s="30" t="n"/>
      <c r="J490" s="31">
        <f>IF(H490="","",H490-I490)</f>
        <v/>
      </c>
      <c r="K490" s="43" t="n"/>
      <c r="L490" s="32">
        <f>IF(OR(K490="",$F490=""),"",DATE(YEAR(K490),MONTH(K490)+VLOOKUP($F490,'Membership Level'!$A$3:$B$15,2,FALSE),DAY(K490)))</f>
        <v/>
      </c>
      <c r="M490" s="36" t="n"/>
      <c r="N490" s="34">
        <f>IF($L490="","",DATE(YEAR($L490),MONTH($L490),DAY($L490)-$M490))</f>
        <v/>
      </c>
      <c r="O490" s="33">
        <f>IF($L490="","",IF(DAYS360(NOW(),$L490)&gt;=0,DAYS360(NOW(),$L490),""))</f>
        <v/>
      </c>
      <c r="P490" s="34">
        <f>IF(OR(H490="",H490=0,F490="",K490=""),"",I490/H490*VLOOKUP(F490,'Membership Level'!$A$3:$C$15,3,FALSE)+K490)</f>
        <v/>
      </c>
      <c r="Q490" s="36" t="n"/>
    </row>
    <row r="491">
      <c r="C491" s="36" t="n"/>
      <c r="D491" s="36" t="n"/>
      <c r="E491" s="35" t="n"/>
      <c r="F491" s="36" t="n"/>
      <c r="G491" s="36" t="n"/>
      <c r="H491" s="30" t="n"/>
      <c r="I491" s="30" t="n"/>
      <c r="J491" s="31">
        <f>IF(H491="","",H491-I491)</f>
        <v/>
      </c>
      <c r="K491" s="43" t="n"/>
      <c r="L491" s="32">
        <f>IF(OR(K491="",$F491=""),"",DATE(YEAR(K491),MONTH(K491)+VLOOKUP($F491,'Membership Level'!$A$3:$B$15,2,FALSE),DAY(K491)))</f>
        <v/>
      </c>
      <c r="M491" s="36" t="n"/>
      <c r="N491" s="34">
        <f>IF($L491="","",DATE(YEAR($L491),MONTH($L491),DAY($L491)-$M491))</f>
        <v/>
      </c>
      <c r="O491" s="33">
        <f>IF($L491="","",IF(DAYS360(NOW(),$L491)&gt;=0,DAYS360(NOW(),$L491),""))</f>
        <v/>
      </c>
      <c r="P491" s="34">
        <f>IF(OR(H491="",H491=0,F491="",K491=""),"",I491/H491*VLOOKUP(F491,'Membership Level'!$A$3:$C$15,3,FALSE)+K491)</f>
        <v/>
      </c>
      <c r="Q491" s="36" t="n"/>
    </row>
    <row r="492">
      <c r="C492" s="36" t="n"/>
      <c r="D492" s="36" t="n"/>
      <c r="E492" s="35" t="n"/>
      <c r="F492" s="36" t="n"/>
      <c r="G492" s="36" t="n"/>
      <c r="H492" s="30" t="n"/>
      <c r="I492" s="30" t="n"/>
      <c r="J492" s="31">
        <f>IF(H492="","",H492-I492)</f>
        <v/>
      </c>
      <c r="K492" s="43" t="n"/>
      <c r="L492" s="32">
        <f>IF(OR(K492="",$F492=""),"",DATE(YEAR(K492),MONTH(K492)+VLOOKUP($F492,'Membership Level'!$A$3:$B$15,2,FALSE),DAY(K492)))</f>
        <v/>
      </c>
      <c r="M492" s="36" t="n"/>
      <c r="N492" s="34">
        <f>IF($L492="","",DATE(YEAR($L492),MONTH($L492),DAY($L492)-$M492))</f>
        <v/>
      </c>
      <c r="O492" s="33">
        <f>IF($L492="","",IF(DAYS360(NOW(),$L492)&gt;=0,DAYS360(NOW(),$L492),""))</f>
        <v/>
      </c>
      <c r="P492" s="34">
        <f>IF(OR(H492="",H492=0,F492="",K492=""),"",I492/H492*VLOOKUP(F492,'Membership Level'!$A$3:$C$15,3,FALSE)+K492)</f>
        <v/>
      </c>
      <c r="Q492" s="36" t="n"/>
    </row>
    <row r="493">
      <c r="C493" s="36" t="n"/>
      <c r="D493" s="36" t="n"/>
      <c r="E493" s="35" t="n"/>
      <c r="F493" s="36" t="n"/>
      <c r="G493" s="36" t="n"/>
      <c r="H493" s="30" t="n"/>
      <c r="I493" s="30" t="n"/>
      <c r="J493" s="31">
        <f>IF(H493="","",H493-I493)</f>
        <v/>
      </c>
      <c r="K493" s="43" t="n"/>
      <c r="L493" s="32">
        <f>IF(OR(K493="",$F493=""),"",DATE(YEAR(K493),MONTH(K493)+VLOOKUP($F493,'Membership Level'!$A$3:$B$15,2,FALSE),DAY(K493)))</f>
        <v/>
      </c>
      <c r="M493" s="36" t="n"/>
      <c r="N493" s="34">
        <f>IF($L493="","",DATE(YEAR($L493),MONTH($L493),DAY($L493)-$M493))</f>
        <v/>
      </c>
      <c r="O493" s="33">
        <f>IF($L493="","",IF(DAYS360(NOW(),$L493)&gt;=0,DAYS360(NOW(),$L493),""))</f>
        <v/>
      </c>
      <c r="P493" s="34">
        <f>IF(OR(H493="",H493=0,F493="",K493=""),"",I493/H493*VLOOKUP(F493,'Membership Level'!$A$3:$C$15,3,FALSE)+K493)</f>
        <v/>
      </c>
      <c r="Q493" s="36" t="inlineStr">
        <is>
          <t>2-3 days</t>
        </is>
      </c>
    </row>
    <row r="494">
      <c r="C494" s="36" t="n"/>
      <c r="D494" s="36" t="n"/>
      <c r="E494" s="35" t="n"/>
      <c r="F494" s="36" t="n"/>
      <c r="G494" s="36" t="n"/>
      <c r="H494" s="30" t="n"/>
      <c r="I494" s="30" t="n"/>
      <c r="J494" s="31">
        <f>IF(H494="","",H494-I494)</f>
        <v/>
      </c>
      <c r="K494" s="43" t="n"/>
      <c r="L494" s="32">
        <f>IF(OR(K494="",$F494=""),"",DATE(YEAR(K494),MONTH(K494)+VLOOKUP($F494,'Membership Level'!$A$3:$B$15,2,FALSE),DAY(K494)))</f>
        <v/>
      </c>
      <c r="M494" s="36" t="n"/>
      <c r="N494" s="34">
        <f>IF($L494="","",DATE(YEAR($L494),MONTH($L494),DAY($L494)-$M494))</f>
        <v/>
      </c>
      <c r="O494" s="33">
        <f>IF($L494="","",IF(DAYS360(NOW(),$L494)&gt;=0,DAYS360(NOW(),$L494),""))</f>
        <v/>
      </c>
      <c r="P494" s="34">
        <f>IF(OR(H494="",H494=0,F494="",K494=""),"",I494/H494*VLOOKUP(F494,'Membership Level'!$A$3:$C$15,3,FALSE)+K494)</f>
        <v/>
      </c>
      <c r="Q494" s="36" t="n"/>
    </row>
    <row r="495">
      <c r="C495" s="36" t="n"/>
      <c r="D495" s="36" t="n"/>
      <c r="E495" s="35" t="n"/>
      <c r="F495" s="36" t="n"/>
      <c r="G495" s="36" t="n"/>
      <c r="H495" s="30" t="n"/>
      <c r="I495" s="30" t="n"/>
      <c r="J495" s="31">
        <f>IF(H495="","",H495-I495)</f>
        <v/>
      </c>
      <c r="K495" s="43" t="n"/>
      <c r="L495" s="32">
        <f>IF(OR(K495="",$F495=""),"",DATE(YEAR(K495),MONTH(K495)+VLOOKUP($F495,'Membership Level'!$A$3:$B$15,2,FALSE),DAY(K495)))</f>
        <v/>
      </c>
      <c r="M495" s="36" t="n"/>
      <c r="N495" s="34">
        <f>IF($L495="","",DATE(YEAR($L495),MONTH($L495),DAY($L495)-$M495))</f>
        <v/>
      </c>
      <c r="O495" s="33">
        <f>IF($L495="","",IF(DAYS360(NOW(),$L495)&gt;=0,DAYS360(NOW(),$L495),""))</f>
        <v/>
      </c>
      <c r="P495" s="34">
        <f>IF(OR(H495="",H495=0,F495="",K495=""),"",I495/H495*VLOOKUP(F495,'Membership Level'!$A$3:$C$15,3,FALSE)+K495)</f>
        <v/>
      </c>
      <c r="Q495" s="36" t="n"/>
    </row>
    <row r="496">
      <c r="C496" s="36" t="n"/>
      <c r="D496" s="36" t="n"/>
      <c r="E496" s="35" t="n"/>
      <c r="F496" s="36" t="n"/>
      <c r="G496" s="36" t="n"/>
      <c r="H496" s="30" t="n"/>
      <c r="I496" s="30" t="n"/>
      <c r="J496" s="31">
        <f>IF(H496="","",H496-I496)</f>
        <v/>
      </c>
      <c r="K496" s="43" t="n"/>
      <c r="L496" s="32">
        <f>IF(OR(K496="",$F496=""),"",DATE(YEAR(K496),MONTH(K496)+VLOOKUP($F496,'Membership Level'!$A$3:$B$15,2,FALSE),DAY(K496)))</f>
        <v/>
      </c>
      <c r="M496" s="36" t="n"/>
      <c r="N496" s="34">
        <f>IF($L496="","",DATE(YEAR($L496),MONTH($L496),DAY($L496)-$M496))</f>
        <v/>
      </c>
      <c r="O496" s="33">
        <f>IF($L496="","",IF(DAYS360(NOW(),$L496)&gt;=0,DAYS360(NOW(),$L496),""))</f>
        <v/>
      </c>
      <c r="P496" s="34">
        <f>IF(OR(H496="",H496=0,F496="",K496=""),"",I496/H496*VLOOKUP(F496,'Membership Level'!$A$3:$C$15,3,FALSE)+K496)</f>
        <v/>
      </c>
      <c r="Q496" s="36" t="n"/>
    </row>
    <row r="497">
      <c r="C497" s="36" t="n"/>
      <c r="D497" s="36" t="n"/>
      <c r="E497" s="35" t="n"/>
      <c r="F497" s="36" t="n"/>
      <c r="G497" s="36" t="n"/>
      <c r="H497" s="30" t="n"/>
      <c r="I497" s="30" t="n"/>
      <c r="J497" s="31">
        <f>IF(H497="","",H497-I497)</f>
        <v/>
      </c>
      <c r="K497" s="43" t="n"/>
      <c r="L497" s="32">
        <f>IF(OR(K497="",$F497=""),"",DATE(YEAR(K497),MONTH(K497)+VLOOKUP($F497,'Membership Level'!$A$3:$B$15,2,FALSE),DAY(K497)))</f>
        <v/>
      </c>
      <c r="M497" s="36" t="n"/>
      <c r="N497" s="34">
        <f>IF($L497="","",DATE(YEAR($L497),MONTH($L497),DAY($L497)-$M497))</f>
        <v/>
      </c>
      <c r="O497" s="33">
        <f>IF($L497="","",IF(DAYS360(NOW(),$L497)&gt;=0,DAYS360(NOW(),$L497),""))</f>
        <v/>
      </c>
      <c r="P497" s="34">
        <f>IF(OR(H497="",H497=0,F497="",K497=""),"",I497/H497*VLOOKUP(F497,'Membership Level'!$A$3:$C$15,3,FALSE)+K497)</f>
        <v/>
      </c>
      <c r="Q497" s="36" t="n"/>
    </row>
    <row r="498">
      <c r="C498" s="36" t="n"/>
      <c r="D498" s="36" t="n"/>
      <c r="E498" s="35" t="n"/>
      <c r="F498" s="45" t="n"/>
      <c r="G498" s="36" t="n"/>
      <c r="H498" s="30" t="n"/>
      <c r="I498" s="30" t="n"/>
      <c r="J498" s="31">
        <f>IF(H498="","",H498-I498)</f>
        <v/>
      </c>
      <c r="K498" s="43" t="n"/>
      <c r="L498" s="32">
        <f>IF(OR(K498="",$F498=""),"",DATE(YEAR(K498),MONTH(K498)+VLOOKUP($F498,'Membership Level'!$A$3:$B$15,2,FALSE),DAY(K498)))</f>
        <v/>
      </c>
      <c r="M498" s="36" t="n"/>
      <c r="N498" s="34">
        <f>IF($L498="","",DATE(YEAR($L498),MONTH($L498),DAY($L498)-$M498))</f>
        <v/>
      </c>
      <c r="O498" s="33">
        <f>IF($L498="","",IF(DAYS360(NOW(),$L498)&gt;=0,DAYS360(NOW(),$L498),""))</f>
        <v/>
      </c>
      <c r="P498" s="34">
        <f>IF(OR(H498="",H498=0,F498="",K498=""),"",I498/H498*VLOOKUP(F498,'Membership Level'!$A$3:$C$15,3,FALSE)+K498)</f>
        <v/>
      </c>
      <c r="Q498" s="36" t="n"/>
    </row>
    <row r="499">
      <c r="C499" s="36" t="n"/>
      <c r="D499" s="36" t="n"/>
      <c r="E499" s="67" t="n"/>
      <c r="F499" s="36" t="n"/>
      <c r="G499" s="36" t="n"/>
      <c r="H499" s="30" t="n"/>
      <c r="I499" s="30" t="n"/>
      <c r="J499" s="31">
        <f>IF(H499="","",H499-I499)</f>
        <v/>
      </c>
      <c r="K499" s="43" t="n"/>
      <c r="L499" s="32">
        <f>IF(OR(K499="",$F499=""),"",DATE(YEAR(K499),MONTH(K499)+VLOOKUP($F499,'Membership Level'!$A$3:$B$15,2,FALSE),DAY(K499)))</f>
        <v/>
      </c>
      <c r="M499" s="36" t="n"/>
      <c r="N499" s="34">
        <f>IF($L499="","",DATE(YEAR($L499),MONTH($L499),DAY($L499)-$M499))</f>
        <v/>
      </c>
      <c r="O499" s="33">
        <f>IF($L499="","",IF(DAYS360(NOW(),$L499)&gt;=0,DAYS360(NOW(),$L499),""))</f>
        <v/>
      </c>
      <c r="P499" s="34">
        <f>IF(OR(H499="",H499=0,F499="",K499=""),"",I499/H499*VLOOKUP(F499,'Membership Level'!$A$3:$C$15,3,FALSE)+K499)</f>
        <v/>
      </c>
      <c r="Q499" s="36" t="n"/>
    </row>
    <row r="500" customFormat="1" s="27">
      <c r="C500" s="45" t="n"/>
      <c r="D500" s="45" t="n"/>
      <c r="E500" s="35" t="n"/>
      <c r="F500" s="36" t="n"/>
      <c r="G500" s="45" t="n"/>
      <c r="H500" s="64" t="n"/>
      <c r="I500" s="64" t="n"/>
      <c r="J500" s="65">
        <f>IF(H500="","",H500-I500)</f>
        <v/>
      </c>
      <c r="K500" s="60" t="n"/>
      <c r="L500" s="60">
        <f>IF(OR(K500="",$F500=""),"",DATE(YEAR(K500),MONTH(K500)+VLOOKUP($F500,'Membership Level'!$A$3:$B$15,2,FALSE),DAY(K500)))</f>
        <v/>
      </c>
      <c r="M500" s="36" t="n"/>
      <c r="N500" s="46">
        <f>IF($L500="","",DATE(YEAR($L500),MONTH($L500),DAY($L500)-$M500))</f>
        <v/>
      </c>
      <c r="O500" s="45">
        <f>IF($L500="","",IF(DAYS360(NOW(),$L500)&gt;=0,DAYS360(NOW(),$L500),""))</f>
        <v/>
      </c>
      <c r="P500" s="46">
        <f>IF(OR(H500="",H500=0,F500="",K500=""),"",I500/H500*VLOOKUP(F500,'Membership Level'!$A$3:$C$15,3,FALSE)+K500)</f>
        <v/>
      </c>
      <c r="Q500" s="45" t="n"/>
    </row>
    <row r="501">
      <c r="C501" s="36" t="n"/>
      <c r="D501" s="36" t="n"/>
      <c r="E501" s="35" t="n"/>
      <c r="F501" s="36" t="n"/>
      <c r="G501" s="36" t="n"/>
      <c r="H501" s="30" t="n"/>
      <c r="I501" s="30" t="n"/>
      <c r="J501" s="31">
        <f>IF(H501="","",H501-I501)</f>
        <v/>
      </c>
      <c r="K501" s="43" t="n"/>
      <c r="L501" s="32">
        <f>IF(OR(K501="",$F501=""),"",DATE(YEAR(K501),MONTH(K501)+VLOOKUP($F501,'Membership Level'!$A$3:$B$15,2,FALSE),DAY(K501)))</f>
        <v/>
      </c>
      <c r="M501" s="36" t="n"/>
      <c r="N501" s="34">
        <f>IF($L501="","",DATE(YEAR($L501),MONTH($L501),DAY($L501)-$M501))</f>
        <v/>
      </c>
      <c r="O501" s="33">
        <f>IF($L501="","",IF(DAYS360(NOW(),$L501)&gt;=0,DAYS360(NOW(),$L501),""))</f>
        <v/>
      </c>
      <c r="P501" s="34">
        <f>IF(OR(H501="",H501=0,F501="",K501=""),"",I501/H501*VLOOKUP(F501,'Membership Level'!$A$3:$C$15,3,FALSE)+K501)</f>
        <v/>
      </c>
      <c r="Q501" s="36" t="n"/>
    </row>
    <row r="502">
      <c r="C502" s="36" t="n"/>
      <c r="D502" s="36" t="n"/>
      <c r="E502" s="35" t="n"/>
      <c r="F502" s="36" t="n"/>
      <c r="G502" s="36" t="n"/>
      <c r="H502" s="30" t="n"/>
      <c r="I502" s="30" t="n"/>
      <c r="J502" s="31">
        <f>IF(H502="","",H502-I502)</f>
        <v/>
      </c>
      <c r="K502" s="43" t="n"/>
      <c r="L502" s="32">
        <f>IF(OR(K502="",$F502=""),"",DATE(YEAR(K502),MONTH(K502)+VLOOKUP($F502,'Membership Level'!$A$3:$B$15,2,FALSE),DAY(K502)))</f>
        <v/>
      </c>
      <c r="M502" s="36" t="n"/>
      <c r="N502" s="34">
        <f>IF($L502="","",DATE(YEAR($L502),MONTH($L502),DAY($L502)-$M502))</f>
        <v/>
      </c>
      <c r="O502" s="33">
        <f>IF($L502="","",IF(DAYS360(NOW(),$L502)&gt;=0,DAYS360(NOW(),$L502),""))</f>
        <v/>
      </c>
      <c r="P502" s="34">
        <f>IF(OR(H502="",H502=0,F502="",K502=""),"",I502/H502*VLOOKUP(F502,'Membership Level'!$A$3:$C$15,3,FALSE)+K502)</f>
        <v/>
      </c>
      <c r="Q502" s="36" t="n"/>
    </row>
    <row r="503">
      <c r="C503" s="36" t="n"/>
      <c r="D503" s="36" t="n"/>
      <c r="E503" s="35" t="n"/>
      <c r="F503" s="36" t="n"/>
      <c r="G503" s="36" t="n"/>
      <c r="H503" s="30" t="n"/>
      <c r="I503" s="30" t="n"/>
      <c r="J503" s="31">
        <f>IF(H503="","",H503-I503)</f>
        <v/>
      </c>
      <c r="K503" s="43" t="n"/>
      <c r="L503" s="32">
        <f>IF(OR(K503="",$F503=""),"",DATE(YEAR(K503),MONTH(K503)+VLOOKUP($F503,'Membership Level'!$A$3:$B$15,2,FALSE),DAY(K503)))</f>
        <v/>
      </c>
      <c r="M503" s="36" t="n"/>
      <c r="N503" s="34">
        <f>IF($L503="","",DATE(YEAR($L503),MONTH($L503),DAY($L503)-$M503))</f>
        <v/>
      </c>
      <c r="O503" s="33">
        <f>IF($L503="","",IF(DAYS360(NOW(),$L503)&gt;=0,DAYS360(NOW(),$L503),""))</f>
        <v/>
      </c>
      <c r="P503" s="34">
        <f>IF(OR(H503="",H503=0,F503="",K503=""),"",I503/H503*VLOOKUP(F503,'Membership Level'!$A$3:$C$15,3,FALSE)+K503)</f>
        <v/>
      </c>
      <c r="Q503" s="36" t="n"/>
    </row>
    <row r="504">
      <c r="C504" s="36" t="n"/>
      <c r="D504" s="36" t="n"/>
      <c r="E504" s="35" t="n"/>
      <c r="F504" s="36" t="n"/>
      <c r="G504" s="36" t="n"/>
      <c r="H504" s="30" t="n"/>
      <c r="I504" s="30" t="n"/>
      <c r="J504" s="31">
        <f>IF(H504="","",H504-I504)</f>
        <v/>
      </c>
      <c r="K504" s="43" t="n"/>
      <c r="L504" s="32">
        <f>IF(OR(K504="",$F504=""),"",DATE(YEAR(K504),MONTH(K504)+VLOOKUP($F504,'Membership Level'!$A$3:$B$15,2,FALSE),DAY(K504)))</f>
        <v/>
      </c>
      <c r="M504" s="36" t="n"/>
      <c r="N504" s="34">
        <f>IF($L504="","",DATE(YEAR($L504),MONTH($L504),DAY($L504)-$M504))</f>
        <v/>
      </c>
      <c r="O504" s="33">
        <f>IF($L504="","",IF(DAYS360(NOW(),$L504)&gt;=0,DAYS360(NOW(),$L504),""))</f>
        <v/>
      </c>
      <c r="P504" s="34">
        <f>IF(OR(H504="",H504=0,F504="",K504=""),"",I504/H504*VLOOKUP(F504,'Membership Level'!$A$3:$C$15,3,FALSE)+K504)</f>
        <v/>
      </c>
      <c r="Q504" s="36" t="n"/>
    </row>
    <row r="505">
      <c r="C505" s="36" t="n"/>
      <c r="D505" s="36" t="n"/>
      <c r="E505" s="35" t="n"/>
      <c r="F505" s="36" t="n"/>
      <c r="G505" s="36" t="n"/>
      <c r="H505" s="30" t="n"/>
      <c r="I505" s="30" t="n"/>
      <c r="J505" s="31">
        <f>IF(H505="","",H505-I505)</f>
        <v/>
      </c>
      <c r="K505" s="43" t="n"/>
      <c r="L505" s="32">
        <f>IF(OR(K505="",$F505=""),"",DATE(YEAR(K505),MONTH(K505)+VLOOKUP($F505,'Membership Level'!$A$3:$B$15,2,FALSE),DAY(K505)))</f>
        <v/>
      </c>
      <c r="M505" s="36" t="n"/>
      <c r="N505" s="34">
        <f>IF($L505="","",DATE(YEAR($L505),MONTH($L505),DAY($L505)-$M505))</f>
        <v/>
      </c>
      <c r="O505" s="33">
        <f>IF($L505="","",IF(DAYS360(NOW(),$L505)&gt;=0,DAYS360(NOW(),$L505),""))</f>
        <v/>
      </c>
      <c r="P505" s="34">
        <f>IF(OR(H505="",H505=0,F505="",K505=""),"",I505/H505*VLOOKUP(F505,'Membership Level'!$A$3:$C$15,3,FALSE)+K505)</f>
        <v/>
      </c>
      <c r="Q505" s="36" t="n"/>
    </row>
    <row r="506">
      <c r="C506" s="36" t="n"/>
      <c r="D506" s="36" t="n"/>
      <c r="E506" s="36" t="n"/>
      <c r="F506" s="36" t="n"/>
      <c r="G506" s="36" t="n"/>
      <c r="H506" s="30" t="n"/>
      <c r="I506" s="30" t="n"/>
      <c r="J506" s="31">
        <f>IF(H506="","",H506-I506)</f>
        <v/>
      </c>
      <c r="K506" s="43" t="n"/>
      <c r="L506" s="32">
        <f>IF(OR(K506="",$F506=""),"",DATE(YEAR(K506),MONTH(K506)+VLOOKUP($F506,'Membership Level'!$A$3:$B$15,2,FALSE),DAY(K506)))</f>
        <v/>
      </c>
      <c r="M506" s="36" t="n"/>
      <c r="N506" s="34">
        <f>IF($L506="","",DATE(YEAR($L506),MONTH($L506),DAY($L506)-$M506))</f>
        <v/>
      </c>
      <c r="O506" s="33">
        <f>IF($L506="","",IF(DAYS360(NOW(),$L506)&gt;=0,DAYS360(NOW(),$L506),""))</f>
        <v/>
      </c>
      <c r="P506" s="34">
        <f>IF(OR(H506="",H506=0,F506="",K506=""),"",I506/H506*VLOOKUP(F506,'Membership Level'!$A$3:$C$15,3,FALSE)+K506)</f>
        <v/>
      </c>
      <c r="Q506" s="36" t="n"/>
    </row>
    <row r="507">
      <c r="C507" s="36" t="n"/>
      <c r="D507" s="36" t="n"/>
      <c r="E507" s="35" t="n"/>
      <c r="F507" s="36" t="n"/>
      <c r="G507" s="36" t="n"/>
      <c r="H507" s="30" t="n"/>
      <c r="I507" s="30" t="n"/>
      <c r="J507" s="31">
        <f>IF(H507="","",H507-I507)</f>
        <v/>
      </c>
      <c r="K507" s="43" t="n"/>
      <c r="L507" s="32">
        <f>IF(OR(K507="",$F507=""),"",DATE(YEAR(K507),MONTH(K507)+VLOOKUP($F507,'Membership Level'!$A$3:$B$15,2,FALSE),DAY(K507)))</f>
        <v/>
      </c>
      <c r="M507" s="36" t="n"/>
      <c r="N507" s="34">
        <f>IF($L507="","",DATE(YEAR($L507),MONTH($L507),DAY($L507)-$M507))</f>
        <v/>
      </c>
      <c r="O507" s="33">
        <f>IF($L507="","",IF(DAYS360(NOW(),$L507)&gt;=0,DAYS360(NOW(),$L507),""))</f>
        <v/>
      </c>
      <c r="P507" s="34">
        <f>IF(OR(H507="",H507=0,F507="",K507=""),"",I507/H507*VLOOKUP(F507,'Membership Level'!$A$3:$C$15,3,FALSE)+K507)</f>
        <v/>
      </c>
      <c r="Q507" s="36" t="n"/>
    </row>
    <row r="508">
      <c r="C508" s="36" t="n"/>
      <c r="D508" s="36" t="n"/>
      <c r="E508" s="66" t="n"/>
      <c r="F508" s="36" t="n"/>
      <c r="G508" s="36" t="n"/>
      <c r="H508" s="30" t="n"/>
      <c r="I508" s="30" t="n"/>
      <c r="J508" s="31">
        <f>IF(H508="","",H508-I508)</f>
        <v/>
      </c>
      <c r="K508" s="43" t="n"/>
      <c r="L508" s="32">
        <f>IF(OR(K508="",$F508=""),"",DATE(YEAR(K508),MONTH(K508)+VLOOKUP($F508,'Membership Level'!$A$3:$B$15,2,FALSE),DAY(K508)))</f>
        <v/>
      </c>
      <c r="M508" s="36" t="n"/>
      <c r="N508" s="34">
        <f>IF($L508="","",DATE(YEAR($L508),MONTH($L508),DAY($L508)-$M508))</f>
        <v/>
      </c>
      <c r="O508" s="33">
        <f>IF($L508="","",IF(DAYS360(NOW(),$L508)&gt;=0,DAYS360(NOW(),$L508),""))</f>
        <v/>
      </c>
      <c r="P508" s="34">
        <f>IF(OR(H508="",H508=0,F508="",K508=""),"",I508/H508*VLOOKUP(F508,'Membership Level'!$A$3:$C$15,3,FALSE)+K508)</f>
        <v/>
      </c>
      <c r="Q508" s="36" t="n"/>
    </row>
    <row r="509">
      <c r="C509" s="36" t="n"/>
      <c r="D509" s="36" t="n"/>
      <c r="E509" s="66" t="n"/>
      <c r="F509" s="36" t="n"/>
      <c r="G509" s="36" t="n"/>
      <c r="H509" s="30" t="n"/>
      <c r="I509" s="30" t="n"/>
      <c r="J509" s="31">
        <f>IF(H509="","",H509-I509)</f>
        <v/>
      </c>
      <c r="K509" s="43" t="n"/>
      <c r="L509" s="32">
        <f>IF(OR(K509="",$F509=""),"",DATE(YEAR(K509),MONTH(K509)+VLOOKUP($F509,'Membership Level'!$A$3:$B$15,2,FALSE),DAY(K509)))</f>
        <v/>
      </c>
      <c r="M509" s="36" t="n"/>
      <c r="N509" s="34">
        <f>IF($L509="","",DATE(YEAR($L509),MONTH($L509),DAY($L509)-$M509))</f>
        <v/>
      </c>
      <c r="O509" s="33">
        <f>IF($L509="","",IF(DAYS360(NOW(),$L509)&gt;=0,DAYS360(NOW(),$L509),""))</f>
        <v/>
      </c>
      <c r="P509" s="34">
        <f>IF(OR(H509="",H509=0,F509="",K509=""),"",I509/H509*VLOOKUP(F509,'Membership Level'!$A$3:$C$15,3,FALSE)+K509)</f>
        <v/>
      </c>
      <c r="Q509" s="36" t="n"/>
    </row>
    <row r="510">
      <c r="C510" s="36" t="n"/>
      <c r="D510" s="36" t="n"/>
      <c r="E510" s="35" t="n"/>
      <c r="F510" s="36" t="n"/>
      <c r="G510" s="36" t="n"/>
      <c r="H510" s="30" t="n"/>
      <c r="I510" s="30" t="n"/>
      <c r="J510" s="31">
        <f>IF(H510="","",H510-I510)</f>
        <v/>
      </c>
      <c r="K510" s="43" t="n"/>
      <c r="L510" s="32">
        <f>IF(OR(K510="",$F510=""),"",DATE(YEAR(K510),MONTH(K510)+VLOOKUP($F510,'Membership Level'!$A$3:$B$15,2,FALSE),DAY(K510)))</f>
        <v/>
      </c>
      <c r="M510" s="36" t="n"/>
      <c r="N510" s="34">
        <f>IF($L510="","",DATE(YEAR($L510),MONTH($L510),DAY($L510)-$M510))</f>
        <v/>
      </c>
      <c r="O510" s="33">
        <f>IF($L510="","",IF(DAYS360(NOW(),$L510)&gt;=0,DAYS360(NOW(),$L510),""))</f>
        <v/>
      </c>
      <c r="P510" s="34">
        <f>IF(OR(H510="",H510=0,F510="",K510=""),"",I510/H510*VLOOKUP(F510,'Membership Level'!$A$3:$C$15,3,FALSE)+K510)</f>
        <v/>
      </c>
      <c r="Q510" s="36" t="n"/>
    </row>
    <row r="511">
      <c r="C511" s="36" t="n"/>
      <c r="D511" s="36" t="n"/>
      <c r="E511" s="35" t="n"/>
      <c r="F511" s="36" t="n"/>
      <c r="G511" s="36" t="n"/>
      <c r="H511" s="30" t="n"/>
      <c r="I511" s="30" t="n"/>
      <c r="J511" s="31">
        <f>IF(H511="","",H511-I511)</f>
        <v/>
      </c>
      <c r="K511" s="43" t="n"/>
      <c r="L511" s="32">
        <f>IF(OR(K511="",$F511=""),"",DATE(YEAR(K511),MONTH(K511)+VLOOKUP($F511,'Membership Level'!$A$3:$B$15,2,FALSE),DAY(K511)))</f>
        <v/>
      </c>
      <c r="M511" s="36" t="n"/>
      <c r="N511" s="34">
        <f>IF($L511="","",DATE(YEAR($L511),MONTH($L511),DAY($L511)-$M511))</f>
        <v/>
      </c>
      <c r="O511" s="33">
        <f>IF($L511="","",IF(DAYS360(NOW(),$L511)&gt;=0,DAYS360(NOW(),$L511),""))</f>
        <v/>
      </c>
      <c r="P511" s="34">
        <f>IF(OR(H511="",H511=0,F511="",K511=""),"",I511/H511*VLOOKUP(F511,'Membership Level'!$A$3:$C$15,3,FALSE)+K511)</f>
        <v/>
      </c>
      <c r="Q511" s="36" t="n"/>
    </row>
    <row r="512">
      <c r="C512" s="36" t="n"/>
      <c r="D512" s="36" t="n"/>
      <c r="E512" s="35" t="n"/>
      <c r="F512" s="36" t="n"/>
      <c r="G512" s="36" t="n"/>
      <c r="H512" s="30" t="n"/>
      <c r="I512" s="30" t="n"/>
      <c r="J512" s="31">
        <f>IF(H512="","",H512-I512)</f>
        <v/>
      </c>
      <c r="K512" s="43" t="n"/>
      <c r="L512" s="32">
        <f>IF(OR(K512="",$F512=""),"",DATE(YEAR(K512),MONTH(K512)+VLOOKUP($F512,'Membership Level'!$A$3:$B$15,2,FALSE),DAY(K512)))</f>
        <v/>
      </c>
      <c r="M512" s="36" t="n"/>
      <c r="N512" s="34">
        <f>IF($L512="","",DATE(YEAR($L512),MONTH($L512),DAY($L512)-$M512))</f>
        <v/>
      </c>
      <c r="O512" s="33">
        <f>IF($L512="","",IF(DAYS360(NOW(),$L512)&gt;=0,DAYS360(NOW(),$L512),""))</f>
        <v/>
      </c>
      <c r="P512" s="34">
        <f>IF(OR(H512="",H512=0,F512="",K512=""),"",I512/H512*VLOOKUP(F512,'Membership Level'!$A$3:$C$15,3,FALSE)+K512)</f>
        <v/>
      </c>
      <c r="Q512" s="36" t="n"/>
    </row>
    <row r="513">
      <c r="C513" s="36" t="n"/>
      <c r="D513" s="36" t="n"/>
      <c r="E513" s="35" t="n"/>
      <c r="F513" s="36" t="n"/>
      <c r="G513" s="36" t="n"/>
      <c r="H513" s="30" t="n"/>
      <c r="I513" s="30" t="n"/>
      <c r="J513" s="31">
        <f>IF(H513="","",H513-I513)</f>
        <v/>
      </c>
      <c r="K513" s="43" t="n"/>
      <c r="L513" s="32">
        <f>IF(OR(K513="",$F513=""),"",DATE(YEAR(K513),MONTH(K513)+VLOOKUP($F513,'Membership Level'!$A$3:$B$15,2,FALSE),DAY(K513)))</f>
        <v/>
      </c>
      <c r="M513" s="36" t="n"/>
      <c r="N513" s="34">
        <f>IF($L513="","",DATE(YEAR($L513),MONTH($L513),DAY($L513)-$M513))</f>
        <v/>
      </c>
      <c r="O513" s="33">
        <f>IF($L513="","",IF(DAYS360(NOW(),$L513)&gt;=0,DAYS360(NOW(),$L513),""))</f>
        <v/>
      </c>
      <c r="P513" s="34">
        <f>IF(OR(H513="",H513=0,F513="",K513=""),"",I513/H513*VLOOKUP(F513,'Membership Level'!$A$3:$C$15,3,FALSE)+K513)</f>
        <v/>
      </c>
      <c r="Q513" s="36" t="n"/>
    </row>
    <row r="514">
      <c r="C514" s="36" t="n"/>
      <c r="D514" s="36" t="n"/>
      <c r="E514" s="35" t="n"/>
      <c r="F514" s="36" t="n"/>
      <c r="G514" s="36" t="n"/>
      <c r="H514" s="30" t="n"/>
      <c r="I514" s="30" t="n"/>
      <c r="J514" s="31">
        <f>IF(H514="","",H514-I514)</f>
        <v/>
      </c>
      <c r="K514" s="43" t="n"/>
      <c r="L514" s="32">
        <f>IF(OR(K514="",$F514=""),"",DATE(YEAR(K514),MONTH(K514)+VLOOKUP($F514,'Membership Level'!$A$3:$B$15,2,FALSE),DAY(K514)))</f>
        <v/>
      </c>
      <c r="M514" s="36" t="n"/>
      <c r="N514" s="34">
        <f>IF($L514="","",DATE(YEAR($L514),MONTH($L514),DAY($L514)-$M514))</f>
        <v/>
      </c>
      <c r="O514" s="33">
        <f>IF($L514="","",IF(DAYS360(NOW(),$L514)&gt;=0,DAYS360(NOW(),$L514),""))</f>
        <v/>
      </c>
      <c r="P514" s="34">
        <f>IF(OR(H514="",H514=0,F514="",K514=""),"",I514/H514*VLOOKUP(F514,'Membership Level'!$A$3:$C$15,3,FALSE)+K514)</f>
        <v/>
      </c>
      <c r="Q514" s="36" t="n"/>
    </row>
    <row r="515">
      <c r="C515" s="36" t="n"/>
      <c r="D515" s="36" t="n"/>
      <c r="E515" s="35" t="n"/>
      <c r="F515" s="36" t="n"/>
      <c r="G515" s="36" t="n"/>
      <c r="H515" s="30" t="n"/>
      <c r="I515" s="30" t="n"/>
      <c r="J515" s="31">
        <f>IF(H515="","",H515-I515)</f>
        <v/>
      </c>
      <c r="K515" s="43" t="n"/>
      <c r="L515" s="32">
        <f>IF(OR(K515="",$F515=""),"",DATE(YEAR(K515),MONTH(K515)+VLOOKUP($F515,'Membership Level'!$A$3:$B$15,2,FALSE),DAY(K515)))</f>
        <v/>
      </c>
      <c r="M515" s="36" t="n"/>
      <c r="N515" s="34">
        <f>IF($L515="","",DATE(YEAR($L515),MONTH($L515),DAY($L515)-$M515))</f>
        <v/>
      </c>
      <c r="O515" s="33">
        <f>IF($L515="","",IF(DAYS360(NOW(),$L515)&gt;=0,DAYS360(NOW(),$L515),""))</f>
        <v/>
      </c>
      <c r="P515" s="34">
        <f>IF(OR(H515="",H515=0,F515="",K515=""),"",I515/H515*VLOOKUP(F515,'Membership Level'!$A$3:$C$15,3,FALSE)+K515)</f>
        <v/>
      </c>
      <c r="Q515" s="36" t="n"/>
    </row>
    <row r="516">
      <c r="C516" s="36" t="n"/>
      <c r="D516" s="36" t="n"/>
      <c r="E516" s="35" t="n"/>
      <c r="F516" s="36" t="n"/>
      <c r="G516" s="36" t="n"/>
      <c r="H516" s="30" t="n"/>
      <c r="I516" s="30" t="n"/>
      <c r="J516" s="31">
        <f>IF(H516="","",H516-I516)</f>
        <v/>
      </c>
      <c r="K516" s="43" t="n"/>
      <c r="L516" s="32">
        <f>IF(OR(K516="",$F516=""),"",DATE(YEAR(K516),MONTH(K516)+VLOOKUP($F516,'Membership Level'!$A$3:$B$15,2,FALSE),DAY(K516)))</f>
        <v/>
      </c>
      <c r="M516" s="36" t="n"/>
      <c r="N516" s="34">
        <f>IF($L516="","",DATE(YEAR($L516),MONTH($L516),DAY($L516)-$M516))</f>
        <v/>
      </c>
      <c r="O516" s="33">
        <f>IF($L516="","",IF(DAYS360(NOW(),$L516)&gt;=0,DAYS360(NOW(),$L516),""))</f>
        <v/>
      </c>
      <c r="P516" s="34">
        <f>IF(OR(H516="",H516=0,F516="",K516=""),"",I516/H516*VLOOKUP(F516,'Membership Level'!$A$3:$C$15,3,FALSE)+K516)</f>
        <v/>
      </c>
      <c r="Q516" s="36" t="n"/>
    </row>
    <row r="517">
      <c r="C517" s="36" t="n"/>
      <c r="D517" s="36" t="n"/>
      <c r="E517" s="35" t="n"/>
      <c r="F517" s="36" t="n"/>
      <c r="G517" s="36" t="n"/>
      <c r="H517" s="30" t="n"/>
      <c r="I517" s="30" t="n"/>
      <c r="J517" s="31">
        <f>IF(H517="","",H517-I517)</f>
        <v/>
      </c>
      <c r="K517" s="43" t="n"/>
      <c r="L517" s="32">
        <f>IF(OR(K517="",$F517=""),"",DATE(YEAR(K517),MONTH(K517)+VLOOKUP($F517,'Membership Level'!$A$3:$B$15,2,FALSE),DAY(K517)))</f>
        <v/>
      </c>
      <c r="M517" s="36" t="n"/>
      <c r="N517" s="34">
        <f>IF($L517="","",DATE(YEAR($L517),MONTH($L517),DAY($L517)-$M517))</f>
        <v/>
      </c>
      <c r="O517" s="33">
        <f>IF($L517="","",IF(DAYS360(NOW(),$L517)&gt;=0,DAYS360(NOW(),$L517),""))</f>
        <v/>
      </c>
      <c r="P517" s="34">
        <f>IF(OR(H517="",H517=0,F517="",K517=""),"",I517/H517*VLOOKUP(F517,'Membership Level'!$A$3:$C$15,3,FALSE)+K517)</f>
        <v/>
      </c>
      <c r="Q517" s="36" t="n"/>
    </row>
    <row r="518">
      <c r="C518" s="36" t="n"/>
      <c r="D518" s="36" t="n"/>
      <c r="E518" s="35" t="n"/>
      <c r="F518" s="36" t="n"/>
      <c r="G518" s="36" t="n"/>
      <c r="H518" s="30" t="n"/>
      <c r="I518" s="30" t="n"/>
      <c r="J518" s="31">
        <f>IF(H518="","",H518-I518)</f>
        <v/>
      </c>
      <c r="K518" s="43" t="n"/>
      <c r="L518" s="32">
        <f>IF(OR(K518="",$F518=""),"",DATE(YEAR(K518),MONTH(K518)+VLOOKUP($F518,'Membership Level'!$A$3:$B$15,2,FALSE),DAY(K518)))</f>
        <v/>
      </c>
      <c r="M518" s="36" t="n"/>
      <c r="N518" s="34">
        <f>IF($L518="","",DATE(YEAR($L518),MONTH($L518),DAY($L518)-$M518))</f>
        <v/>
      </c>
      <c r="O518" s="33">
        <f>IF($L518="","",IF(DAYS360(NOW(),$L518)&gt;=0,DAYS360(NOW(),$L518),""))</f>
        <v/>
      </c>
      <c r="P518" s="34">
        <f>IF(OR(H518="",H518=0,F518="",K518=""),"",I518/H518*VLOOKUP(F518,'Membership Level'!$A$3:$C$15,3,FALSE)+K518)</f>
        <v/>
      </c>
      <c r="Q518" s="36" t="n"/>
    </row>
    <row r="519">
      <c r="C519" s="36" t="n"/>
      <c r="D519" s="36" t="n"/>
      <c r="E519" s="35" t="n"/>
      <c r="F519" s="36" t="n"/>
      <c r="G519" s="36" t="n"/>
      <c r="H519" s="30" t="n"/>
      <c r="I519" s="30" t="n"/>
      <c r="J519" s="31">
        <f>IF(H519="","",H519-I519)</f>
        <v/>
      </c>
      <c r="K519" s="43" t="n"/>
      <c r="L519" s="32">
        <f>IF(OR(K519="",$F519=""),"",DATE(YEAR(K519),MONTH(K519)+VLOOKUP($F519,'Membership Level'!$A$3:$B$15,2,FALSE),DAY(K519)))</f>
        <v/>
      </c>
      <c r="M519" s="36" t="n"/>
      <c r="N519" s="34">
        <f>IF($L519="","",DATE(YEAR($L519),MONTH($L519),DAY($L519)-$M519))</f>
        <v/>
      </c>
      <c r="O519" s="33">
        <f>IF($L519="","",IF(DAYS360(NOW(),$L519)&gt;=0,DAYS360(NOW(),$L519),""))</f>
        <v/>
      </c>
      <c r="P519" s="34">
        <f>IF(OR(H519="",H519=0,F519="",K519=""),"",I519/H519*VLOOKUP(F519,'Membership Level'!$A$3:$C$15,3,FALSE)+K519)</f>
        <v/>
      </c>
      <c r="Q519" s="36" t="n"/>
    </row>
    <row r="520">
      <c r="C520" s="36" t="n"/>
      <c r="D520" s="36" t="n"/>
      <c r="E520" s="35" t="n"/>
      <c r="F520" s="36" t="n"/>
      <c r="G520" s="36" t="n"/>
      <c r="H520" s="30" t="n"/>
      <c r="I520" s="30" t="n"/>
      <c r="J520" s="31">
        <f>IF(H520="","",H520-I520)</f>
        <v/>
      </c>
      <c r="K520" s="43" t="n"/>
      <c r="L520" s="32">
        <f>IF(OR(K520="",$F520=""),"",DATE(YEAR(K520),MONTH(K520)+VLOOKUP($F520,'Membership Level'!$A$3:$B$15,2,FALSE),DAY(K520)))</f>
        <v/>
      </c>
      <c r="M520" s="36" t="n"/>
      <c r="N520" s="34">
        <f>IF($L520="","",DATE(YEAR($L520),MONTH($L520),DAY($L520)-$M520))</f>
        <v/>
      </c>
      <c r="O520" s="33">
        <f>IF($L520="","",IF(DAYS360(NOW(),$L520)&gt;=0,DAYS360(NOW(),$L520),""))</f>
        <v/>
      </c>
      <c r="P520" s="34">
        <f>IF(OR(H520="",H520=0,F520="",K520=""),"",I520/H520*VLOOKUP(F520,'Membership Level'!$A$3:$C$15,3,FALSE)+K520)</f>
        <v/>
      </c>
      <c r="Q520" s="36" t="n"/>
    </row>
    <row r="521">
      <c r="C521" s="36" t="n"/>
      <c r="D521" s="36" t="n"/>
      <c r="E521" s="35" t="n"/>
      <c r="F521" s="36" t="n"/>
      <c r="G521" s="36" t="n"/>
      <c r="H521" s="30" t="n"/>
      <c r="I521" s="30" t="n"/>
      <c r="J521" s="31">
        <f>IF(H521="","",H521-I521)</f>
        <v/>
      </c>
      <c r="K521" s="43" t="n"/>
      <c r="L521" s="32">
        <f>IF(OR(K521="",$F521=""),"",DATE(YEAR(K521),MONTH(K521)+VLOOKUP($F521,'Membership Level'!$A$3:$B$15,2,FALSE),DAY(K521)))</f>
        <v/>
      </c>
      <c r="M521" s="36" t="n"/>
      <c r="N521" s="34">
        <f>IF($L521="","",DATE(YEAR($L521),MONTH($L521),DAY($L521)-$M521))</f>
        <v/>
      </c>
      <c r="O521" s="33">
        <f>IF($L521="","",IF(DAYS360(NOW(),$L521)&gt;=0,DAYS360(NOW(),$L521),""))</f>
        <v/>
      </c>
      <c r="P521" s="34">
        <f>IF(OR(H521="",H521=0,F521="",K521=""),"",I521/H521*VLOOKUP(F521,'Membership Level'!$A$3:$C$15,3,FALSE)+K521)</f>
        <v/>
      </c>
      <c r="Q521" s="36" t="n"/>
    </row>
    <row r="522">
      <c r="C522" s="36" t="n"/>
      <c r="D522" s="36" t="n"/>
      <c r="E522" s="35" t="n"/>
      <c r="F522" s="36" t="n"/>
      <c r="G522" s="36" t="n"/>
      <c r="H522" s="30" t="n"/>
      <c r="I522" s="30" t="n"/>
      <c r="J522" s="31">
        <f>IF(H522="","",H522-I522)</f>
        <v/>
      </c>
      <c r="K522" s="43" t="n"/>
      <c r="L522" s="32">
        <f>IF(OR(K522="",$F522=""),"",DATE(YEAR(K522),MONTH(K522)+VLOOKUP($F522,'Membership Level'!$A$3:$B$15,2,FALSE),DAY(K522)))</f>
        <v/>
      </c>
      <c r="M522" s="36" t="n"/>
      <c r="N522" s="34">
        <f>IF($L522="","",DATE(YEAR($L522),MONTH($L522),DAY($L522)-$M522))</f>
        <v/>
      </c>
      <c r="O522" s="33">
        <f>IF($L522="","",IF(DAYS360(NOW(),$L522)&gt;=0,DAYS360(NOW(),$L522),""))</f>
        <v/>
      </c>
      <c r="P522" s="34">
        <f>IF(OR(H522="",H522=0,F522="",K522=""),"",I522/H522*VLOOKUP(F522,'Membership Level'!$A$3:$C$15,3,FALSE)+K522)</f>
        <v/>
      </c>
      <c r="Q522" s="36" t="n"/>
    </row>
    <row r="523">
      <c r="C523" s="36" t="n"/>
      <c r="D523" s="36" t="n"/>
      <c r="E523" s="36" t="n"/>
      <c r="F523" s="36" t="n"/>
      <c r="G523" s="36" t="n"/>
      <c r="H523" s="30" t="n"/>
      <c r="I523" s="30" t="n"/>
      <c r="J523" s="31">
        <f>IF(H523="","",H523-I523)</f>
        <v/>
      </c>
      <c r="K523" s="43" t="n"/>
      <c r="L523" s="32">
        <f>IF(OR(K523="",$F523=""),"",DATE(YEAR(K523),MONTH(K523)+VLOOKUP($F523,'Membership Level'!$A$3:$B$15,2,FALSE),DAY(K523)))</f>
        <v/>
      </c>
      <c r="M523" s="36" t="n"/>
      <c r="N523" s="34">
        <f>IF($L523="","",DATE(YEAR($L523),MONTH($L523),DAY($L523)-$M523))</f>
        <v/>
      </c>
      <c r="O523" s="33">
        <f>IF($L523="","",IF(DAYS360(NOW(),$L523)&gt;=0,DAYS360(NOW(),$L523),""))</f>
        <v/>
      </c>
      <c r="P523" s="34">
        <f>IF(OR(H523="",H523=0,F523="",K523=""),"",I523/H523*VLOOKUP(F523,'Membership Level'!$A$3:$C$15,3,FALSE)+K523)</f>
        <v/>
      </c>
      <c r="Q523" s="36" t="n"/>
    </row>
    <row r="524">
      <c r="C524" s="36" t="n"/>
      <c r="D524" s="36" t="n"/>
      <c r="E524" s="35" t="n"/>
      <c r="F524" s="36" t="n"/>
      <c r="G524" s="36" t="n"/>
      <c r="H524" s="30" t="n"/>
      <c r="I524" s="30" t="n"/>
      <c r="J524" s="31">
        <f>IF(H524="","",H524-I524)</f>
        <v/>
      </c>
      <c r="K524" s="43" t="n"/>
      <c r="L524" s="32">
        <f>IF(OR(K524="",$F524=""),"",DATE(YEAR(K524),MONTH(K524)+VLOOKUP($F524,'Membership Level'!$A$3:$B$15,2,FALSE),DAY(K524)))</f>
        <v/>
      </c>
      <c r="M524" s="36" t="n"/>
      <c r="N524" s="34">
        <f>IF($L524="","",DATE(YEAR($L524),MONTH($L524),DAY($L524)-$M524))</f>
        <v/>
      </c>
      <c r="O524" s="33">
        <f>IF($L524="","",IF(DAYS360(NOW(),$L524)&gt;=0,DAYS360(NOW(),$L524),""))</f>
        <v/>
      </c>
      <c r="P524" s="34">
        <f>IF(OR(H524="",H524=0,F524="",K524=""),"",I524/H524*VLOOKUP(F524,'Membership Level'!$A$3:$C$15,3,FALSE)+K524)</f>
        <v/>
      </c>
      <c r="Q524" s="36" t="n"/>
    </row>
    <row r="525">
      <c r="C525" s="36" t="n"/>
      <c r="D525" s="36" t="n"/>
      <c r="E525" s="35" t="n"/>
      <c r="F525" s="36" t="n"/>
      <c r="G525" s="36" t="n"/>
      <c r="H525" s="30" t="n"/>
      <c r="I525" s="30" t="n"/>
      <c r="J525" s="31">
        <f>IF(H525="","",H525-I525)</f>
        <v/>
      </c>
      <c r="K525" s="43" t="n"/>
      <c r="L525" s="32">
        <f>IF(OR(K525="",$F525=""),"",DATE(YEAR(K525),MONTH(K525)+VLOOKUP($F525,'Membership Level'!$A$3:$B$15,2,FALSE),DAY(K525)))</f>
        <v/>
      </c>
      <c r="M525" s="36" t="n"/>
      <c r="N525" s="34">
        <f>IF($L525="","",DATE(YEAR($L525),MONTH($L525),DAY($L525)-$M525))</f>
        <v/>
      </c>
      <c r="O525" s="33">
        <f>IF($L525="","",IF(DAYS360(NOW(),$L525)&gt;=0,DAYS360(NOW(),$L525),""))</f>
        <v/>
      </c>
      <c r="P525" s="34">
        <f>IF(OR(H525="",H525=0,F525="",K525=""),"",I525/H525*VLOOKUP(F525,'Membership Level'!$A$3:$C$15,3,FALSE)+K525)</f>
        <v/>
      </c>
      <c r="Q525" s="36" t="n"/>
    </row>
    <row r="526">
      <c r="C526" s="36" t="n"/>
      <c r="D526" s="36" t="n"/>
      <c r="E526" s="35" t="n"/>
      <c r="F526" s="36" t="n"/>
      <c r="G526" s="36" t="n"/>
      <c r="H526" s="30" t="n"/>
      <c r="I526" s="30" t="n"/>
      <c r="J526" s="31">
        <f>IF(H526="","",H526-I526)</f>
        <v/>
      </c>
      <c r="K526" s="43" t="n"/>
      <c r="L526" s="32">
        <f>IF(OR(K526="",$F526=""),"",DATE(YEAR(K526),MONTH(K526)+VLOOKUP($F526,'Membership Level'!$A$3:$B$15,2,FALSE),DAY(K526)))</f>
        <v/>
      </c>
      <c r="M526" s="36" t="n"/>
      <c r="N526" s="34">
        <f>IF($L526="","",DATE(YEAR($L526),MONTH($L526),DAY($L526)-$M526))</f>
        <v/>
      </c>
      <c r="O526" s="33">
        <f>IF($L526="","",IF(DAYS360(NOW(),$L526)&gt;=0,DAYS360(NOW(),$L526),""))</f>
        <v/>
      </c>
      <c r="P526" s="34">
        <f>IF(OR(H526="",H526=0,F526="",K526=""),"",I526/H526*VLOOKUP(F526,'Membership Level'!$A$3:$C$15,3,FALSE)+K526)</f>
        <v/>
      </c>
      <c r="Q526" s="36" t="n"/>
    </row>
    <row r="527">
      <c r="C527" s="36" t="n"/>
      <c r="D527" s="36" t="n"/>
      <c r="E527" s="35" t="n"/>
      <c r="F527" s="36" t="n"/>
      <c r="G527" s="36" t="n"/>
      <c r="H527" s="30" t="n"/>
      <c r="I527" s="30" t="n"/>
      <c r="J527" s="31">
        <f>IF(H527="","",H527-I527)</f>
        <v/>
      </c>
      <c r="K527" s="43" t="n"/>
      <c r="L527" s="32">
        <f>IF(OR(K527="",$F527=""),"",DATE(YEAR(K527),MONTH(K527)+VLOOKUP($F527,'Membership Level'!$A$3:$B$15,2,FALSE),DAY(K527)))</f>
        <v/>
      </c>
      <c r="M527" s="36" t="n"/>
      <c r="N527" s="34">
        <f>IF($L527="","",DATE(YEAR($L527),MONTH($L527),DAY($L527)-$M527))</f>
        <v/>
      </c>
      <c r="O527" s="33">
        <f>IF($L527="","",IF(DAYS360(NOW(),$L527)&gt;=0,DAYS360(NOW(),$L527),""))</f>
        <v/>
      </c>
      <c r="P527" s="34">
        <f>IF(OR(H527="",H527=0,F527="",K527=""),"",I527/H527*VLOOKUP(F527,'Membership Level'!$A$3:$C$15,3,FALSE)+K527)</f>
        <v/>
      </c>
      <c r="Q527" s="36" t="n"/>
    </row>
    <row r="528">
      <c r="C528" s="36" t="n"/>
      <c r="D528" s="36" t="n"/>
      <c r="E528" s="35" t="n"/>
      <c r="F528" s="36" t="n"/>
      <c r="G528" s="36" t="n"/>
      <c r="H528" s="30" t="n"/>
      <c r="I528" s="30" t="n"/>
      <c r="J528" s="31">
        <f>IF(H528="","",H528-I528)</f>
        <v/>
      </c>
      <c r="K528" s="43" t="n"/>
      <c r="L528" s="32">
        <f>IF(OR(K528="",$F528=""),"",DATE(YEAR(K528),MONTH(K528)+VLOOKUP($F528,'Membership Level'!$A$3:$B$15,2,FALSE),DAY(K528)))</f>
        <v/>
      </c>
      <c r="M528" s="36" t="n"/>
      <c r="N528" s="34">
        <f>IF($L528="","",DATE(YEAR($L528),MONTH($L528),DAY($L528)-$M528))</f>
        <v/>
      </c>
      <c r="O528" s="33">
        <f>IF($L528="","",IF(DAYS360(NOW(),$L528)&gt;=0,DAYS360(NOW(),$L528),""))</f>
        <v/>
      </c>
      <c r="P528" s="34">
        <f>IF(OR(H528="",H528=0,F528="",K528=""),"",I528/H528*VLOOKUP(F528,'Membership Level'!$A$3:$C$15,3,FALSE)+K528)</f>
        <v/>
      </c>
      <c r="Q528" s="36" t="n"/>
    </row>
    <row r="529">
      <c r="C529" s="36" t="n"/>
      <c r="D529" s="36" t="n"/>
      <c r="E529" s="35" t="n"/>
      <c r="F529" s="36" t="n"/>
      <c r="G529" s="36" t="n"/>
      <c r="H529" s="30" t="n"/>
      <c r="I529" s="30" t="n"/>
      <c r="J529" s="31">
        <f>IF(H529="","",H529-I529)</f>
        <v/>
      </c>
      <c r="K529" s="43" t="n"/>
      <c r="L529" s="32">
        <f>IF(OR(K529="",$F529=""),"",DATE(YEAR(K529),MONTH(K529)+VLOOKUP($F529,'Membership Level'!$A$3:$B$15,2,FALSE),DAY(K529)))</f>
        <v/>
      </c>
      <c r="M529" s="36" t="n"/>
      <c r="N529" s="34">
        <f>IF($L529="","",DATE(YEAR($L529),MONTH($L529),DAY($L529)-$M529))</f>
        <v/>
      </c>
      <c r="O529" s="33">
        <f>IF($L529="","",IF(DAYS360(NOW(),$L529)&gt;=0,DAYS360(NOW(),$L529),""))</f>
        <v/>
      </c>
      <c r="P529" s="34">
        <f>IF(OR(H529="",H529=0,F529="",K529=""),"",I529/H529*VLOOKUP(F529,'Membership Level'!$A$3:$C$15,3,FALSE)+K529)</f>
        <v/>
      </c>
      <c r="Q529" s="36" t="n"/>
    </row>
    <row r="530">
      <c r="C530" s="36" t="n"/>
      <c r="D530" s="36" t="n"/>
      <c r="E530" s="35" t="n"/>
      <c r="F530" s="36" t="n"/>
      <c r="G530" s="36" t="n"/>
      <c r="H530" s="30" t="n"/>
      <c r="I530" s="30" t="n"/>
      <c r="J530" s="31">
        <f>IF(H530="","",H530-I530)</f>
        <v/>
      </c>
      <c r="K530" s="43" t="n"/>
      <c r="L530" s="32">
        <f>IF(OR(K530="",$F530=""),"",DATE(YEAR(K530),MONTH(K530)+VLOOKUP($F530,'Membership Level'!$A$3:$B$15,2,FALSE),DAY(K530)))</f>
        <v/>
      </c>
      <c r="M530" s="36" t="n"/>
      <c r="N530" s="34">
        <f>IF($L530="","",DATE(YEAR($L530),MONTH($L530),DAY($L530)-$M530))</f>
        <v/>
      </c>
      <c r="O530" s="33">
        <f>IF($L530="","",IF(DAYS360(NOW(),$L530)&gt;=0,DAYS360(NOW(),$L530),""))</f>
        <v/>
      </c>
      <c r="P530" s="34">
        <f>IF(OR(H530="",H530=0,F530="",K530=""),"",I530/H530*VLOOKUP(F530,'Membership Level'!$A$3:$C$15,3,FALSE)+K530)</f>
        <v/>
      </c>
      <c r="Q530" s="36" t="n"/>
    </row>
    <row r="531">
      <c r="C531" s="36" t="n"/>
      <c r="D531" s="36" t="n"/>
      <c r="E531" s="35" t="n"/>
      <c r="F531" s="36" t="n"/>
      <c r="G531" s="36" t="n"/>
      <c r="H531" s="30" t="n"/>
      <c r="I531" s="30" t="n"/>
      <c r="J531" s="31">
        <f>IF(H531="","",H531-I531)</f>
        <v/>
      </c>
      <c r="K531" s="43" t="n"/>
      <c r="L531" s="32">
        <f>IF(OR(K531="",$F531=""),"",DATE(YEAR(K531),MONTH(K531)+VLOOKUP($F531,'Membership Level'!$A$3:$B$15,2,FALSE),DAY(K531)))</f>
        <v/>
      </c>
      <c r="M531" s="36" t="n"/>
      <c r="N531" s="34">
        <f>IF($L531="","",DATE(YEAR($L531),MONTH($L531),DAY($L531)-$M531))</f>
        <v/>
      </c>
      <c r="O531" s="33">
        <f>IF($L531="","",IF(DAYS360(NOW(),$L531)&gt;=0,DAYS360(NOW(),$L531),""))</f>
        <v/>
      </c>
      <c r="P531" s="34">
        <f>IF(OR(H531="",H531=0,F531="",K531=""),"",I531/H531*VLOOKUP(F531,'Membership Level'!$A$3:$C$15,3,FALSE)+K531)</f>
        <v/>
      </c>
      <c r="Q531" s="35" t="n"/>
    </row>
    <row r="532">
      <c r="C532" s="36" t="n"/>
      <c r="D532" s="36" t="n"/>
      <c r="E532" s="35" t="n"/>
      <c r="F532" s="36" t="n"/>
      <c r="G532" s="36" t="n"/>
      <c r="H532" s="30" t="n"/>
      <c r="I532" s="30" t="n"/>
      <c r="J532" s="31">
        <f>IF(H532="","",H532-I532)</f>
        <v/>
      </c>
      <c r="K532" s="43" t="n"/>
      <c r="L532" s="32">
        <f>IF(OR(K532="",$F532=""),"",DATE(YEAR(K532),MONTH(K532)+VLOOKUP($F532,'Membership Level'!$A$3:$B$15,2,FALSE),DAY(K532)))</f>
        <v/>
      </c>
      <c r="M532" s="36" t="n"/>
      <c r="N532" s="34">
        <f>IF($L532="","",DATE(YEAR($L532),MONTH($L532),DAY($L532)-$M532))</f>
        <v/>
      </c>
      <c r="O532" s="33">
        <f>IF($L532="","",IF(DAYS360(NOW(),$L532)&gt;=0,DAYS360(NOW(),$L532),""))</f>
        <v/>
      </c>
      <c r="P532" s="34">
        <f>IF(OR(H532="",H532=0,F532="",K532=""),"",I532/H532*VLOOKUP(F532,'Membership Level'!$A$3:$C$15,3,FALSE)+K532)</f>
        <v/>
      </c>
      <c r="Q532" s="35" t="n"/>
    </row>
    <row r="533">
      <c r="C533" s="36" t="n"/>
      <c r="D533" s="36" t="n"/>
      <c r="E533" s="35" t="n"/>
      <c r="F533" s="36" t="n"/>
      <c r="G533" s="36" t="n"/>
      <c r="H533" s="30" t="n"/>
      <c r="I533" s="30" t="n"/>
      <c r="J533" s="31">
        <f>IF(H533="","",H533-I533)</f>
        <v/>
      </c>
      <c r="K533" s="43" t="n"/>
      <c r="L533" s="32">
        <f>IF(OR(K533="",$F533=""),"",DATE(YEAR(K533),MONTH(K533)+VLOOKUP($F533,'Membership Level'!$A$3:$B$15,2,FALSE),DAY(K533)))</f>
        <v/>
      </c>
      <c r="M533" s="36" t="n"/>
      <c r="N533" s="34">
        <f>IF($L533="","",DATE(YEAR($L533),MONTH($L533),DAY($L533)-$M533))</f>
        <v/>
      </c>
      <c r="O533" s="33">
        <f>IF($L533="","",IF(DAYS360(NOW(),$L533)&gt;=0,DAYS360(NOW(),$L533),""))</f>
        <v/>
      </c>
      <c r="P533" s="34">
        <f>IF(OR(H533="",H533=0,F533="",K533=""),"",I533/H533*VLOOKUP(F533,'Membership Level'!$A$3:$C$15,3,FALSE)+K533)</f>
        <v/>
      </c>
      <c r="Q533" s="36" t="n"/>
    </row>
    <row r="534">
      <c r="C534" s="36" t="n"/>
      <c r="D534" s="36" t="n"/>
      <c r="E534" s="35" t="n"/>
      <c r="F534" s="36" t="n"/>
      <c r="G534" s="36" t="n"/>
      <c r="H534" s="30" t="n"/>
      <c r="I534" s="30" t="n"/>
      <c r="J534" s="31">
        <f>IF(H534="","",H534-I534)</f>
        <v/>
      </c>
      <c r="K534" s="43" t="n"/>
      <c r="L534" s="32">
        <f>IF(OR(K534="",$F534=""),"",DATE(YEAR(K534),MONTH(K534)+VLOOKUP($F534,'Membership Level'!$A$3:$B$15,2,FALSE),DAY(K534)))</f>
        <v/>
      </c>
      <c r="M534" s="36" t="n"/>
      <c r="N534" s="34">
        <f>IF($L534="","",DATE(YEAR($L534),MONTH($L534),DAY($L534)-$M534))</f>
        <v/>
      </c>
      <c r="O534" s="33">
        <f>IF($L534="","",IF(DAYS360(NOW(),$L534)&gt;=0,DAYS360(NOW(),$L534),""))</f>
        <v/>
      </c>
      <c r="P534" s="34">
        <f>IF(OR(H534="",H534=0,F534="",K534=""),"",I534/H534*VLOOKUP(F534,'Membership Level'!$A$3:$C$15,3,FALSE)+K534)</f>
        <v/>
      </c>
      <c r="Q534" s="36" t="n"/>
    </row>
    <row r="535">
      <c r="C535" s="36" t="n"/>
      <c r="D535" s="36" t="n"/>
      <c r="E535" s="35" t="n"/>
      <c r="F535" s="36" t="n"/>
      <c r="G535" s="36" t="n"/>
      <c r="H535" s="30" t="n"/>
      <c r="I535" s="30" t="n"/>
      <c r="J535" s="31">
        <f>IF(H535="","",H535-I535)</f>
        <v/>
      </c>
      <c r="K535" s="43" t="n"/>
      <c r="L535" s="32">
        <f>IF(OR(K535="",$F535=""),"",DATE(YEAR(K535),MONTH(K535)+VLOOKUP($F535,'Membership Level'!$A$3:$B$15,2,FALSE),DAY(K535)))</f>
        <v/>
      </c>
      <c r="M535" s="36" t="n"/>
      <c r="N535" s="34">
        <f>IF($L535="","",DATE(YEAR($L535),MONTH($L535),DAY($L535)-$M535))</f>
        <v/>
      </c>
      <c r="O535" s="33">
        <f>IF($L535="","",IF(DAYS360(NOW(),$L535)&gt;=0,DAYS360(NOW(),$L535),""))</f>
        <v/>
      </c>
      <c r="P535" s="34">
        <f>IF(OR(H535="",H535=0,F535="",K535=""),"",I535/H535*VLOOKUP(F535,'Membership Level'!$A$3:$C$15,3,FALSE)+K535)</f>
        <v/>
      </c>
      <c r="Q535" s="36" t="n"/>
    </row>
    <row r="536">
      <c r="C536" s="36" t="n"/>
      <c r="D536" s="36" t="n"/>
      <c r="E536" s="35" t="n"/>
      <c r="F536" s="36" t="n"/>
      <c r="G536" s="36" t="n"/>
      <c r="H536" s="30" t="n"/>
      <c r="I536" s="30" t="n"/>
      <c r="J536" s="31">
        <f>IF(H536="","",H536-I536)</f>
        <v/>
      </c>
      <c r="K536" s="43" t="n"/>
      <c r="L536" s="32">
        <f>IF(OR(K536="",$F536=""),"",DATE(YEAR(K536),MONTH(K536)+VLOOKUP($F536,'Membership Level'!$A$3:$B$15,2,FALSE),DAY(K536)))</f>
        <v/>
      </c>
      <c r="M536" s="36" t="n"/>
      <c r="N536" s="34">
        <f>IF($L536="","",DATE(YEAR($L536),MONTH($L536),DAY($L536)-$M536))</f>
        <v/>
      </c>
      <c r="O536" s="33">
        <f>IF($L536="","",IF(DAYS360(NOW(),$L536)&gt;=0,DAYS360(NOW(),$L536),""))</f>
        <v/>
      </c>
      <c r="P536" s="34">
        <f>IF(OR(H536="",H536=0,F536="",K536=""),"",I536/H536*VLOOKUP(F536,'Membership Level'!$A$3:$C$15,3,FALSE)+K536)</f>
        <v/>
      </c>
      <c r="Q536" s="36" t="n"/>
    </row>
    <row r="537">
      <c r="C537" s="36" t="n"/>
      <c r="D537" s="36" t="n"/>
      <c r="E537" s="35" t="n"/>
      <c r="F537" s="36" t="n"/>
      <c r="G537" s="36" t="n"/>
      <c r="H537" s="30" t="n"/>
      <c r="I537" s="30" t="n"/>
      <c r="J537" s="31">
        <f>IF(H537="","",H537-I537)</f>
        <v/>
      </c>
      <c r="K537" s="43" t="n"/>
      <c r="L537" s="32">
        <f>IF(OR(K537="",$F537=""),"",DATE(YEAR(K537),MONTH(K537)+VLOOKUP($F537,'Membership Level'!$A$3:$B$15,2,FALSE),DAY(K537)))</f>
        <v/>
      </c>
      <c r="M537" s="36" t="n"/>
      <c r="N537" s="34">
        <f>IF($L537="","",DATE(YEAR($L537),MONTH($L537),DAY($L537)-$M537))</f>
        <v/>
      </c>
      <c r="O537" s="33">
        <f>IF($L537="","",IF(DAYS360(NOW(),$L537)&gt;=0,DAYS360(NOW(),$L537),""))</f>
        <v/>
      </c>
      <c r="P537" s="34">
        <f>IF(OR(H537="",H537=0,F537="",K537=""),"",I537/H537*VLOOKUP(F537,'Membership Level'!$A$3:$C$15,3,FALSE)+K537)</f>
        <v/>
      </c>
      <c r="Q537" s="36" t="n"/>
    </row>
    <row r="538">
      <c r="C538" s="36" t="n"/>
      <c r="D538" s="36" t="n"/>
      <c r="E538" s="36" t="n"/>
      <c r="F538" s="36" t="n"/>
      <c r="G538" s="36" t="n"/>
      <c r="H538" s="30" t="n"/>
      <c r="I538" s="30" t="n"/>
      <c r="J538" s="31">
        <f>IF(H538="","",H538-I538)</f>
        <v/>
      </c>
      <c r="K538" s="43" t="n"/>
      <c r="L538" s="32">
        <f>IF(OR(K538="",$F538=""),"",DATE(YEAR(K538),MONTH(K538)+VLOOKUP($F538,'Membership Level'!$A$3:$B$15,2,FALSE),DAY(K538)))</f>
        <v/>
      </c>
      <c r="M538" s="36" t="n"/>
      <c r="N538" s="34">
        <f>IF($L538="","",DATE(YEAR($L538),MONTH($L538),DAY($L538)-$M538))</f>
        <v/>
      </c>
      <c r="O538" s="33">
        <f>IF($L538="","",IF(DAYS360(NOW(),$L538)&gt;=0,DAYS360(NOW(),$L538),""))</f>
        <v/>
      </c>
      <c r="P538" s="34">
        <f>IF(OR(H538="",H538=0,F538="",K538=""),"",I538/H538*VLOOKUP(F538,'Membership Level'!$A$3:$C$15,3,FALSE)+K538)</f>
        <v/>
      </c>
      <c r="Q538" s="36" t="n"/>
    </row>
    <row r="539">
      <c r="C539" s="36" t="n"/>
      <c r="D539" s="36" t="n"/>
      <c r="E539" s="35" t="n"/>
      <c r="F539" s="36" t="n"/>
      <c r="G539" s="36" t="n"/>
      <c r="H539" s="30" t="n"/>
      <c r="I539" s="30" t="n"/>
      <c r="J539" s="31">
        <f>IF(H539="","",H539-I539)</f>
        <v/>
      </c>
      <c r="K539" s="43" t="n"/>
      <c r="L539" s="32">
        <f>IF(OR(K539="",$F539=""),"",DATE(YEAR(K539),MONTH(K539)+VLOOKUP($F539,'Membership Level'!$A$3:$B$15,2,FALSE),DAY(K539)))</f>
        <v/>
      </c>
      <c r="M539" s="36" t="n"/>
      <c r="N539" s="34">
        <f>IF($L539="","",DATE(YEAR($L539),MONTH($L539),DAY($L539)-$M539))</f>
        <v/>
      </c>
      <c r="O539" s="33">
        <f>IF($L539="","",IF(DAYS360(NOW(),$L539)&gt;=0,DAYS360(NOW(),$L539),""))</f>
        <v/>
      </c>
      <c r="P539" s="34">
        <f>IF(OR(H539="",H539=0,F539="",K539=""),"",I539/H539*VLOOKUP(F539,'Membership Level'!$A$3:$C$15,3,FALSE)+K539)</f>
        <v/>
      </c>
      <c r="Q539" s="36" t="n"/>
    </row>
    <row r="540">
      <c r="C540" s="36" t="n"/>
      <c r="D540" s="36" t="n"/>
      <c r="E540" s="35" t="n"/>
      <c r="F540" s="36" t="n"/>
      <c r="G540" s="36" t="n"/>
      <c r="H540" s="30" t="n"/>
      <c r="I540" s="30" t="n"/>
      <c r="J540" s="31">
        <f>IF(H540="","",H540-I540)</f>
        <v/>
      </c>
      <c r="K540" s="43" t="n"/>
      <c r="L540" s="32">
        <f>IF(OR(K540="",$F540=""),"",DATE(YEAR(K540),MONTH(K540)+VLOOKUP($F540,'Membership Level'!$A$3:$B$15,2,FALSE),DAY(K540)))</f>
        <v/>
      </c>
      <c r="M540" s="36" t="n"/>
      <c r="N540" s="34">
        <f>IF($L540="","",DATE(YEAR($L540),MONTH($L540),DAY($L540)-$M540))</f>
        <v/>
      </c>
      <c r="O540" s="33">
        <f>IF($L540="","",IF(DAYS360(NOW(),$L540)&gt;=0,DAYS360(NOW(),$L540),""))</f>
        <v/>
      </c>
      <c r="P540" s="34">
        <f>IF(OR(H540="",H540=0,F540="",K540=""),"",I540/H540*VLOOKUP(F540,'Membership Level'!$A$3:$C$15,3,FALSE)+K540)</f>
        <v/>
      </c>
      <c r="Q540" s="36" t="n"/>
    </row>
    <row r="541">
      <c r="C541" s="36" t="n"/>
      <c r="D541" s="36" t="n"/>
      <c r="E541" s="35" t="n"/>
      <c r="F541" s="36" t="n"/>
      <c r="G541" s="36" t="n"/>
      <c r="H541" s="30" t="n"/>
      <c r="I541" s="30" t="n"/>
      <c r="J541" s="31">
        <f>IF(H541="","",H541-I541)</f>
        <v/>
      </c>
      <c r="K541" s="43" t="n"/>
      <c r="L541" s="32">
        <f>IF(OR(K541="",$F541=""),"",DATE(YEAR(K541),MONTH(K541)+VLOOKUP($F541,'Membership Level'!$A$3:$B$15,2,FALSE),DAY(K541)))</f>
        <v/>
      </c>
      <c r="M541" s="36" t="n"/>
      <c r="N541" s="34">
        <f>IF($L541="","",DATE(YEAR($L541),MONTH($L541),DAY($L541)-$M541))</f>
        <v/>
      </c>
      <c r="O541" s="33">
        <f>IF($L541="","",IF(DAYS360(NOW(),$L541)&gt;=0,DAYS360(NOW(),$L541),""))</f>
        <v/>
      </c>
      <c r="P541" s="34">
        <f>IF(OR(H541="",H541=0,F541="",K541=""),"",I541/H541*VLOOKUP(F541,'Membership Level'!$A$3:$C$15,3,FALSE)+K541)</f>
        <v/>
      </c>
      <c r="Q541" s="36" t="n"/>
    </row>
    <row r="542">
      <c r="C542" s="36" t="n"/>
      <c r="D542" s="36" t="n"/>
      <c r="E542" s="35" t="n"/>
      <c r="F542" s="36" t="n"/>
      <c r="G542" s="36" t="n"/>
      <c r="H542" s="30" t="n"/>
      <c r="I542" s="30" t="n"/>
      <c r="J542" s="31">
        <f>IF(H542="","",H542-I542)</f>
        <v/>
      </c>
      <c r="K542" s="43" t="n"/>
      <c r="L542" s="32">
        <f>IF(OR(K542="",$F542=""),"",DATE(YEAR(K542),MONTH(K542)+VLOOKUP($F542,'Membership Level'!$A$3:$B$15,2,FALSE),DAY(K542)))</f>
        <v/>
      </c>
      <c r="M542" s="36" t="n"/>
      <c r="N542" s="34">
        <f>IF($L542="","",DATE(YEAR($L542),MONTH($L542),DAY($L542)-$M542))</f>
        <v/>
      </c>
      <c r="O542" s="33">
        <f>IF($L542="","",IF(DAYS360(NOW(),$L542)&gt;=0,DAYS360(NOW(),$L542),""))</f>
        <v/>
      </c>
      <c r="P542" s="34">
        <f>IF(OR(H542="",H542=0,F542="",K542=""),"",I542/H542*VLOOKUP(F542,'Membership Level'!$A$3:$C$15,3,FALSE)+K542)</f>
        <v/>
      </c>
      <c r="Q542" s="36" t="n"/>
    </row>
    <row r="543">
      <c r="C543" s="36" t="n"/>
      <c r="D543" s="36" t="n"/>
      <c r="E543" s="35" t="n"/>
      <c r="F543" s="36" t="n"/>
      <c r="G543" s="36" t="n"/>
      <c r="H543" s="30" t="n"/>
      <c r="I543" s="30" t="n"/>
      <c r="J543" s="31">
        <f>IF(H543="","",H543-I543)</f>
        <v/>
      </c>
      <c r="K543" s="43" t="n"/>
      <c r="L543" s="32">
        <f>IF(OR(K543="",$F543=""),"",DATE(YEAR(K543),MONTH(K543)+VLOOKUP($F543,'Membership Level'!$A$3:$B$15,2,FALSE),DAY(K543)))</f>
        <v/>
      </c>
      <c r="M543" s="36" t="n"/>
      <c r="N543" s="34">
        <f>IF($L543="","",DATE(YEAR($L543),MONTH($L543),DAY($L543)-$M543))</f>
        <v/>
      </c>
      <c r="O543" s="33">
        <f>IF($L543="","",IF(DAYS360(NOW(),$L543)&gt;=0,DAYS360(NOW(),$L543),""))</f>
        <v/>
      </c>
      <c r="P543" s="34">
        <f>IF(OR(H543="",H543=0,F543="",K543=""),"",I543/H543*VLOOKUP(F543,'Membership Level'!$A$3:$C$15,3,FALSE)+K543)</f>
        <v/>
      </c>
      <c r="Q543" s="36" t="n"/>
    </row>
    <row r="544">
      <c r="C544" s="36" t="n"/>
      <c r="D544" s="36" t="n"/>
      <c r="E544" s="35" t="n"/>
      <c r="F544" s="36" t="n"/>
      <c r="G544" s="36" t="n"/>
      <c r="H544" s="30" t="n"/>
      <c r="I544" s="30" t="n"/>
      <c r="J544" s="31">
        <f>IF(H544="","",H544-I544)</f>
        <v/>
      </c>
      <c r="K544" s="43" t="n"/>
      <c r="L544" s="32">
        <f>IF(OR(K544="",$F544=""),"",DATE(YEAR(K544),MONTH(K544)+VLOOKUP($F544,'Membership Level'!$A$3:$B$15,2,FALSE),DAY(K544)))</f>
        <v/>
      </c>
      <c r="M544" s="36" t="n"/>
      <c r="N544" s="34">
        <f>IF($L544="","",DATE(YEAR($L544),MONTH($L544),DAY($L544)-$M544))</f>
        <v/>
      </c>
      <c r="O544" s="33">
        <f>IF($L544="","",IF(DAYS360(NOW(),$L544)&gt;=0,DAYS360(NOW(),$L544),""))</f>
        <v/>
      </c>
      <c r="P544" s="34">
        <f>IF(OR(H544="",H544=0,F544="",K544=""),"",I544/H544*VLOOKUP(F544,'Membership Level'!$A$3:$C$15,3,FALSE)+K544)</f>
        <v/>
      </c>
      <c r="Q544" s="36" t="n"/>
    </row>
    <row r="545">
      <c r="C545" s="36" t="n"/>
      <c r="D545" s="36" t="n"/>
      <c r="E545" s="35" t="n"/>
      <c r="F545" s="36" t="n"/>
      <c r="G545" s="36" t="n"/>
      <c r="H545" s="30" t="n"/>
      <c r="I545" s="30" t="n"/>
      <c r="J545" s="31">
        <f>IF(H545="","",H545-I545)</f>
        <v/>
      </c>
      <c r="K545" s="43" t="n"/>
      <c r="L545" s="32">
        <f>IF(OR(K545="",$F545=""),"",DATE(YEAR(K545),MONTH(K545)+VLOOKUP($F545,'Membership Level'!$A$3:$B$15,2,FALSE),DAY(K545)))</f>
        <v/>
      </c>
      <c r="M545" s="36" t="n"/>
      <c r="N545" s="34">
        <f>IF($L545="","",DATE(YEAR($L545),MONTH($L545),DAY($L545)-$M545))</f>
        <v/>
      </c>
      <c r="O545" s="33">
        <f>IF($L545="","",IF(DAYS360(NOW(),$L545)&gt;=0,DAYS360(NOW(),$L545),""))</f>
        <v/>
      </c>
      <c r="P545" s="34">
        <f>IF(OR(H545="",H545=0,F545="",K545=""),"",I545/H545*VLOOKUP(F545,'Membership Level'!$A$3:$C$15,3,FALSE)+K545)</f>
        <v/>
      </c>
      <c r="Q545" s="36" t="n"/>
    </row>
    <row r="546">
      <c r="C546" s="36" t="n"/>
      <c r="D546" s="36" t="n"/>
      <c r="E546" s="35" t="n"/>
      <c r="F546" s="36" t="n"/>
      <c r="G546" s="36" t="n"/>
      <c r="H546" s="30" t="n"/>
      <c r="I546" s="30" t="n"/>
      <c r="J546" s="31">
        <f>IF(H546="","",H546-I546)</f>
        <v/>
      </c>
      <c r="K546" s="43" t="n"/>
      <c r="L546" s="32">
        <f>IF(OR(K546="",$F546=""),"",DATE(YEAR(K546),MONTH(K546)+VLOOKUP($F546,'Membership Level'!$A$3:$B$15,2,FALSE),DAY(K546)))</f>
        <v/>
      </c>
      <c r="M546" s="36" t="n"/>
      <c r="N546" s="34">
        <f>IF($L546="","",DATE(YEAR($L546),MONTH($L546),DAY($L546)-$M546))</f>
        <v/>
      </c>
      <c r="O546" s="33">
        <f>IF($L546="","",IF(DAYS360(NOW(),$L546)&gt;=0,DAYS360(NOW(),$L546),""))</f>
        <v/>
      </c>
      <c r="P546" s="34">
        <f>IF(OR(H546="",H546=0,F546="",K546=""),"",I546/H546*VLOOKUP(F546,'Membership Level'!$A$3:$C$15,3,FALSE)+K546)</f>
        <v/>
      </c>
      <c r="Q546" s="36" t="n"/>
    </row>
    <row r="547">
      <c r="C547" s="36" t="n"/>
      <c r="D547" s="36" t="n"/>
      <c r="E547" s="35" t="n"/>
      <c r="F547" s="36" t="n"/>
      <c r="G547" s="36" t="n"/>
      <c r="H547" s="30" t="n"/>
      <c r="I547" s="30" t="n"/>
      <c r="J547" s="31">
        <f>IF(H547="","",H547-I547)</f>
        <v/>
      </c>
      <c r="K547" s="43" t="n"/>
      <c r="L547" s="32">
        <f>IF(OR(K547="",$F547=""),"",DATE(YEAR(K547),MONTH(K547)+VLOOKUP($F547,'Membership Level'!$A$3:$B$15,2,FALSE),DAY(K547)))</f>
        <v/>
      </c>
      <c r="M547" s="36" t="n"/>
      <c r="N547" s="34">
        <f>IF($L547="","",DATE(YEAR($L547),MONTH($L547),DAY($L547)-$M547))</f>
        <v/>
      </c>
      <c r="O547" s="33">
        <f>IF($L547="","",IF(DAYS360(NOW(),$L547)&gt;=0,DAYS360(NOW(),$L547),""))</f>
        <v/>
      </c>
      <c r="P547" s="34">
        <f>IF(OR(H547="",H547=0,F547="",K547=""),"",I547/H547*VLOOKUP(F547,'Membership Level'!$A$3:$C$15,3,FALSE)+K547)</f>
        <v/>
      </c>
      <c r="Q547" s="36" t="n"/>
    </row>
    <row r="548">
      <c r="C548" s="36" t="n"/>
      <c r="D548" s="36" t="n"/>
      <c r="E548" s="35" t="n"/>
      <c r="F548" s="36" t="n"/>
      <c r="G548" s="36" t="n"/>
      <c r="H548" s="30" t="n"/>
      <c r="I548" s="30" t="n"/>
      <c r="J548" s="31">
        <f>IF(H548="","",H548-I548)</f>
        <v/>
      </c>
      <c r="K548" s="43" t="n"/>
      <c r="L548" s="32">
        <f>IF(OR(K548="",$F548=""),"",DATE(YEAR(K548),MONTH(K548)+VLOOKUP($F548,'Membership Level'!$A$3:$B$15,2,FALSE),DAY(K548)))</f>
        <v/>
      </c>
      <c r="M548" s="36" t="n"/>
      <c r="N548" s="34">
        <f>IF($L548="","",DATE(YEAR($L548),MONTH($L548),DAY($L548)-$M548))</f>
        <v/>
      </c>
      <c r="O548" s="33">
        <f>IF($L548="","",IF(DAYS360(NOW(),$L548)&gt;=0,DAYS360(NOW(),$L548),""))</f>
        <v/>
      </c>
      <c r="P548" s="34">
        <f>IF(OR(H548="",H548=0,F548="",K548=""),"",I548/H548*VLOOKUP(F548,'Membership Level'!$A$3:$C$15,3,FALSE)+K548)</f>
        <v/>
      </c>
      <c r="Q548" s="36" t="n"/>
    </row>
    <row r="549">
      <c r="C549" s="36" t="n"/>
      <c r="D549" s="36" t="n"/>
      <c r="E549" s="35" t="n"/>
      <c r="F549" s="36" t="n"/>
      <c r="G549" s="36" t="n"/>
      <c r="H549" s="30" t="n"/>
      <c r="I549" s="30" t="n"/>
      <c r="J549" s="31">
        <f>IF(H549="","",H549-I549)</f>
        <v/>
      </c>
      <c r="K549" s="43" t="n"/>
      <c r="L549" s="32">
        <f>IF(OR(K549="",$F549=""),"",DATE(YEAR(K549),MONTH(K549)+VLOOKUP($F549,'Membership Level'!$A$3:$B$15,2,FALSE),DAY(K549)))</f>
        <v/>
      </c>
      <c r="M549" s="36" t="n"/>
      <c r="N549" s="34">
        <f>IF($L549="","",DATE(YEAR($L549),MONTH($L549),DAY($L549)-$M549))</f>
        <v/>
      </c>
      <c r="O549" s="33">
        <f>IF($L549="","",IF(DAYS360(NOW(),$L549)&gt;=0,DAYS360(NOW(),$L549),""))</f>
        <v/>
      </c>
      <c r="P549" s="34">
        <f>IF(OR(H549="",H549=0,F549="",K549=""),"",I549/H549*VLOOKUP(F549,'Membership Level'!$A$3:$C$15,3,FALSE)+K549)</f>
        <v/>
      </c>
      <c r="Q549" s="36" t="n"/>
    </row>
    <row r="550">
      <c r="C550" s="36" t="n"/>
      <c r="D550" s="36" t="n"/>
      <c r="E550" s="35" t="n"/>
      <c r="F550" s="36" t="n"/>
      <c r="G550" s="36" t="n"/>
      <c r="H550" s="30" t="n"/>
      <c r="I550" s="30" t="n"/>
      <c r="J550" s="31">
        <f>IF(H550="","",H550-I550)</f>
        <v/>
      </c>
      <c r="K550" s="43" t="n"/>
      <c r="L550" s="32">
        <f>IF(OR(K550="",$F550=""),"",DATE(YEAR(K550),MONTH(K550)+VLOOKUP($F550,'Membership Level'!$A$3:$B$15,2,FALSE),DAY(K550)))</f>
        <v/>
      </c>
      <c r="M550" s="36" t="n"/>
      <c r="N550" s="34">
        <f>IF($L550="","",DATE(YEAR($L550),MONTH($L550),DAY($L550)-$M550))</f>
        <v/>
      </c>
      <c r="O550" s="33">
        <f>IF($L550="","",IF(DAYS360(NOW(),$L550)&gt;=0,DAYS360(NOW(),$L550),""))</f>
        <v/>
      </c>
      <c r="P550" s="34">
        <f>IF(OR(H550="",H550=0,F550="",K550=""),"",I550/H550*VLOOKUP(F550,'Membership Level'!$A$3:$C$15,3,FALSE)+K550)</f>
        <v/>
      </c>
      <c r="Q550" s="36" t="n"/>
    </row>
    <row r="551">
      <c r="C551" s="36" t="n"/>
      <c r="D551" s="36" t="n"/>
      <c r="E551" s="35" t="n"/>
      <c r="F551" s="36" t="n"/>
      <c r="G551" s="36" t="n"/>
      <c r="H551" s="30" t="n"/>
      <c r="I551" s="30" t="n"/>
      <c r="J551" s="31">
        <f>IF(H551="","",H551-I551)</f>
        <v/>
      </c>
      <c r="K551" s="43" t="n"/>
      <c r="L551" s="32">
        <f>IF(OR(K551="",$F551=""),"",DATE(YEAR(K551),MONTH(K551)+VLOOKUP($F551,'Membership Level'!$A$3:$B$15,2,FALSE),DAY(K551)))</f>
        <v/>
      </c>
      <c r="M551" s="36" t="n"/>
      <c r="N551" s="34">
        <f>IF($L551="","",DATE(YEAR($L551),MONTH($L551),DAY($L551)-$M551))</f>
        <v/>
      </c>
      <c r="O551" s="33">
        <f>IF($L551="","",IF(DAYS360(NOW(),$L551)&gt;=0,DAYS360(NOW(),$L551),""))</f>
        <v/>
      </c>
      <c r="P551" s="34">
        <f>IF(OR(H551="",H551=0,F551="",K551=""),"",I551/H551*VLOOKUP(F551,'Membership Level'!$A$3:$C$15,3,FALSE)+K551)</f>
        <v/>
      </c>
      <c r="Q551" s="36" t="n"/>
    </row>
    <row r="552">
      <c r="C552" s="36" t="n"/>
      <c r="D552" s="36" t="n"/>
      <c r="E552" s="35" t="n"/>
      <c r="F552" s="36" t="n"/>
      <c r="G552" s="36" t="n"/>
      <c r="H552" s="30" t="n"/>
      <c r="I552" s="30" t="n"/>
      <c r="J552" s="31">
        <f>IF(H552="","",H552-I552)</f>
        <v/>
      </c>
      <c r="K552" s="43" t="n"/>
      <c r="L552" s="32">
        <f>IF(OR(K552="",$F552=""),"",DATE(YEAR(K552),MONTH(K552)+VLOOKUP($F552,'Membership Level'!$A$3:$B$15,2,FALSE),DAY(K552)))</f>
        <v/>
      </c>
      <c r="M552" s="36" t="n"/>
      <c r="N552" s="34">
        <f>IF($L552="","",DATE(YEAR($L552),MONTH($L552),DAY($L552)-$M552))</f>
        <v/>
      </c>
      <c r="O552" s="33">
        <f>IF($L552="","",IF(DAYS360(NOW(),$L552)&gt;=0,DAYS360(NOW(),$L552),""))</f>
        <v/>
      </c>
      <c r="P552" s="34">
        <f>IF(OR(H552="",H552=0,F552="",K552=""),"",I552/H552*VLOOKUP(F552,'Membership Level'!$A$3:$C$15,3,FALSE)+K552)</f>
        <v/>
      </c>
      <c r="Q552" s="36" t="n"/>
    </row>
    <row r="553">
      <c r="C553" s="36" t="n"/>
      <c r="D553" s="36" t="n"/>
      <c r="E553" s="35" t="n"/>
      <c r="F553" s="36" t="n"/>
      <c r="G553" s="36" t="n"/>
      <c r="H553" s="30" t="n"/>
      <c r="I553" s="30" t="n"/>
      <c r="J553" s="31">
        <f>IF(H553="","",H553-I553)</f>
        <v/>
      </c>
      <c r="K553" s="43" t="n"/>
      <c r="L553" s="32">
        <f>IF(OR(K553="",$F553=""),"",DATE(YEAR(K553),MONTH(K553)+VLOOKUP($F553,'Membership Level'!$A$3:$B$15,2,FALSE),DAY(K553)))</f>
        <v/>
      </c>
      <c r="M553" s="36" t="n"/>
      <c r="N553" s="34">
        <f>IF($L553="","",DATE(YEAR($L553),MONTH($L553),DAY($L553)-$M553))</f>
        <v/>
      </c>
      <c r="O553" s="33">
        <f>IF($L553="","",IF(DAYS360(NOW(),$L553)&gt;=0,DAYS360(NOW(),$L553),""))</f>
        <v/>
      </c>
      <c r="P553" s="34">
        <f>IF(OR(H553="",H553=0,F553="",K553=""),"",I553/H553*VLOOKUP(F553,'Membership Level'!$A$3:$C$15,3,FALSE)+K553)</f>
        <v/>
      </c>
      <c r="Q553" s="36" t="n"/>
    </row>
    <row r="554">
      <c r="C554" s="36" t="n"/>
      <c r="D554" s="36" t="n"/>
      <c r="E554" s="35" t="n"/>
      <c r="F554" s="36" t="n"/>
      <c r="G554" s="36" t="n"/>
      <c r="H554" s="30" t="n"/>
      <c r="I554" s="30" t="n"/>
      <c r="J554" s="31">
        <f>IF(H554="","",H554-I554)</f>
        <v/>
      </c>
      <c r="K554" s="43" t="n"/>
      <c r="L554" s="32">
        <f>IF(OR(K554="",$F554=""),"",DATE(YEAR(K554),MONTH(K554)+VLOOKUP($F554,'Membership Level'!$A$3:$B$15,2,FALSE),DAY(K554)))</f>
        <v/>
      </c>
      <c r="M554" s="36" t="n"/>
      <c r="N554" s="34">
        <f>IF($L554="","",DATE(YEAR($L554),MONTH($L554),DAY($L554)-$M554))</f>
        <v/>
      </c>
      <c r="O554" s="33">
        <f>IF($L554="","",IF(DAYS360(NOW(),$L554)&gt;=0,DAYS360(NOW(),$L554),""))</f>
        <v/>
      </c>
      <c r="P554" s="34">
        <f>IF(OR(H554="",H554=0,F554="",K554=""),"",I554/H554*VLOOKUP(F554,'Membership Level'!$A$3:$C$15,3,FALSE)+K554)</f>
        <v/>
      </c>
      <c r="Q554" s="36" t="n"/>
    </row>
    <row r="555">
      <c r="C555" s="36" t="n"/>
      <c r="D555" s="36" t="n"/>
      <c r="E555" s="35" t="n"/>
      <c r="F555" s="36" t="n"/>
      <c r="G555" s="36" t="n"/>
      <c r="H555" s="30" t="n"/>
      <c r="I555" s="30" t="n"/>
      <c r="J555" s="31">
        <f>IF(H555="","",H555-I555)</f>
        <v/>
      </c>
      <c r="K555" s="43" t="n"/>
      <c r="L555" s="32">
        <f>IF(OR(K555="",$F555=""),"",DATE(YEAR(K555),MONTH(K555)+VLOOKUP($F555,'Membership Level'!$A$3:$B$15,2,FALSE),DAY(K555)))</f>
        <v/>
      </c>
      <c r="M555" s="36" t="n"/>
      <c r="N555" s="34">
        <f>IF($L555="","",DATE(YEAR($L555),MONTH($L555),DAY($L555)-$M555))</f>
        <v/>
      </c>
      <c r="O555" s="33">
        <f>IF($L555="","",IF(DAYS360(NOW(),$L555)&gt;=0,DAYS360(NOW(),$L555),""))</f>
        <v/>
      </c>
      <c r="P555" s="34">
        <f>IF(OR(H555="",H555=0,F555="",K555=""),"",I555/H555*VLOOKUP(F555,'Membership Level'!$A$3:$C$15,3,FALSE)+K555)</f>
        <v/>
      </c>
      <c r="Q555" s="36" t="n"/>
    </row>
    <row r="556" customFormat="1" s="68">
      <c r="C556" s="36" t="n"/>
      <c r="D556" s="36" t="n"/>
      <c r="E556" s="66" t="n"/>
      <c r="F556" s="33" t="n"/>
      <c r="G556" s="36" t="n"/>
      <c r="H556" s="30" t="n"/>
      <c r="I556" s="30" t="n"/>
      <c r="J556" s="31">
        <f>IF(H556="","",H556-I556)</f>
        <v/>
      </c>
      <c r="K556" s="43" t="n"/>
      <c r="L556" s="32">
        <f>IF(OR(K556="",$F556=""),"",DATE(YEAR(K556),MONTH(K556)+VLOOKUP($F556,'Membership Level'!$A$3:$B$15,2,FALSE),DAY(K556)))</f>
        <v/>
      </c>
      <c r="M556" s="36" t="n"/>
      <c r="N556" s="34">
        <f>IF($L556="","",DATE(YEAR($L556),MONTH($L556),DAY($L556)-$M556))</f>
        <v/>
      </c>
      <c r="O556" s="33">
        <f>IF($L556="","",IF(DAYS360(NOW(),$L556)&gt;=0,DAYS360(NOW(),$L556),""))</f>
        <v/>
      </c>
      <c r="P556" s="34">
        <f>IF(OR(H556="",H556=0,F556="",K556=""),"",I556/H556*VLOOKUP(F556,'Membership Level'!$A$3:$C$15,3,FALSE)+K556)</f>
        <v/>
      </c>
      <c r="Q556" s="36" t="n"/>
    </row>
    <row r="557">
      <c r="C557" s="36" t="n"/>
      <c r="D557" s="36" t="n"/>
      <c r="E557" s="66" t="n"/>
      <c r="F557" s="36" t="n"/>
      <c r="G557" s="36" t="n"/>
      <c r="H557" s="30" t="n"/>
      <c r="I557" s="30" t="n"/>
      <c r="J557" s="31">
        <f>IF(H557="","",H557-I557)</f>
        <v/>
      </c>
      <c r="K557" s="43" t="n"/>
      <c r="L557" s="32">
        <f>IF(OR(K557="",$F557=""),"",DATE(YEAR(K557),MONTH(K557)+VLOOKUP($F557,'Membership Level'!$A$3:$B$15,2,FALSE),DAY(K557)))</f>
        <v/>
      </c>
      <c r="M557" s="36" t="n"/>
      <c r="N557" s="34">
        <f>IF($L557="","",DATE(YEAR($L557),MONTH($L557),DAY($L557)-$M557))</f>
        <v/>
      </c>
      <c r="O557" s="33">
        <f>IF($L557="","",IF(DAYS360(NOW(),$L557)&gt;=0,DAYS360(NOW(),$L557),""))</f>
        <v/>
      </c>
      <c r="P557" s="34">
        <f>IF(OR(H557="",H557=0,F557="",K557=""),"",I557/H557*VLOOKUP(F557,'Membership Level'!$A$3:$C$15,3,FALSE)+K557)</f>
        <v/>
      </c>
      <c r="Q557" s="36" t="n"/>
    </row>
    <row r="558" customFormat="1" s="22">
      <c r="C558" s="33" t="n"/>
      <c r="D558" s="33" t="n"/>
      <c r="E558" s="35" t="n"/>
      <c r="F558" s="36" t="n"/>
      <c r="G558" s="33" t="n"/>
      <c r="H558" s="44" t="n"/>
      <c r="I558" s="44" t="n"/>
      <c r="J558" s="31">
        <f>IF(H558="","",H558-I558)</f>
        <v/>
      </c>
      <c r="K558" s="32" t="n"/>
      <c r="L558" s="32">
        <f>IF(OR(K558="",$F558=""),"",DATE(YEAR(K558),MONTH(K558)+VLOOKUP($F558,'Membership Level'!$A$3:$B$15,2,FALSE),DAY(K558)))</f>
        <v/>
      </c>
      <c r="M558" s="33" t="n"/>
      <c r="N558" s="34">
        <f>IF($L558="","",DATE(YEAR($L558),MONTH($L558),DAY($L558)-$M558))</f>
        <v/>
      </c>
      <c r="O558" s="33">
        <f>IF($L558="","",IF(DAYS360(NOW(),$L558)&gt;=0,DAYS360(NOW(),$L558),""))</f>
        <v/>
      </c>
      <c r="P558" s="34">
        <f>IF(OR(H558="",H558=0,F558="",K558=""),"",I558/H558*VLOOKUP(F558,'Membership Level'!$A$3:$C$15,3,FALSE)+K558)</f>
        <v/>
      </c>
      <c r="Q558" s="33" t="n"/>
    </row>
    <row r="559">
      <c r="C559" s="36" t="n"/>
      <c r="D559" s="36" t="n"/>
      <c r="E559" s="35" t="n"/>
      <c r="F559" s="36" t="n"/>
      <c r="G559" s="36" t="n"/>
      <c r="H559" s="30" t="n"/>
      <c r="I559" s="30" t="n"/>
      <c r="J559" s="31">
        <f>IF(H559="","",H559-I559)</f>
        <v/>
      </c>
      <c r="K559" s="43" t="n"/>
      <c r="L559" s="32">
        <f>IF(OR(K559="",$F559=""),"",DATE(YEAR(K559),MONTH(K559)+VLOOKUP($F559,'Membership Level'!$A$3:$B$15,2,FALSE),DAY(K559)))</f>
        <v/>
      </c>
      <c r="M559" s="36" t="n"/>
      <c r="N559" s="34">
        <f>IF($L559="","",DATE(YEAR($L559),MONTH($L559),DAY($L559)-$M559))</f>
        <v/>
      </c>
      <c r="O559" s="33">
        <f>IF($L559="","",IF(DAYS360(NOW(),$L559)&gt;=0,DAYS360(NOW(),$L559),""))</f>
        <v/>
      </c>
      <c r="P559" s="34">
        <f>IF(OR(H559="",H559=0,F559="",K559=""),"",I559/H559*VLOOKUP(F559,'Membership Level'!$A$3:$C$15,3,FALSE)+K559)</f>
        <v/>
      </c>
      <c r="Q559" s="36" t="n"/>
    </row>
    <row r="560">
      <c r="C560" s="36" t="n"/>
      <c r="D560" s="36" t="n"/>
      <c r="E560" s="35" t="n"/>
      <c r="F560" s="36" t="n"/>
      <c r="G560" s="36" t="n"/>
      <c r="H560" s="30" t="n"/>
      <c r="I560" s="30" t="n"/>
      <c r="J560" s="31">
        <f>IF(H560="","",H560-I560)</f>
        <v/>
      </c>
      <c r="K560" s="43" t="n"/>
      <c r="L560" s="32">
        <f>IF(OR(K560="",$F560=""),"",DATE(YEAR(K560),MONTH(K560)+VLOOKUP($F560,'Membership Level'!$A$3:$B$15,2,FALSE),DAY(K560)))</f>
        <v/>
      </c>
      <c r="M560" s="36" t="n"/>
      <c r="N560" s="34">
        <f>IF($L560="","",DATE(YEAR($L560),MONTH($L560),DAY($L560)-$M560))</f>
        <v/>
      </c>
      <c r="O560" s="33">
        <f>IF($L560="","",IF(DAYS360(NOW(),$L560)&gt;=0,DAYS360(NOW(),$L560),""))</f>
        <v/>
      </c>
      <c r="P560" s="34">
        <f>IF(OR(H560="",H560=0,F560="",K560=""),"",I560/H560*VLOOKUP(F560,'Membership Level'!$A$3:$C$15,3,FALSE)+K560)</f>
        <v/>
      </c>
      <c r="Q560" s="35" t="n"/>
    </row>
    <row r="561">
      <c r="C561" s="36" t="n"/>
      <c r="D561" s="36" t="n"/>
      <c r="E561" s="35" t="n"/>
      <c r="F561" s="36" t="n"/>
      <c r="G561" s="36" t="n"/>
      <c r="H561" s="30" t="n"/>
      <c r="I561" s="30" t="n"/>
      <c r="J561" s="31">
        <f>IF(H561="","",H561-I561)</f>
        <v/>
      </c>
      <c r="K561" s="43" t="n"/>
      <c r="L561" s="32">
        <f>IF(OR(K561="",$F561=""),"",DATE(YEAR(K561),MONTH(K561)+VLOOKUP($F561,'Membership Level'!$A$3:$B$15,2,FALSE),DAY(K561)))</f>
        <v/>
      </c>
      <c r="M561" s="36" t="n"/>
      <c r="N561" s="34">
        <f>IF($L561="","",DATE(YEAR($L561),MONTH($L561),DAY($L561)-$M561))</f>
        <v/>
      </c>
      <c r="O561" s="33">
        <f>IF($L561="","",IF(DAYS360(NOW(),$L561)&gt;=0,DAYS360(NOW(),$L561),""))</f>
        <v/>
      </c>
      <c r="P561" s="34">
        <f>IF(OR(H561="",H561=0,F561="",K561=""),"",I561/H561*VLOOKUP(F561,'Membership Level'!$A$3:$C$15,3,FALSE)+K561)</f>
        <v/>
      </c>
      <c r="Q561" s="36" t="n"/>
    </row>
    <row r="562">
      <c r="C562" s="36" t="n"/>
      <c r="D562" s="36" t="n"/>
      <c r="E562" s="35" t="n"/>
      <c r="F562" s="36" t="n"/>
      <c r="G562" s="36" t="n"/>
      <c r="H562" s="30" t="n"/>
      <c r="I562" s="30" t="n"/>
      <c r="J562" s="31">
        <f>IF(H562="","",H562-I562)</f>
        <v/>
      </c>
      <c r="K562" s="43" t="n"/>
      <c r="L562" s="32">
        <f>IF(OR(K562="",$F562=""),"",DATE(YEAR(K562),MONTH(K562)+VLOOKUP($F562,'Membership Level'!$A$3:$B$15,2,FALSE),DAY(K562)))</f>
        <v/>
      </c>
      <c r="M562" s="36" t="n"/>
      <c r="N562" s="34">
        <f>IF($L562="","",DATE(YEAR($L562),MONTH($L562),DAY($L562)-$M562))</f>
        <v/>
      </c>
      <c r="O562" s="33">
        <f>IF($L562="","",IF(DAYS360(NOW(),$L562)&gt;=0,DAYS360(NOW(),$L562),""))</f>
        <v/>
      </c>
      <c r="P562" s="34">
        <f>IF(OR(H562="",H562=0,F562="",K562=""),"",I562/H562*VLOOKUP(F562,'Membership Level'!$A$3:$C$15,3,FALSE)+K562)</f>
        <v/>
      </c>
      <c r="Q562" s="35" t="n"/>
    </row>
    <row r="563">
      <c r="C563" s="36" t="n"/>
      <c r="D563" s="36" t="n"/>
      <c r="E563" s="35" t="n"/>
      <c r="F563" s="36" t="n"/>
      <c r="G563" s="36" t="n"/>
      <c r="H563" s="30" t="n"/>
      <c r="I563" s="30" t="n"/>
      <c r="J563" s="31">
        <f>IF(H563="","",H563-I563)</f>
        <v/>
      </c>
      <c r="K563" s="43" t="n"/>
      <c r="L563" s="32">
        <f>IF(OR(K563="",$F563=""),"",DATE(YEAR(K563),MONTH(K563)+VLOOKUP($F563,'Membership Level'!$A$3:$B$15,2,FALSE),DAY(K563)))</f>
        <v/>
      </c>
      <c r="M563" s="36" t="n"/>
      <c r="N563" s="34">
        <f>IF($L563="","",DATE(YEAR($L563),MONTH($L563),DAY($L563)-$M563))</f>
        <v/>
      </c>
      <c r="O563" s="33">
        <f>IF($L563="","",IF(DAYS360(NOW(),$L563)&gt;=0,DAYS360(NOW(),$L563),""))</f>
        <v/>
      </c>
      <c r="P563" s="34">
        <f>IF(OR(H563="",H563=0,F563="",K563=""),"",I563/H563*VLOOKUP(F563,'Membership Level'!$A$3:$C$15,3,FALSE)+K563)</f>
        <v/>
      </c>
      <c r="Q563" s="36" t="n"/>
    </row>
    <row r="564">
      <c r="C564" s="36" t="n"/>
      <c r="D564" s="36" t="n"/>
      <c r="E564" s="35" t="n"/>
      <c r="F564" s="36" t="n"/>
      <c r="G564" s="36" t="n"/>
      <c r="H564" s="30" t="n"/>
      <c r="I564" s="30" t="n"/>
      <c r="J564" s="31">
        <f>IF(H564="","",H564-I564)</f>
        <v/>
      </c>
      <c r="K564" s="43" t="n"/>
      <c r="L564" s="32">
        <f>IF(OR(K564="",$F564=""),"",DATE(YEAR(K564),MONTH(K564)+VLOOKUP($F564,'Membership Level'!$A$3:$B$15,2,FALSE),DAY(K564)))</f>
        <v/>
      </c>
      <c r="M564" s="36" t="n"/>
      <c r="N564" s="34">
        <f>IF($L564="","",DATE(YEAR($L564),MONTH($L564),DAY($L564)-$M564))</f>
        <v/>
      </c>
      <c r="O564" s="33">
        <f>IF($L564="","",IF(DAYS360(NOW(),$L564)&gt;=0,DAYS360(NOW(),$L564),""))</f>
        <v/>
      </c>
      <c r="P564" s="34">
        <f>IF(OR(H564="",H564=0,F564="",K564=""),"",I564/H564*VLOOKUP(F564,'Membership Level'!$A$3:$C$15,3,FALSE)+K564)</f>
        <v/>
      </c>
      <c r="Q564" s="36" t="n"/>
    </row>
    <row r="565">
      <c r="C565" s="36" t="n"/>
      <c r="D565" s="36" t="n"/>
      <c r="E565" s="35" t="n"/>
      <c r="F565" s="36" t="n"/>
      <c r="G565" s="36" t="n"/>
      <c r="H565" s="30" t="n"/>
      <c r="I565" s="30" t="n"/>
      <c r="J565" s="31">
        <f>IF(H565="","",H565-I565)</f>
        <v/>
      </c>
      <c r="K565" s="43" t="n"/>
      <c r="L565" s="32">
        <f>IF(OR(K565="",$F565=""),"",DATE(YEAR(K565),MONTH(K565)+VLOOKUP($F565,'Membership Level'!$A$3:$B$15,2,FALSE),DAY(K565)))</f>
        <v/>
      </c>
      <c r="M565" s="36" t="n"/>
      <c r="N565" s="34">
        <f>IF($L565="","",DATE(YEAR($L565),MONTH($L565),DAY($L565)-$M565))</f>
        <v/>
      </c>
      <c r="O565" s="33">
        <f>IF($L565="","",IF(DAYS360(NOW(),$L565)&gt;=0,DAYS360(NOW(),$L565),""))</f>
        <v/>
      </c>
      <c r="P565" s="34">
        <f>IF(OR(H565="",H565=0,F565="",K565=""),"",I565/H565*VLOOKUP(F565,'Membership Level'!$A$3:$C$15,3,FALSE)+K565)</f>
        <v/>
      </c>
      <c r="Q565" s="35" t="n"/>
    </row>
    <row r="566">
      <c r="C566" s="36" t="n"/>
      <c r="D566" s="36" t="n"/>
      <c r="E566" s="35" t="n"/>
      <c r="F566" s="36" t="n"/>
      <c r="G566" s="36" t="n"/>
      <c r="H566" s="30" t="n"/>
      <c r="I566" s="30" t="n"/>
      <c r="J566" s="31">
        <f>IF(H566="","",H566-I566)</f>
        <v/>
      </c>
      <c r="K566" s="43" t="n"/>
      <c r="L566" s="32">
        <f>IF(OR(K566="",$F566=""),"",DATE(YEAR(K566),MONTH(K566)+VLOOKUP($F566,'Membership Level'!$A$3:$B$15,2,FALSE),DAY(K566)))</f>
        <v/>
      </c>
      <c r="M566" s="36" t="n"/>
      <c r="N566" s="34">
        <f>IF($L566="","",DATE(YEAR($L566),MONTH($L566),DAY($L566)-$M566))</f>
        <v/>
      </c>
      <c r="O566" s="33">
        <f>IF($L566="","",IF(DAYS360(NOW(),$L566)&gt;=0,DAYS360(NOW(),$L566),""))</f>
        <v/>
      </c>
      <c r="P566" s="34">
        <f>IF(OR(H566="",H566=0,F566="",K566=""),"",I566/H566*VLOOKUP(F566,'Membership Level'!$A$3:$C$15,3,FALSE)+K566)</f>
        <v/>
      </c>
      <c r="Q566" s="36" t="n"/>
    </row>
    <row r="567">
      <c r="C567" s="36" t="n"/>
      <c r="D567" s="36" t="n"/>
      <c r="E567" s="35" t="n"/>
      <c r="F567" s="36" t="n"/>
      <c r="G567" s="36" t="n"/>
      <c r="H567" s="30" t="n"/>
      <c r="I567" s="30" t="n"/>
      <c r="J567" s="31">
        <f>IF(H567="","",H567-I567)</f>
        <v/>
      </c>
      <c r="K567" s="43" t="n"/>
      <c r="L567" s="32">
        <f>IF(OR(K567="",$F567=""),"",DATE(YEAR(K567),MONTH(K567)+VLOOKUP($F567,'Membership Level'!$A$3:$B$15,2,FALSE),DAY(K567)))</f>
        <v/>
      </c>
      <c r="M567" s="36" t="n"/>
      <c r="N567" s="34">
        <f>IF($L567="","",DATE(YEAR($L567),MONTH($L567),DAY($L567)-$M567))</f>
        <v/>
      </c>
      <c r="O567" s="33">
        <f>IF($L567="","",IF(DAYS360(NOW(),$L567)&gt;=0,DAYS360(NOW(),$L567),""))</f>
        <v/>
      </c>
      <c r="P567" s="34">
        <f>IF(OR(H567="",H567=0,F567="",K567=""),"",I567/H567*VLOOKUP(F567,'Membership Level'!$A$3:$C$15,3,FALSE)+K567)</f>
        <v/>
      </c>
      <c r="Q567" s="36" t="n"/>
    </row>
    <row r="568">
      <c r="C568" s="36" t="n"/>
      <c r="D568" s="36" t="n"/>
      <c r="E568" s="35" t="n"/>
      <c r="F568" s="36" t="n"/>
      <c r="G568" s="36" t="n"/>
      <c r="H568" s="30" t="n"/>
      <c r="I568" s="30" t="n"/>
      <c r="J568" s="31">
        <f>IF(H568="","",H568-I568)</f>
        <v/>
      </c>
      <c r="K568" s="43" t="n"/>
      <c r="L568" s="32">
        <f>IF(OR(K568="",$F568=""),"",DATE(YEAR(K568),MONTH(K568)+VLOOKUP($F568,'Membership Level'!$A$3:$B$15,2,FALSE),DAY(K568)))</f>
        <v/>
      </c>
      <c r="M568" s="36" t="n"/>
      <c r="N568" s="34">
        <f>IF($L568="","",DATE(YEAR($L568),MONTH($L568),DAY($L568)-$M568))</f>
        <v/>
      </c>
      <c r="O568" s="33">
        <f>IF($L568="","",IF(DAYS360(NOW(),$L568)&gt;=0,DAYS360(NOW(),$L568),""))</f>
        <v/>
      </c>
      <c r="P568" s="34">
        <f>IF(OR(H568="",H568=0,F568="",K568=""),"",I568/H568*VLOOKUP(F568,'Membership Level'!$A$3:$C$15,3,FALSE)+K568)</f>
        <v/>
      </c>
      <c r="Q568" s="36" t="n"/>
    </row>
    <row r="569">
      <c r="C569" s="36" t="n"/>
      <c r="D569" s="36" t="n"/>
      <c r="E569" s="35" t="n"/>
      <c r="F569" s="36" t="n"/>
      <c r="G569" s="36" t="n"/>
      <c r="H569" s="30" t="n"/>
      <c r="I569" s="30" t="n"/>
      <c r="J569" s="31">
        <f>IF(H569="","",H569-I569)</f>
        <v/>
      </c>
      <c r="K569" s="43" t="n"/>
      <c r="L569" s="32">
        <f>IF(OR(K569="",$F569=""),"",DATE(YEAR(K569),MONTH(K569)+VLOOKUP($F569,'Membership Level'!$A$3:$B$15,2,FALSE),DAY(K569)))</f>
        <v/>
      </c>
      <c r="M569" s="36" t="n"/>
      <c r="N569" s="34">
        <f>IF($L569="","",DATE(YEAR($L569),MONTH($L569),DAY($L569)-$M569))</f>
        <v/>
      </c>
      <c r="O569" s="33">
        <f>IF($L569="","",IF(DAYS360(NOW(),$L569)&gt;=0,DAYS360(NOW(),$L569),""))</f>
        <v/>
      </c>
      <c r="P569" s="34">
        <f>IF(OR(H569="",H569=0,F569="",K569=""),"",I569/H569*VLOOKUP(F569,'Membership Level'!$A$3:$C$15,3,FALSE)+K569)</f>
        <v/>
      </c>
      <c r="Q569" s="36" t="n"/>
    </row>
    <row r="570">
      <c r="C570" s="36" t="n"/>
      <c r="D570" s="36" t="n"/>
      <c r="E570" s="35" t="n"/>
      <c r="F570" s="45" t="n"/>
      <c r="G570" s="36" t="n"/>
      <c r="H570" s="30" t="n"/>
      <c r="I570" s="30" t="n"/>
      <c r="J570" s="31">
        <f>IF(H570="","",H570-I570)</f>
        <v/>
      </c>
      <c r="K570" s="43" t="n"/>
      <c r="L570" s="32">
        <f>IF(OR(K570="",$F570=""),"",DATE(YEAR(K570),MONTH(K570)+VLOOKUP($F570,'Membership Level'!$A$3:$B$15,2,FALSE),DAY(K570)))</f>
        <v/>
      </c>
      <c r="M570" s="36" t="n"/>
      <c r="N570" s="34">
        <f>IF($L570="","",DATE(YEAR($L570),MONTH($L570),DAY($L570)-$M570))</f>
        <v/>
      </c>
      <c r="O570" s="33">
        <f>IF($L570="","",IF(DAYS360(NOW(),$L570)&gt;=0,DAYS360(NOW(),$L570),""))</f>
        <v/>
      </c>
      <c r="P570" s="34">
        <f>IF(OR(H570="",H570=0,F570="",K570=""),"",I570/H570*VLOOKUP(F570,'Membership Level'!$A$3:$C$15,3,FALSE)+K570)</f>
        <v/>
      </c>
      <c r="Q570" s="36" t="n"/>
    </row>
    <row r="571">
      <c r="C571" s="36" t="n"/>
      <c r="D571" s="36" t="n"/>
      <c r="E571" s="67" t="n"/>
      <c r="F571" s="36" t="n"/>
      <c r="G571" s="36" t="n"/>
      <c r="H571" s="30" t="n"/>
      <c r="I571" s="30" t="n"/>
      <c r="J571" s="31">
        <f>IF(H571="","",H571-I571)</f>
        <v/>
      </c>
      <c r="K571" s="43" t="n"/>
      <c r="L571" s="32">
        <f>IF(OR(K571="",$F571=""),"",DATE(YEAR(K571),MONTH(K571)+VLOOKUP($F571,'Membership Level'!$A$3:$B$15,2,FALSE),DAY(K571)))</f>
        <v/>
      </c>
      <c r="M571" s="36" t="n"/>
      <c r="N571" s="34">
        <f>IF($L571="","",DATE(YEAR($L571),MONTH($L571),DAY($L571)-$M571))</f>
        <v/>
      </c>
      <c r="O571" s="33">
        <f>IF($L571="","",IF(DAYS360(NOW(),$L571)&gt;=0,DAYS360(NOW(),$L571),""))</f>
        <v/>
      </c>
      <c r="P571" s="34">
        <f>IF(OR(H571="",H571=0,F571="",K571=""),"",I571/H571*VLOOKUP(F571,'Membership Level'!$A$3:$C$15,3,FALSE)+K571)</f>
        <v/>
      </c>
      <c r="Q571" s="36" t="n"/>
    </row>
    <row r="572" customFormat="1" s="27">
      <c r="C572" s="45" t="n"/>
      <c r="D572" s="45" t="n"/>
      <c r="E572" s="66" t="n"/>
      <c r="F572" s="36" t="n"/>
      <c r="G572" s="45" t="n"/>
      <c r="H572" s="64" t="n"/>
      <c r="I572" s="64" t="n"/>
      <c r="J572" s="65">
        <f>IF(H572="","",H572-I572)</f>
        <v/>
      </c>
      <c r="K572" s="60" t="n"/>
      <c r="L572" s="60">
        <f>IF(OR(K572="",$F572=""),"",DATE(YEAR(K572),MONTH(K572)+VLOOKUP($F572,'Membership Level'!$A$3:$B$15,2,FALSE),DAY(K572)))</f>
        <v/>
      </c>
      <c r="M572" s="36" t="n"/>
      <c r="N572" s="46">
        <f>IF($L572="","",DATE(YEAR($L572),MONTH($L572),DAY($L572)-$M572))</f>
        <v/>
      </c>
      <c r="O572" s="45">
        <f>IF($L572="","",IF(DAYS360(NOW(),$L572)&gt;=0,DAYS360(NOW(),$L572),""))</f>
        <v/>
      </c>
      <c r="P572" s="46">
        <f>IF(OR(H572="",H572=0,F572="",K572=""),"",I572/H572*VLOOKUP(F572,'Membership Level'!$A$3:$C$15,3,FALSE)+K572)</f>
        <v/>
      </c>
      <c r="Q572" s="45" t="n"/>
    </row>
    <row r="573">
      <c r="C573" s="36" t="n"/>
      <c r="D573" s="36" t="n"/>
      <c r="E573" s="35" t="n"/>
      <c r="F573" s="36" t="n"/>
      <c r="G573" s="36" t="n"/>
      <c r="H573" s="30" t="n"/>
      <c r="I573" s="30" t="n"/>
      <c r="J573" s="31">
        <f>IF(H573="","",H573-I573)</f>
        <v/>
      </c>
      <c r="K573" s="43" t="n"/>
      <c r="L573" s="32">
        <f>IF(OR(K573="",$F573=""),"",DATE(YEAR(K573),MONTH(K573)+VLOOKUP($F573,'Membership Level'!$A$3:$B$15,2,FALSE),DAY(K573)))</f>
        <v/>
      </c>
      <c r="M573" s="36" t="n"/>
      <c r="N573" s="34">
        <f>IF($L573="","",DATE(YEAR($L573),MONTH($L573),DAY($L573)-$M573))</f>
        <v/>
      </c>
      <c r="O573" s="33">
        <f>IF($L573="","",IF(DAYS360(NOW(),$L573)&gt;=0,DAYS360(NOW(),$L573),""))</f>
        <v/>
      </c>
      <c r="P573" s="34">
        <f>IF(OR(H573="",H573=0,F573="",K573=""),"",I573/H573*VLOOKUP(F573,'Membership Level'!$A$3:$C$15,3,FALSE)+K573)</f>
        <v/>
      </c>
      <c r="Q573" s="36" t="n"/>
    </row>
    <row r="574">
      <c r="C574" s="36" t="n"/>
      <c r="D574" s="36" t="n"/>
      <c r="E574" s="35" t="n"/>
      <c r="F574" s="36" t="n"/>
      <c r="G574" s="36" t="n"/>
      <c r="H574" s="30" t="n"/>
      <c r="I574" s="30" t="n"/>
      <c r="J574" s="31">
        <f>IF(H574="","",H574-I574)</f>
        <v/>
      </c>
      <c r="K574" s="43" t="n"/>
      <c r="L574" s="32">
        <f>IF(OR(K574="",$F574=""),"",DATE(YEAR(K574),MONTH(K574)+VLOOKUP($F574,'Membership Level'!$A$3:$B$15,2,FALSE),DAY(K574)))</f>
        <v/>
      </c>
      <c r="M574" s="36" t="n"/>
      <c r="N574" s="34">
        <f>IF($L574="","",DATE(YEAR($L574),MONTH($L574),DAY($L574)-$M574))</f>
        <v/>
      </c>
      <c r="O574" s="33">
        <f>IF($L574="","",IF(DAYS360(NOW(),$L574)&gt;=0,DAYS360(NOW(),$L574),""))</f>
        <v/>
      </c>
      <c r="P574" s="34">
        <f>IF(OR(H574="",H574=0,F574="",K574=""),"",I574/H574*VLOOKUP(F574,'Membership Level'!$A$3:$C$15,3,FALSE)+K574)</f>
        <v/>
      </c>
      <c r="Q574" s="36" t="n"/>
    </row>
    <row r="575">
      <c r="C575" s="36" t="n"/>
      <c r="D575" s="36" t="n"/>
      <c r="E575" s="35" t="n"/>
      <c r="F575" s="36" t="n"/>
      <c r="G575" s="36" t="n"/>
      <c r="H575" s="30" t="n"/>
      <c r="I575" s="30" t="n"/>
      <c r="J575" s="31">
        <f>IF(H575="","",H575-I575)</f>
        <v/>
      </c>
      <c r="K575" s="43" t="n"/>
      <c r="L575" s="32">
        <f>IF(OR(K575="",$F575=""),"",DATE(YEAR(K575),MONTH(K575)+VLOOKUP($F575,'Membership Level'!$A$3:$B$15,2,FALSE),DAY(K575)))</f>
        <v/>
      </c>
      <c r="M575" s="36" t="n"/>
      <c r="N575" s="34">
        <f>IF($L575="","",DATE(YEAR($L575),MONTH($L575),DAY($L575)-$M575))</f>
        <v/>
      </c>
      <c r="O575" s="33">
        <f>IF($L575="","",IF(DAYS360(NOW(),$L575)&gt;=0,DAYS360(NOW(),$L575),""))</f>
        <v/>
      </c>
      <c r="P575" s="34">
        <f>IF(OR(H575="",H575=0,F575="",K575=""),"",I575/H575*VLOOKUP(F575,'Membership Level'!$A$3:$C$15,3,FALSE)+K575)</f>
        <v/>
      </c>
      <c r="Q575" s="36" t="n"/>
    </row>
    <row r="576">
      <c r="C576" s="36" t="n"/>
      <c r="D576" s="36" t="n"/>
      <c r="E576" s="35" t="n"/>
      <c r="F576" s="36" t="n"/>
      <c r="G576" s="36" t="n"/>
      <c r="H576" s="30" t="n"/>
      <c r="I576" s="30" t="n"/>
      <c r="J576" s="31">
        <f>IF(H576="","",H576-I576)</f>
        <v/>
      </c>
      <c r="K576" s="43" t="n"/>
      <c r="L576" s="32">
        <f>IF(OR(K576="",$F576=""),"",DATE(YEAR(K576),MONTH(K576)+VLOOKUP($F576,'Membership Level'!$A$3:$B$15,2,FALSE),DAY(K576)))</f>
        <v/>
      </c>
      <c r="M576" s="36" t="n"/>
      <c r="N576" s="34">
        <f>IF($L576="","",DATE(YEAR($L576),MONTH($L576),DAY($L576)-$M576))</f>
        <v/>
      </c>
      <c r="O576" s="33">
        <f>IF($L576="","",IF(DAYS360(NOW(),$L576)&gt;=0,DAYS360(NOW(),$L576),""))</f>
        <v/>
      </c>
      <c r="P576" s="34">
        <f>IF(OR(H576="",H576=0,F576="",K576=""),"",I576/H576*VLOOKUP(F576,'Membership Level'!$A$3:$C$15,3,FALSE)+K576)</f>
        <v/>
      </c>
      <c r="Q576" s="36" t="n"/>
    </row>
    <row r="577">
      <c r="C577" s="36" t="n"/>
      <c r="D577" s="36" t="n"/>
      <c r="E577" s="35" t="n"/>
      <c r="F577" s="36" t="n"/>
      <c r="G577" s="36" t="n"/>
      <c r="H577" s="30" t="n"/>
      <c r="I577" s="30" t="n"/>
      <c r="J577" s="31">
        <f>IF(H577="","",H577-I577)</f>
        <v/>
      </c>
      <c r="K577" s="43" t="n"/>
      <c r="L577" s="32">
        <f>IF(OR(K577="",$F577=""),"",DATE(YEAR(K577),MONTH(K577)+VLOOKUP($F577,'Membership Level'!$A$3:$B$15,2,FALSE),DAY(K577)))</f>
        <v/>
      </c>
      <c r="M577" s="36" t="n"/>
      <c r="N577" s="34">
        <f>IF($L577="","",DATE(YEAR($L577),MONTH($L577),DAY($L577)-$M577))</f>
        <v/>
      </c>
      <c r="O577" s="33">
        <f>IF($L577="","",IF(DAYS360(NOW(),$L577)&gt;=0,DAYS360(NOW(),$L577),""))</f>
        <v/>
      </c>
      <c r="P577" s="34">
        <f>IF(OR(H577="",H577=0,F577="",K577=""),"",I577/H577*VLOOKUP(F577,'Membership Level'!$A$3:$C$15,3,FALSE)+K577)</f>
        <v/>
      </c>
      <c r="Q577" s="36" t="n"/>
    </row>
    <row r="578">
      <c r="C578" s="36" t="n"/>
      <c r="D578" s="36" t="n"/>
      <c r="E578" s="35" t="n"/>
      <c r="F578" s="36" t="n"/>
      <c r="G578" s="36" t="n"/>
      <c r="H578" s="30" t="n"/>
      <c r="I578" s="30" t="n"/>
      <c r="J578" s="31">
        <f>IF(H578="","",H578-I578)</f>
        <v/>
      </c>
      <c r="K578" s="43" t="n"/>
      <c r="L578" s="32">
        <f>IF(OR(K578="",$F578=""),"",DATE(YEAR(K578),MONTH(K578)+VLOOKUP($F578,'Membership Level'!$A$3:$B$15,2,FALSE),DAY(K578)))</f>
        <v/>
      </c>
      <c r="M578" s="36" t="n"/>
      <c r="N578" s="34">
        <f>IF($L578="","",DATE(YEAR($L578),MONTH($L578),DAY($L578)-$M578))</f>
        <v/>
      </c>
      <c r="O578" s="33">
        <f>IF($L578="","",IF(DAYS360(NOW(),$L578)&gt;=0,DAYS360(NOW(),$L578),""))</f>
        <v/>
      </c>
      <c r="P578" s="34">
        <f>IF(OR(H578="",H578=0,F578="",K578=""),"",I578/H578*VLOOKUP(F578,'Membership Level'!$A$3:$C$15,3,FALSE)+K578)</f>
        <v/>
      </c>
      <c r="Q578" s="36" t="n"/>
    </row>
    <row r="579">
      <c r="C579" s="36" t="n"/>
      <c r="D579" s="36" t="n"/>
      <c r="E579" s="35" t="n"/>
      <c r="F579" s="36" t="n"/>
      <c r="G579" s="36" t="n"/>
      <c r="H579" s="30" t="n"/>
      <c r="I579" s="30" t="n"/>
      <c r="J579" s="31">
        <f>IF(H579="","",H579-I579)</f>
        <v/>
      </c>
      <c r="K579" s="43" t="n"/>
      <c r="L579" s="32">
        <f>IF(OR(K579="",$F579=""),"",DATE(YEAR(K579),MONTH(K579)+VLOOKUP($F579,'Membership Level'!$A$3:$B$15,2,FALSE),DAY(K579)))</f>
        <v/>
      </c>
      <c r="M579" s="36" t="n"/>
      <c r="N579" s="34">
        <f>IF($L579="","",DATE(YEAR($L579),MONTH($L579),DAY($L579)-$M579))</f>
        <v/>
      </c>
      <c r="O579" s="33">
        <f>IF($L579="","",IF(DAYS360(NOW(),$L579)&gt;=0,DAYS360(NOW(),$L579),""))</f>
        <v/>
      </c>
      <c r="P579" s="34">
        <f>IF(OR(H579="",H579=0,F579="",K579=""),"",I579/H579*VLOOKUP(F579,'Membership Level'!$A$3:$C$15,3,FALSE)+K579)</f>
        <v/>
      </c>
      <c r="Q579" s="36" t="n"/>
    </row>
    <row r="580">
      <c r="C580" s="36" t="n"/>
      <c r="D580" s="36" t="n"/>
      <c r="E580" s="35" t="n"/>
      <c r="F580" s="36" t="n"/>
      <c r="G580" s="36" t="n"/>
      <c r="H580" s="30" t="n"/>
      <c r="I580" s="30" t="n"/>
      <c r="J580" s="31">
        <f>IF(H580="","",H580-I580)</f>
        <v/>
      </c>
      <c r="K580" s="43" t="n"/>
      <c r="L580" s="32">
        <f>IF(OR(K580="",$F580=""),"",DATE(YEAR(K580),MONTH(K580)+VLOOKUP($F580,'Membership Level'!$A$3:$B$15,2,FALSE),DAY(K580)))</f>
        <v/>
      </c>
      <c r="M580" s="36" t="n"/>
      <c r="N580" s="34">
        <f>IF($L580="","",DATE(YEAR($L580),MONTH($L580),DAY($L580)-$M580))</f>
        <v/>
      </c>
      <c r="O580" s="33">
        <f>IF($L580="","",IF(DAYS360(NOW(),$L580)&gt;=0,DAYS360(NOW(),$L580),""))</f>
        <v/>
      </c>
      <c r="P580" s="34">
        <f>IF(OR(H580="",H580=0,F580="",K580=""),"",I580/H580*VLOOKUP(F580,'Membership Level'!$A$3:$C$15,3,FALSE)+K580)</f>
        <v/>
      </c>
      <c r="Q580" s="36" t="n"/>
    </row>
    <row r="581">
      <c r="C581" s="36" t="n"/>
      <c r="D581" s="36" t="n"/>
      <c r="E581" s="66" t="n"/>
      <c r="F581" s="36" t="n"/>
      <c r="G581" s="36" t="n"/>
      <c r="H581" s="30" t="n"/>
      <c r="I581" s="30" t="n"/>
      <c r="J581" s="31">
        <f>IF(H581="","",H581-I581)</f>
        <v/>
      </c>
      <c r="K581" s="43" t="n"/>
      <c r="L581" s="32">
        <f>IF(OR(K581="",$F581=""),"",DATE(YEAR(K581),MONTH(K581)+VLOOKUP($F581,'Membership Level'!$A$3:$B$15,2,FALSE),DAY(K581)))</f>
        <v/>
      </c>
      <c r="M581" s="36" t="n"/>
      <c r="N581" s="34">
        <f>IF($L581="","",DATE(YEAR($L581),MONTH($L581),DAY($L581)-$M581))</f>
        <v/>
      </c>
      <c r="O581" s="33">
        <f>IF($L581="","",IF(DAYS360(NOW(),$L581)&gt;=0,DAYS360(NOW(),$L581),""))</f>
        <v/>
      </c>
      <c r="P581" s="34">
        <f>IF(OR(H581="",H581=0,F581="",K581=""),"",I581/H581*VLOOKUP(F581,'Membership Level'!$A$3:$C$15,3,FALSE)+K581)</f>
        <v/>
      </c>
      <c r="Q581" s="36" t="n"/>
    </row>
    <row r="582">
      <c r="C582" s="36" t="n"/>
      <c r="D582" s="36" t="n"/>
      <c r="E582" s="35" t="n"/>
      <c r="F582" s="36" t="n"/>
      <c r="G582" s="36" t="n"/>
      <c r="H582" s="30" t="n"/>
      <c r="I582" s="30" t="n"/>
      <c r="J582" s="31">
        <f>IF(H582="","",H582-I582)</f>
        <v/>
      </c>
      <c r="K582" s="43" t="n"/>
      <c r="L582" s="32">
        <f>IF(OR(K582="",$F582=""),"",DATE(YEAR(K582),MONTH(K582)+VLOOKUP($F582,'Membership Level'!$A$3:$B$15,2,FALSE),DAY(K582)))</f>
        <v/>
      </c>
      <c r="M582" s="36" t="n"/>
      <c r="N582" s="34">
        <f>IF($L582="","",DATE(YEAR($L582),MONTH($L582),DAY($L582)-$M582))</f>
        <v/>
      </c>
      <c r="O582" s="33">
        <f>IF($L582="","",IF(DAYS360(NOW(),$L582)&gt;=0,DAYS360(NOW(),$L582),""))</f>
        <v/>
      </c>
      <c r="P582" s="34">
        <f>IF(OR(H582="",H582=0,F582="",K582=""),"",I582/H582*VLOOKUP(F582,'Membership Level'!$A$3:$C$15,3,FALSE)+K582)</f>
        <v/>
      </c>
      <c r="Q582" s="36" t="n"/>
    </row>
    <row r="583" customFormat="1" s="68">
      <c r="C583" s="36" t="n"/>
      <c r="D583" s="36" t="n"/>
      <c r="E583" s="35" t="n"/>
      <c r="F583" s="36" t="n"/>
      <c r="G583" s="36" t="n"/>
      <c r="H583" s="30" t="n"/>
      <c r="I583" s="30" t="n"/>
      <c r="J583" s="31">
        <f>IF(H583="","",H583-I583)</f>
        <v/>
      </c>
      <c r="K583" s="43" t="n"/>
      <c r="L583" s="32">
        <f>IF(OR(K583="",$F583=""),"",DATE(YEAR(K583),MONTH(K583)+VLOOKUP($F583,'Membership Level'!$A$3:$B$15,2,FALSE),DAY(K583)))</f>
        <v/>
      </c>
      <c r="M583" s="36" t="n"/>
      <c r="N583" s="34">
        <f>IF($L583="","",DATE(YEAR($L583),MONTH($L583),DAY($L583)-$M583))</f>
        <v/>
      </c>
      <c r="O583" s="33">
        <f>IF($L583="","",IF(DAYS360(NOW(),$L583)&gt;=0,DAYS360(NOW(),$L583),""))</f>
        <v/>
      </c>
      <c r="P583" s="34">
        <f>IF(OR(H583="",H583=0,F583="",K583=""),"",I583/H583*VLOOKUP(F583,'Membership Level'!$A$3:$C$15,3,FALSE)+K583)</f>
        <v/>
      </c>
      <c r="Q583" s="36" t="n"/>
    </row>
    <row r="584">
      <c r="C584" s="36" t="n"/>
      <c r="D584" s="36" t="n"/>
      <c r="E584" s="35" t="n"/>
      <c r="F584" s="36" t="n"/>
      <c r="G584" s="36" t="n"/>
      <c r="H584" s="30" t="n"/>
      <c r="I584" s="30" t="n"/>
      <c r="J584" s="31">
        <f>IF(H584="","",H584-I584)</f>
        <v/>
      </c>
      <c r="K584" s="43" t="n"/>
      <c r="L584" s="32">
        <f>IF(OR(K584="",$F584=""),"",DATE(YEAR(K584),MONTH(K584)+VLOOKUP($F584,'Membership Level'!$A$3:$B$15,2,FALSE),DAY(K584)))</f>
        <v/>
      </c>
      <c r="M584" s="36" t="n"/>
      <c r="N584" s="34">
        <f>IF($L584="","",DATE(YEAR($L584),MONTH($L584),DAY($L584)-$M584))</f>
        <v/>
      </c>
      <c r="O584" s="33">
        <f>IF($L584="","",IF(DAYS360(NOW(),$L584)&gt;=0,DAYS360(NOW(),$L584),""))</f>
        <v/>
      </c>
      <c r="P584" s="34">
        <f>IF(OR(H584="",H584=0,F584="",K584=""),"",I584/H584*VLOOKUP(F584,'Membership Level'!$A$3:$C$15,3,FALSE)+K584)</f>
        <v/>
      </c>
      <c r="Q584" s="36" t="n"/>
    </row>
    <row r="585">
      <c r="C585" s="36" t="n"/>
      <c r="D585" s="36" t="n"/>
      <c r="E585" s="36" t="n"/>
      <c r="F585" s="36" t="n"/>
      <c r="G585" s="36" t="n"/>
      <c r="H585" s="30" t="n"/>
      <c r="I585" s="30" t="n"/>
      <c r="J585" s="31">
        <f>IF(H585="","",H585-I585)</f>
        <v/>
      </c>
      <c r="K585" s="43" t="n"/>
      <c r="L585" s="32">
        <f>IF(OR(K585="",$F585=""),"",DATE(YEAR(K585),MONTH(K585)+VLOOKUP($F585,'Membership Level'!$A$3:$B$15,2,FALSE),DAY(K585)))</f>
        <v/>
      </c>
      <c r="M585" s="36" t="n"/>
      <c r="N585" s="34">
        <f>IF($L585="","",DATE(YEAR($L585),MONTH($L585),DAY($L585)-$M585))</f>
        <v/>
      </c>
      <c r="O585" s="33">
        <f>IF($L585="","",IF(DAYS360(NOW(),$L585)&gt;=0,DAYS360(NOW(),$L585),""))</f>
        <v/>
      </c>
      <c r="P585" s="34">
        <f>IF(OR(H585="",H585=0,F585="",K585=""),"",I585/H585*VLOOKUP(F585,'Membership Level'!$A$3:$C$15,3,FALSE)+K585)</f>
        <v/>
      </c>
      <c r="Q585" s="36" t="n"/>
    </row>
    <row r="586">
      <c r="C586" s="36" t="n"/>
      <c r="D586" s="36" t="n"/>
      <c r="E586" s="35" t="n"/>
      <c r="F586" s="36" t="n"/>
      <c r="G586" s="36" t="n"/>
      <c r="H586" s="30" t="n"/>
      <c r="I586" s="30" t="n"/>
      <c r="J586" s="31">
        <f>IF(H586="","",H586-I586)</f>
        <v/>
      </c>
      <c r="K586" s="43" t="n"/>
      <c r="L586" s="32">
        <f>IF(OR(K586="",$F586=""),"",DATE(YEAR(K586),MONTH(K586)+VLOOKUP($F586,'Membership Level'!$A$3:$B$15,2,FALSE),DAY(K586)))</f>
        <v/>
      </c>
      <c r="M586" s="36" t="n"/>
      <c r="N586" s="34">
        <f>IF($L586="","",DATE(YEAR($L586),MONTH($L586),DAY($L586)-$M586))</f>
        <v/>
      </c>
      <c r="O586" s="33">
        <f>IF($L586="","",IF(DAYS360(NOW(),$L586)&gt;=0,DAYS360(NOW(),$L586),""))</f>
        <v/>
      </c>
      <c r="P586" s="34">
        <f>IF(OR(H586="",H586=0,F586="",K586=""),"",I586/H586*VLOOKUP(F586,'Membership Level'!$A$3:$C$15,3,FALSE)+K586)</f>
        <v/>
      </c>
      <c r="Q586" s="36" t="n"/>
    </row>
    <row r="587">
      <c r="C587" s="33" t="n"/>
      <c r="D587" s="33" t="n"/>
      <c r="E587" s="35" t="n"/>
      <c r="F587" s="36" t="n"/>
      <c r="G587" s="36" t="n"/>
      <c r="H587" s="30" t="n"/>
      <c r="I587" s="30" t="n"/>
      <c r="J587" s="31">
        <f>IF(H587="","",H587-I587)</f>
        <v/>
      </c>
      <c r="K587" s="43" t="n"/>
      <c r="L587" s="32">
        <f>IF(OR(K587="",$F587=""),"",DATE(YEAR(K587),MONTH(K587)+VLOOKUP($F587,'Membership Level'!$A$3:$B$15,2,FALSE),DAY(K587)))</f>
        <v/>
      </c>
      <c r="M587" s="36" t="n"/>
      <c r="N587" s="34">
        <f>IF($L587="","",DATE(YEAR($L587),MONTH($L587),DAY($L587)-$M587))</f>
        <v/>
      </c>
      <c r="O587" s="33">
        <f>IF($L587="","",IF(DAYS360(NOW(),$L587)&gt;=0,DAYS360(NOW(),$L587),""))</f>
        <v/>
      </c>
      <c r="P587" s="34">
        <f>IF(OR(H587="",H587=0,F587="",K587=""),"",I587/H587*VLOOKUP(F587,'Membership Level'!$A$3:$C$15,3,FALSE)+K587)</f>
        <v/>
      </c>
      <c r="Q587" s="36" t="n"/>
    </row>
    <row r="588">
      <c r="C588" s="33" t="n"/>
      <c r="D588" s="33" t="n"/>
      <c r="E588" s="35" t="n"/>
      <c r="F588" s="36" t="n"/>
      <c r="G588" s="36" t="n"/>
      <c r="H588" s="30" t="n"/>
      <c r="I588" s="30" t="n"/>
      <c r="J588" s="31">
        <f>IF(H588="","",H588-I588)</f>
        <v/>
      </c>
      <c r="K588" s="43" t="n"/>
      <c r="L588" s="32">
        <f>IF(OR(K588="",$F588=""),"",DATE(YEAR(K588),MONTH(K588)+VLOOKUP($F588,'Membership Level'!$A$3:$B$15,2,FALSE),DAY(K588)))</f>
        <v/>
      </c>
      <c r="M588" s="36" t="n"/>
      <c r="N588" s="34">
        <f>IF($L588="","",DATE(YEAR($L588),MONTH($L588),DAY($L588)-$M588))</f>
        <v/>
      </c>
      <c r="O588" s="33">
        <f>IF($L588="","",IF(DAYS360(NOW(),$L588)&gt;=0,DAYS360(NOW(),$L588),""))</f>
        <v/>
      </c>
      <c r="P588" s="34">
        <f>IF(OR(H588="",H588=0,F588="",K588=""),"",I588/H588*VLOOKUP(F588,'Membership Level'!$A$3:$C$15,3,FALSE)+K588)</f>
        <v/>
      </c>
      <c r="Q588" s="36" t="n"/>
    </row>
    <row r="589">
      <c r="C589" s="36" t="n"/>
      <c r="D589" s="36" t="n"/>
      <c r="E589" s="35" t="n"/>
      <c r="F589" s="36" t="n"/>
      <c r="G589" s="36" t="n"/>
      <c r="H589" s="30" t="n"/>
      <c r="I589" s="30" t="n"/>
      <c r="J589" s="31">
        <f>IF(H589="","",H589-I589)</f>
        <v/>
      </c>
      <c r="K589" s="43" t="n"/>
      <c r="L589" s="32">
        <f>IF(OR(K589="",$F589=""),"",DATE(YEAR(K589),MONTH(K589)+VLOOKUP($F589,'Membership Level'!$A$3:$B$15,2,FALSE),DAY(K589)))</f>
        <v/>
      </c>
      <c r="M589" s="36" t="n"/>
      <c r="N589" s="34">
        <f>IF($L589="","",DATE(YEAR($L589),MONTH($L589),DAY($L589)-$M589))</f>
        <v/>
      </c>
      <c r="O589" s="33">
        <f>IF($L589="","",IF(DAYS360(NOW(),$L589)&gt;=0,DAYS360(NOW(),$L589),""))</f>
        <v/>
      </c>
      <c r="P589" s="34">
        <f>IF(OR(H589="",H589=0,F589="",K589=""),"",I589/H589*VLOOKUP(F589,'Membership Level'!$A$3:$C$15,3,FALSE)+K589)</f>
        <v/>
      </c>
      <c r="Q589" s="36" t="n"/>
    </row>
    <row r="590">
      <c r="C590" s="36" t="n"/>
      <c r="D590" s="36" t="n"/>
      <c r="E590" s="35" t="n"/>
      <c r="F590" s="36" t="n"/>
      <c r="G590" s="36" t="n"/>
      <c r="H590" s="30" t="n"/>
      <c r="I590" s="30" t="n"/>
      <c r="J590" s="31">
        <f>IF(H590="","",H590-I590)</f>
        <v/>
      </c>
      <c r="K590" s="43" t="n"/>
      <c r="L590" s="32">
        <f>IF(OR(K590="",$F590=""),"",DATE(YEAR(K590),MONTH(K590)+VLOOKUP($F590,'Membership Level'!$A$3:$B$15,2,FALSE),DAY(K590)))</f>
        <v/>
      </c>
      <c r="M590" s="36" t="n"/>
      <c r="N590" s="34">
        <f>IF($L590="","",DATE(YEAR($L590),MONTH($L590),DAY($L590)-$M590))</f>
        <v/>
      </c>
      <c r="O590" s="33">
        <f>IF($L590="","",IF(DAYS360(NOW(),$L590)&gt;=0,DAYS360(NOW(),$L590),""))</f>
        <v/>
      </c>
      <c r="P590" s="34">
        <f>IF(OR(H590="",H590=0,F590="",K590=""),"",I590/H590*VLOOKUP(F590,'Membership Level'!$A$3:$C$15,3,FALSE)+K590)</f>
        <v/>
      </c>
      <c r="Q590" s="36" t="n"/>
    </row>
    <row r="591">
      <c r="C591" s="36" t="n"/>
      <c r="D591" s="36" t="n"/>
      <c r="E591" s="35" t="n"/>
      <c r="F591" s="36" t="n"/>
      <c r="G591" s="36" t="n"/>
      <c r="H591" s="30" t="n"/>
      <c r="I591" s="30" t="n"/>
      <c r="J591" s="31">
        <f>IF(H591="","",H591-I591)</f>
        <v/>
      </c>
      <c r="K591" s="43" t="n"/>
      <c r="L591" s="32">
        <f>IF(OR(K591="",$F591=""),"",DATE(YEAR(K591),MONTH(K591)+VLOOKUP($F591,'Membership Level'!$A$3:$B$15,2,FALSE),DAY(K591)))</f>
        <v/>
      </c>
      <c r="M591" s="36" t="n"/>
      <c r="N591" s="34">
        <f>IF($L591="","",DATE(YEAR($L591),MONTH($L591),DAY($L591)-$M591))</f>
        <v/>
      </c>
      <c r="O591" s="33">
        <f>IF($L591="","",IF(DAYS360(NOW(),$L591)&gt;=0,DAYS360(NOW(),$L591),""))</f>
        <v/>
      </c>
      <c r="P591" s="34">
        <f>IF(OR(H591="",H591=0,F591="",K591=""),"",I591/H591*VLOOKUP(F591,'Membership Level'!$A$3:$C$15,3,FALSE)+K591)</f>
        <v/>
      </c>
      <c r="Q591" s="36" t="n"/>
    </row>
    <row r="592">
      <c r="C592" s="36" t="n"/>
      <c r="D592" s="36" t="n"/>
      <c r="E592" s="35" t="n"/>
      <c r="F592" s="36" t="n"/>
      <c r="G592" s="36" t="n"/>
      <c r="H592" s="30" t="n"/>
      <c r="I592" s="30" t="n"/>
      <c r="J592" s="31">
        <f>IF(H592="","",H592-I592)</f>
        <v/>
      </c>
      <c r="K592" s="43" t="n"/>
      <c r="L592" s="32">
        <f>IF(OR(K592="",$F592=""),"",DATE(YEAR(K592),MONTH(K592)+VLOOKUP($F592,'Membership Level'!$A$3:$B$15,2,FALSE),DAY(K592)))</f>
        <v/>
      </c>
      <c r="M592" s="36" t="n"/>
      <c r="N592" s="34">
        <f>IF($L592="","",DATE(YEAR($L592),MONTH($L592),DAY($L592)-$M592))</f>
        <v/>
      </c>
      <c r="O592" s="33">
        <f>IF($L592="","",IF(DAYS360(NOW(),$L592)&gt;=0,DAYS360(NOW(),$L592),""))</f>
        <v/>
      </c>
      <c r="P592" s="34">
        <f>IF(OR(H592="",H592=0,F592="",K592=""),"",I592/H592*VLOOKUP(F592,'Membership Level'!$A$3:$C$15,3,FALSE)+K592)</f>
        <v/>
      </c>
      <c r="Q592" s="36" t="n"/>
    </row>
    <row r="593">
      <c r="C593" s="36" t="n"/>
      <c r="D593" s="36" t="n"/>
      <c r="E593" s="36" t="n"/>
      <c r="F593" s="36" t="n"/>
      <c r="G593" s="36" t="n"/>
      <c r="H593" s="30" t="n"/>
      <c r="I593" s="30" t="n"/>
      <c r="J593" s="31">
        <f>IF(H593="","",H593-I593)</f>
        <v/>
      </c>
      <c r="K593" s="43" t="n"/>
      <c r="L593" s="32">
        <f>IF(OR(K593="",$F593=""),"",DATE(YEAR(K593),MONTH(K593)+VLOOKUP($F593,'Membership Level'!$A$3:$B$15,2,FALSE),DAY(K593)))</f>
        <v/>
      </c>
      <c r="M593" s="36" t="n"/>
      <c r="N593" s="34">
        <f>IF($L593="","",DATE(YEAR($L593),MONTH($L593),DAY($L593)-$M593))</f>
        <v/>
      </c>
      <c r="O593" s="33">
        <f>IF($L593="","",IF(DAYS360(NOW(),$L593)&gt;=0,DAYS360(NOW(),$L593),""))</f>
        <v/>
      </c>
      <c r="P593" s="34">
        <f>IF(OR(H593="",H593=0,F593="",K593=""),"",I593/H593*VLOOKUP(F593,'Membership Level'!$A$3:$C$15,3,FALSE)+K593)</f>
        <v/>
      </c>
      <c r="Q593" s="36" t="n"/>
    </row>
    <row r="594">
      <c r="C594" s="36" t="n"/>
      <c r="D594" s="36" t="n"/>
      <c r="E594" s="35" t="n"/>
      <c r="F594" s="36" t="n"/>
      <c r="G594" s="36" t="n"/>
      <c r="H594" s="30" t="n"/>
      <c r="I594" s="30" t="n"/>
      <c r="J594" s="31">
        <f>IF(H594="","",H594-I594)</f>
        <v/>
      </c>
      <c r="K594" s="43" t="n"/>
      <c r="L594" s="32">
        <f>IF(OR(K594="",$F594=""),"",DATE(YEAR(K594),MONTH(K594)+VLOOKUP($F594,'Membership Level'!$A$3:$B$15,2,FALSE),DAY(K594)))</f>
        <v/>
      </c>
      <c r="M594" s="36" t="n"/>
      <c r="N594" s="34">
        <f>IF($L594="","",DATE(YEAR($L594),MONTH($L594),DAY($L594)-$M594))</f>
        <v/>
      </c>
      <c r="O594" s="33">
        <f>IF($L594="","",IF(DAYS360(NOW(),$L594)&gt;=0,DAYS360(NOW(),$L594),""))</f>
        <v/>
      </c>
      <c r="P594" s="34">
        <f>IF(OR(H594="",H594=0,F594="",K594=""),"",I594/H594*VLOOKUP(F594,'Membership Level'!$A$3:$C$15,3,FALSE)+K594)</f>
        <v/>
      </c>
      <c r="Q594" s="36" t="n"/>
    </row>
    <row r="595">
      <c r="C595" s="36" t="n"/>
      <c r="D595" s="36" t="n"/>
      <c r="E595" s="35" t="n"/>
      <c r="F595" s="36" t="n"/>
      <c r="G595" s="36" t="n"/>
      <c r="H595" s="30" t="n"/>
      <c r="I595" s="30" t="n"/>
      <c r="J595" s="31">
        <f>IF(H595="","",H595-I595)</f>
        <v/>
      </c>
      <c r="K595" s="43" t="n"/>
      <c r="L595" s="32">
        <f>IF(OR(K595="",$F595=""),"",DATE(YEAR(K595),MONTH(K595)+VLOOKUP($F595,'Membership Level'!$A$3:$B$15,2,FALSE),DAY(K595)))</f>
        <v/>
      </c>
      <c r="M595" s="36" t="n"/>
      <c r="N595" s="34">
        <f>IF($L595="","",DATE(YEAR($L595),MONTH($L595),DAY($L595)-$M595))</f>
        <v/>
      </c>
      <c r="O595" s="33">
        <f>IF($L595="","",IF(DAYS360(NOW(),$L595)&gt;=0,DAYS360(NOW(),$L595),""))</f>
        <v/>
      </c>
      <c r="P595" s="34">
        <f>IF(OR(H595="",H595=0,F595="",K595=""),"",I595/H595*VLOOKUP(F595,'Membership Level'!$A$3:$C$15,3,FALSE)+K595)</f>
        <v/>
      </c>
      <c r="Q595" s="36" t="n"/>
    </row>
    <row r="596">
      <c r="C596" s="36" t="n"/>
      <c r="D596" s="36" t="n"/>
      <c r="E596" s="66" t="n"/>
      <c r="F596" s="36" t="n"/>
      <c r="G596" s="36" t="n"/>
      <c r="H596" s="30" t="n"/>
      <c r="I596" s="30" t="n"/>
      <c r="J596" s="31">
        <f>IF(H596="","",H596-I596)</f>
        <v/>
      </c>
      <c r="K596" s="43" t="n"/>
      <c r="L596" s="32">
        <f>IF(OR(K596="",$F596=""),"",DATE(YEAR(K596),MONTH(K596)+VLOOKUP($F596,'Membership Level'!$A$3:$B$15,2,FALSE),DAY(K596)))</f>
        <v/>
      </c>
      <c r="M596" s="36" t="n"/>
      <c r="N596" s="34">
        <f>IF($L596="","",DATE(YEAR($L596),MONTH($L596),DAY($L596)-$M596))</f>
        <v/>
      </c>
      <c r="O596" s="33">
        <f>IF($L596="","",IF(DAYS360(NOW(),$L596)&gt;=0,DAYS360(NOW(),$L596),""))</f>
        <v/>
      </c>
      <c r="P596" s="34">
        <f>IF(OR(H596="",H596=0,F596="",K596=""),"",I596/H596*VLOOKUP(F596,'Membership Level'!$A$3:$C$15,3,FALSE)+K596)</f>
        <v/>
      </c>
      <c r="Q596" s="36" t="n"/>
    </row>
    <row r="597">
      <c r="C597" s="36" t="n"/>
      <c r="D597" s="36" t="n"/>
      <c r="E597" s="35" t="n"/>
      <c r="F597" s="36" t="n"/>
      <c r="G597" s="36" t="n"/>
      <c r="H597" s="30" t="n"/>
      <c r="I597" s="30" t="n"/>
      <c r="J597" s="31">
        <f>IF(H597="","",H597-I597)</f>
        <v/>
      </c>
      <c r="K597" s="43" t="n"/>
      <c r="L597" s="32">
        <f>IF(OR(K597="",$F597=""),"",DATE(YEAR(K597),MONTH(K597)+VLOOKUP($F597,'Membership Level'!$A$3:$B$15,2,FALSE),DAY(K597)))</f>
        <v/>
      </c>
      <c r="M597" s="36" t="n"/>
      <c r="N597" s="34">
        <f>IF($L597="","",DATE(YEAR($L597),MONTH($L597),DAY($L597)-$M597))</f>
        <v/>
      </c>
      <c r="O597" s="33">
        <f>IF($L597="","",IF(DAYS360(NOW(),$L597)&gt;=0,DAYS360(NOW(),$L597),""))</f>
        <v/>
      </c>
      <c r="P597" s="34">
        <f>IF(OR(H597="",H597=0,F597="",K597=""),"",I597/H597*VLOOKUP(F597,'Membership Level'!$A$3:$C$15,3,FALSE)+K597)</f>
        <v/>
      </c>
      <c r="Q597" s="36" t="n"/>
    </row>
    <row r="598">
      <c r="C598" s="36" t="n"/>
      <c r="D598" s="36" t="n"/>
      <c r="E598" s="35" t="n"/>
      <c r="F598" s="36" t="n"/>
      <c r="G598" s="36" t="n"/>
      <c r="H598" s="30" t="n"/>
      <c r="I598" s="30" t="n"/>
      <c r="J598" s="31">
        <f>IF(H598="","",H598-I598)</f>
        <v/>
      </c>
      <c r="K598" s="43" t="n"/>
      <c r="L598" s="32">
        <f>IF(OR(K598="",$F598=""),"",DATE(YEAR(K598),MONTH(K598)+VLOOKUP($F598,'Membership Level'!$A$3:$B$15,2,FALSE),DAY(K598)))</f>
        <v/>
      </c>
      <c r="M598" s="36" t="n"/>
      <c r="N598" s="34">
        <f>IF($L598="","",DATE(YEAR($L598),MONTH($L598),DAY($L598)-$M598))</f>
        <v/>
      </c>
      <c r="O598" s="33">
        <f>IF($L598="","",IF(DAYS360(NOW(),$L598)&gt;=0,DAYS360(NOW(),$L598),""))</f>
        <v/>
      </c>
      <c r="P598" s="34">
        <f>IF(OR(H598="",H598=0,F598="",K598=""),"",I598/H598*VLOOKUP(F598,'Membership Level'!$A$3:$C$15,3,FALSE)+K598)</f>
        <v/>
      </c>
      <c r="Q598" s="36" t="n"/>
    </row>
    <row r="599">
      <c r="C599" s="36" t="n"/>
      <c r="D599" s="36" t="n"/>
      <c r="E599" s="66" t="n"/>
      <c r="F599" s="36" t="n"/>
      <c r="G599" s="36" t="n"/>
      <c r="H599" s="30" t="n"/>
      <c r="I599" s="30" t="n"/>
      <c r="J599" s="31">
        <f>IF(H599="","",H599-I599)</f>
        <v/>
      </c>
      <c r="K599" s="43" t="n"/>
      <c r="L599" s="32">
        <f>IF(OR(K599="",$F599=""),"",DATE(YEAR(K599),MONTH(K599)+VLOOKUP($F599,'Membership Level'!$A$3:$B$15,2,FALSE),DAY(K599)))</f>
        <v/>
      </c>
      <c r="M599" s="36" t="n"/>
      <c r="N599" s="34">
        <f>IF($L599="","",DATE(YEAR($L599),MONTH($L599),DAY($L599)-$M599))</f>
        <v/>
      </c>
      <c r="O599" s="33">
        <f>IF($L599="","",IF(DAYS360(NOW(),$L599)&gt;=0,DAYS360(NOW(),$L599),""))</f>
        <v/>
      </c>
      <c r="P599" s="34">
        <f>IF(OR(H599="",H599=0,F599="",K599=""),"",I599/H599*VLOOKUP(F599,'Membership Level'!$A$3:$C$15,3,FALSE)+K599)</f>
        <v/>
      </c>
      <c r="Q599" s="36" t="n"/>
    </row>
    <row r="600">
      <c r="C600" s="36" t="n"/>
      <c r="D600" s="36" t="n"/>
      <c r="E600" s="66" t="n"/>
      <c r="F600" s="36" t="n"/>
      <c r="G600" s="36" t="n"/>
      <c r="H600" s="30" t="n"/>
      <c r="I600" s="30" t="n"/>
      <c r="J600" s="31">
        <f>IF(H600="","",H600-I600)</f>
        <v/>
      </c>
      <c r="K600" s="43" t="n"/>
      <c r="L600" s="32">
        <f>IF(OR(K600="",$F600=""),"",DATE(YEAR(K600),MONTH(K600)+VLOOKUP($F600,'Membership Level'!$A$3:$B$15,2,FALSE),DAY(K600)))</f>
        <v/>
      </c>
      <c r="M600" s="36" t="n"/>
      <c r="N600" s="34">
        <f>IF($L600="","",DATE(YEAR($L600),MONTH($L600),DAY($L600)-$M600))</f>
        <v/>
      </c>
      <c r="O600" s="33">
        <f>IF($L600="","",IF(DAYS360(NOW(),$L600)&gt;=0,DAYS360(NOW(),$L600),""))</f>
        <v/>
      </c>
      <c r="P600" s="34">
        <f>IF(OR(H600="",H600=0,F600="",K600=""),"",I600/H600*VLOOKUP(F600,'Membership Level'!$A$3:$C$15,3,FALSE)+K600)</f>
        <v/>
      </c>
      <c r="Q600" s="36" t="inlineStr">
        <is>
          <t>wed</t>
        </is>
      </c>
    </row>
    <row r="601">
      <c r="C601" s="36" t="n"/>
      <c r="D601" s="36" t="n"/>
      <c r="E601" s="66" t="n"/>
      <c r="F601" s="36" t="n"/>
      <c r="G601" s="36" t="n"/>
      <c r="H601" s="30" t="n"/>
      <c r="I601" s="30" t="n"/>
      <c r="J601" s="31">
        <f>IF(H601="","",H601-I601)</f>
        <v/>
      </c>
      <c r="K601" s="43" t="n"/>
      <c r="L601" s="32">
        <f>IF(OR(K601="",$F601=""),"",DATE(YEAR(K601),MONTH(K601)+VLOOKUP($F601,'Membership Level'!$A$3:$B$15,2,FALSE),DAY(K601)))</f>
        <v/>
      </c>
      <c r="M601" s="36" t="n"/>
      <c r="N601" s="34">
        <f>IF($L601="","",DATE(YEAR($L601),MONTH($L601),DAY($L601)-$M601))</f>
        <v/>
      </c>
      <c r="O601" s="33">
        <f>IF($L601="","",IF(DAYS360(NOW(),$L601)&gt;=0,DAYS360(NOW(),$L601),""))</f>
        <v/>
      </c>
      <c r="P601" s="34">
        <f>IF(OR(H601="",H601=0,F601="",K601=""),"",I601/H601*VLOOKUP(F601,'Membership Level'!$A$3:$C$15,3,FALSE)+K601)</f>
        <v/>
      </c>
      <c r="Q601" s="36" t="inlineStr">
        <is>
          <t>wed</t>
        </is>
      </c>
    </row>
    <row r="602">
      <c r="C602" s="36" t="n"/>
      <c r="D602" s="36" t="n"/>
      <c r="E602" s="66" t="n"/>
      <c r="F602" s="36" t="n"/>
      <c r="G602" s="36" t="n"/>
      <c r="H602" s="30" t="n"/>
      <c r="I602" s="30" t="n"/>
      <c r="J602" s="31">
        <f>IF(H602="","",H602-I602)</f>
        <v/>
      </c>
      <c r="K602" s="43" t="n"/>
      <c r="L602" s="32">
        <f>IF(OR(K602="",$F602=""),"",DATE(YEAR(K602),MONTH(K602)+VLOOKUP($F602,'Membership Level'!$A$3:$B$15,2,FALSE),DAY(K602)))</f>
        <v/>
      </c>
      <c r="M602" s="36" t="n"/>
      <c r="N602" s="34">
        <f>IF($L602="","",DATE(YEAR($L602),MONTH($L602),DAY($L602)-$M602))</f>
        <v/>
      </c>
      <c r="O602" s="33">
        <f>IF($L602="","",IF(DAYS360(NOW(),$L602)&gt;=0,DAYS360(NOW(),$L602),""))</f>
        <v/>
      </c>
      <c r="P602" s="34">
        <f>IF(OR(H602="",H602=0,F602="",K602=""),"",I602/H602*VLOOKUP(F602,'Membership Level'!$A$3:$C$15,3,FALSE)+K602)</f>
        <v/>
      </c>
      <c r="Q602" s="36" t="inlineStr">
        <is>
          <t>wed</t>
        </is>
      </c>
    </row>
    <row r="603">
      <c r="C603" s="36" t="n"/>
      <c r="D603" s="36" t="n"/>
      <c r="E603" s="35" t="n"/>
      <c r="F603" s="36" t="n"/>
      <c r="G603" s="36" t="n"/>
      <c r="H603" s="30" t="n"/>
      <c r="I603" s="30" t="n"/>
      <c r="J603" s="31">
        <f>IF(H603="","",H603-I603)</f>
        <v/>
      </c>
      <c r="K603" s="43" t="n"/>
      <c r="L603" s="32">
        <f>IF(OR(K603="",$F603=""),"",DATE(YEAR(K603),MONTH(K603)+VLOOKUP($F603,'Membership Level'!$A$3:$B$15,2,FALSE),DAY(K603)))</f>
        <v/>
      </c>
      <c r="M603" s="36" t="n"/>
      <c r="N603" s="34">
        <f>IF($L603="","",DATE(YEAR($L603),MONTH($L603),DAY($L603)-$M603))</f>
        <v/>
      </c>
      <c r="O603" s="33">
        <f>IF($L603="","",IF(DAYS360(NOW(),$L603)&gt;=0,DAYS360(NOW(),$L603),""))</f>
        <v/>
      </c>
      <c r="P603" s="34">
        <f>IF(OR(H603="",H603=0,F603="",K603=""),"",I603/H603*VLOOKUP(F603,'Membership Level'!$A$3:$C$15,3,FALSE)+K603)</f>
        <v/>
      </c>
      <c r="Q603" s="36" t="n"/>
    </row>
    <row r="604" customFormat="1" s="48">
      <c r="C604" s="36" t="n"/>
      <c r="D604" s="36" t="n"/>
      <c r="E604" s="35" t="n"/>
      <c r="F604" s="36" t="n"/>
      <c r="G604" s="36" t="n"/>
      <c r="H604" s="30" t="n"/>
      <c r="I604" s="30" t="n"/>
      <c r="J604" s="31">
        <f>IF(H604="","",H604-I604)</f>
        <v/>
      </c>
      <c r="K604" s="43" t="n"/>
      <c r="L604" s="32">
        <f>IF(OR(K604="",$F604=""),"",DATE(YEAR(K604),MONTH(K604)+VLOOKUP($F604,'Membership Level'!$A$3:$B$15,2,FALSE),DAY(K604)))</f>
        <v/>
      </c>
      <c r="M604" s="36" t="n"/>
      <c r="N604" s="34">
        <f>IF($L604="","",DATE(YEAR($L604),MONTH($L604),DAY($L604)-$M604))</f>
        <v/>
      </c>
      <c r="O604" s="33">
        <f>IF($L604="","",IF(DAYS360(NOW(),$L604)&gt;=0,DAYS360(NOW(),$L604),""))</f>
        <v/>
      </c>
      <c r="P604" s="34">
        <f>IF(OR(H604="",H604=0,F604="",K604=""),"",I604/H604*VLOOKUP(F604,'Membership Level'!$A$3:$C$15,3,FALSE)+K604)</f>
        <v/>
      </c>
      <c r="Q604" s="36" t="n"/>
    </row>
    <row r="605" customFormat="1" s="68">
      <c r="C605" s="36" t="n"/>
      <c r="D605" s="36" t="n"/>
      <c r="E605" s="35" t="n"/>
      <c r="F605" s="36" t="n"/>
      <c r="G605" s="36" t="n"/>
      <c r="H605" s="30" t="n"/>
      <c r="I605" s="30" t="n"/>
      <c r="J605" s="31">
        <f>IF(H605="","",H605-I605)</f>
        <v/>
      </c>
      <c r="K605" s="43" t="n"/>
      <c r="L605" s="32">
        <f>IF(OR(K605="",$F605=""),"",DATE(YEAR(K605),MONTH(K605)+VLOOKUP($F605,'Membership Level'!$A$3:$B$15,2,FALSE),DAY(K605)))</f>
        <v/>
      </c>
      <c r="M605" s="36" t="n"/>
      <c r="N605" s="34">
        <f>IF($L605="","",DATE(YEAR($L605),MONTH($L605),DAY($L605)-$M605))</f>
        <v/>
      </c>
      <c r="O605" s="33">
        <f>IF($L605="","",IF(DAYS360(NOW(),$L605)&gt;=0,DAYS360(NOW(),$L605),""))</f>
        <v/>
      </c>
      <c r="P605" s="34">
        <f>IF(OR(H605="",H605=0,F605="",K605=""),"",I605/H605*VLOOKUP(F605,'Membership Level'!$A$3:$C$15,3,FALSE)+K605)</f>
        <v/>
      </c>
      <c r="Q605" s="36" t="n"/>
    </row>
    <row r="606">
      <c r="C606" s="36" t="n"/>
      <c r="D606" s="36" t="n"/>
      <c r="E606" s="66" t="n"/>
      <c r="F606" s="36" t="n"/>
      <c r="G606" s="36" t="n"/>
      <c r="H606" s="30" t="n"/>
      <c r="I606" s="30" t="n"/>
      <c r="J606" s="31">
        <f>IF(H606="","",H606-I606)</f>
        <v/>
      </c>
      <c r="K606" s="43" t="n"/>
      <c r="L606" s="32">
        <f>IF(OR(K606="",$F606=""),"",DATE(YEAR(K606),MONTH(K606)+VLOOKUP($F606,'Membership Level'!$A$3:$B$15,2,FALSE),DAY(K606)))</f>
        <v/>
      </c>
      <c r="M606" s="36" t="n"/>
      <c r="N606" s="34">
        <f>IF($L606="","",DATE(YEAR($L606),MONTH($L606),DAY($L606)-$M606))</f>
        <v/>
      </c>
      <c r="O606" s="33">
        <f>IF($L606="","",IF(DAYS360(NOW(),$L606)&gt;=0,DAYS360(NOW(),$L606),""))</f>
        <v/>
      </c>
      <c r="P606" s="34">
        <f>IF(OR(H606="",H606=0,F606="",K606=""),"",I606/H606*VLOOKUP(F606,'Membership Level'!$A$3:$C$15,3,FALSE)+K606)</f>
        <v/>
      </c>
      <c r="Q606" s="36" t="n"/>
    </row>
    <row r="607" customFormat="1" s="63">
      <c r="C607" s="36" t="n"/>
      <c r="D607" s="36" t="n"/>
      <c r="E607" s="35" t="n"/>
      <c r="F607" s="36" t="n"/>
      <c r="G607" s="36" t="n"/>
      <c r="H607" s="30" t="n"/>
      <c r="I607" s="30" t="n"/>
      <c r="J607" s="31">
        <f>IF(H607="","",H607-I607)</f>
        <v/>
      </c>
      <c r="K607" s="43" t="n"/>
      <c r="L607" s="32">
        <f>IF(OR(K607="",$F607=""),"",DATE(YEAR(K607),MONTH(K607)+VLOOKUP($F607,'Membership Level'!$A$3:$B$15,2,FALSE),DAY(K607)))</f>
        <v/>
      </c>
      <c r="M607" s="36" t="n"/>
      <c r="N607" s="34">
        <f>IF($L607="","",DATE(YEAR($L607),MONTH($L607),DAY($L607)-$M607))</f>
        <v/>
      </c>
      <c r="O607" s="33">
        <f>IF($L607="","",IF(DAYS360(NOW(),$L607)&gt;=0,DAYS360(NOW(),$L607),""))</f>
        <v/>
      </c>
      <c r="P607" s="34">
        <f>IF(OR(H607="",H607=0,F607="",K607=""),"",I607/H607*VLOOKUP(F607,'Membership Level'!$A$3:$C$15,3,FALSE)+K607)</f>
        <v/>
      </c>
      <c r="Q607" s="36" t="n"/>
    </row>
    <row r="608">
      <c r="C608" s="36" t="n"/>
      <c r="D608" s="36" t="n"/>
      <c r="E608" s="35" t="n"/>
      <c r="F608" s="36" t="n"/>
      <c r="G608" s="36" t="n"/>
      <c r="H608" s="30" t="n"/>
      <c r="I608" s="30" t="n"/>
      <c r="J608" s="31">
        <f>IF(H608="","",H608-I608)</f>
        <v/>
      </c>
      <c r="K608" s="43" t="n"/>
      <c r="L608" s="32">
        <f>IF(OR(K608="",$F608=""),"",DATE(YEAR(K608),MONTH(K608)+VLOOKUP($F608,'Membership Level'!$A$3:$B$15,2,FALSE),DAY(K608)))</f>
        <v/>
      </c>
      <c r="M608" s="36" t="n"/>
      <c r="N608" s="34">
        <f>IF($L608="","",DATE(YEAR($L608),MONTH($L608),DAY($L608)-$M608))</f>
        <v/>
      </c>
      <c r="O608" s="33">
        <f>IF($L608="","",IF(DAYS360(NOW(),$L608)&gt;=0,DAYS360(NOW(),$L608),""))</f>
        <v/>
      </c>
      <c r="P608" s="34">
        <f>IF(OR(H608="",H608=0,F608="",K608=""),"",I608/H608*VLOOKUP(F608,'Membership Level'!$A$3:$C$15,3,FALSE)+K608)</f>
        <v/>
      </c>
      <c r="Q608" s="36" t="n"/>
    </row>
    <row r="609">
      <c r="C609" s="36" t="n"/>
      <c r="D609" s="36" t="n"/>
      <c r="E609" s="35" t="n"/>
      <c r="F609" s="36" t="n"/>
      <c r="G609" s="36" t="n"/>
      <c r="H609" s="30" t="n"/>
      <c r="I609" s="30" t="n"/>
      <c r="J609" s="31">
        <f>IF(H609="","",H609-I609)</f>
        <v/>
      </c>
      <c r="K609" s="43" t="n"/>
      <c r="L609" s="32">
        <f>IF(OR(K609="",$F609=""),"",DATE(YEAR(K609),MONTH(K609)+VLOOKUP($F609,'Membership Level'!$A$3:$B$15,2,FALSE),DAY(K609)))</f>
        <v/>
      </c>
      <c r="M609" s="36" t="n"/>
      <c r="N609" s="34">
        <f>IF($L609="","",DATE(YEAR($L609),MONTH($L609),DAY($L609)-$M609))</f>
        <v/>
      </c>
      <c r="O609" s="33">
        <f>IF($L609="","",IF(DAYS360(NOW(),$L609)&gt;=0,DAYS360(NOW(),$L609),""))</f>
        <v/>
      </c>
      <c r="P609" s="34">
        <f>IF(OR(H609="",H609=0,F609="",K609=""),"",I609/H609*VLOOKUP(F609,'Membership Level'!$A$3:$C$15,3,FALSE)+K609)</f>
        <v/>
      </c>
      <c r="Q609" s="36" t="n"/>
    </row>
    <row r="610">
      <c r="C610" s="36" t="n"/>
      <c r="D610" s="36" t="n"/>
      <c r="E610" s="35" t="n"/>
      <c r="F610" s="36" t="n"/>
      <c r="G610" s="36" t="n"/>
      <c r="H610" s="30" t="n"/>
      <c r="I610" s="30" t="n"/>
      <c r="J610" s="31">
        <f>IF(H610="","",H610-I610)</f>
        <v/>
      </c>
      <c r="K610" s="43" t="n"/>
      <c r="L610" s="32">
        <f>IF(OR(K610="",$F610=""),"",DATE(YEAR(K610),MONTH(K610)+VLOOKUP($F610,'Membership Level'!$A$3:$B$15,2,FALSE),DAY(K610)))</f>
        <v/>
      </c>
      <c r="M610" s="36" t="n"/>
      <c r="N610" s="34">
        <f>IF($L610="","",DATE(YEAR($L610),MONTH($L610),DAY($L610)-$M610))</f>
        <v/>
      </c>
      <c r="O610" s="33">
        <f>IF($L610="","",IF(DAYS360(NOW(),$L610)&gt;=0,DAYS360(NOW(),$L610),""))</f>
        <v/>
      </c>
      <c r="P610" s="34">
        <f>IF(OR(H610="",H610=0,F610="",K610=""),"",I610/H610*VLOOKUP(F610,'Membership Level'!$A$3:$C$15,3,FALSE)+K610)</f>
        <v/>
      </c>
      <c r="Q610" s="36" t="n"/>
    </row>
    <row r="611">
      <c r="C611" s="36" t="n"/>
      <c r="D611" s="36" t="n"/>
      <c r="E611" s="66" t="n"/>
      <c r="F611" s="36" t="n"/>
      <c r="G611" s="36" t="n"/>
      <c r="H611" s="30" t="n"/>
      <c r="I611" s="30" t="n"/>
      <c r="J611" s="31">
        <f>IF(H611="","",H611-I611)</f>
        <v/>
      </c>
      <c r="K611" s="43" t="n"/>
      <c r="L611" s="32">
        <f>IF(OR(K611="",$F611=""),"",DATE(YEAR(K611),MONTH(K611)+VLOOKUP($F611,'Membership Level'!$A$3:$B$15,2,FALSE),DAY(K611)))</f>
        <v/>
      </c>
      <c r="M611" s="36" t="n"/>
      <c r="N611" s="34">
        <f>IF($L611="","",DATE(YEAR($L611),MONTH($L611),DAY($L611)-$M611))</f>
        <v/>
      </c>
      <c r="O611" s="33">
        <f>IF($L611="","",IF(DAYS360(NOW(),$L611)&gt;=0,DAYS360(NOW(),$L611),""))</f>
        <v/>
      </c>
      <c r="P611" s="34">
        <f>IF(OR(H611="",H611=0,F611="",K611=""),"",I611/H611*VLOOKUP(F611,'Membership Level'!$A$3:$C$15,3,FALSE)+K611)</f>
        <v/>
      </c>
      <c r="Q611" s="36" t="n"/>
    </row>
    <row r="612">
      <c r="C612" s="36" t="n"/>
      <c r="D612" s="36" t="n"/>
      <c r="E612" s="35" t="n"/>
      <c r="F612" s="36" t="n"/>
      <c r="G612" s="36" t="n"/>
      <c r="H612" s="30" t="n"/>
      <c r="I612" s="30" t="n"/>
      <c r="J612" s="31">
        <f>IF(H612="","",H612-I612)</f>
        <v/>
      </c>
      <c r="K612" s="43" t="n"/>
      <c r="L612" s="32">
        <f>IF(OR(K612="",$F612=""),"",DATE(YEAR(K612),MONTH(K612)+VLOOKUP($F612,'Membership Level'!$A$3:$B$15,2,FALSE),DAY(K612)))</f>
        <v/>
      </c>
      <c r="M612" s="36" t="n"/>
      <c r="N612" s="34">
        <f>IF($L612="","",DATE(YEAR($L612),MONTH($L612),DAY($L612)-$M612))</f>
        <v/>
      </c>
      <c r="O612" s="33">
        <f>IF($L612="","",IF(DAYS360(NOW(),$L612)&gt;=0,DAYS360(NOW(),$L612),""))</f>
        <v/>
      </c>
      <c r="P612" s="34">
        <f>IF(OR(H612="",H612=0,F612="",K612=""),"",I612/H612*VLOOKUP(F612,'Membership Level'!$A$3:$C$15,3,FALSE)+K612)</f>
        <v/>
      </c>
      <c r="Q612" s="36" t="n"/>
    </row>
    <row r="613">
      <c r="C613" s="36" t="n"/>
      <c r="D613" s="36" t="n"/>
      <c r="E613" s="66" t="n"/>
      <c r="F613" s="36" t="n"/>
      <c r="G613" s="36" t="n"/>
      <c r="H613" s="30" t="n"/>
      <c r="I613" s="30" t="n"/>
      <c r="J613" s="31">
        <f>IF(H613="","",H613-I613)</f>
        <v/>
      </c>
      <c r="K613" s="43" t="n"/>
      <c r="L613" s="32">
        <f>IF(OR(K613="",$F613=""),"",DATE(YEAR(K613),MONTH(K613)+VLOOKUP($F613,'Membership Level'!$A$3:$B$15,2,FALSE),DAY(K613)))</f>
        <v/>
      </c>
      <c r="M613" s="36" t="n"/>
      <c r="N613" s="34">
        <f>IF($L613="","",DATE(YEAR($L613),MONTH($L613),DAY($L613)-$M613))</f>
        <v/>
      </c>
      <c r="O613" s="33">
        <f>IF($L613="","",IF(DAYS360(NOW(),$L613)&gt;=0,DAYS360(NOW(),$L613),""))</f>
        <v/>
      </c>
      <c r="P613" s="34">
        <f>IF(OR(H613="",H613=0,F613="",K613=""),"",I613/H613*VLOOKUP(F613,'Membership Level'!$A$3:$C$15,3,FALSE)+K613)</f>
        <v/>
      </c>
      <c r="Q613" s="36" t="n"/>
    </row>
    <row r="614">
      <c r="C614" s="36" t="n"/>
      <c r="D614" s="36" t="n"/>
      <c r="E614" s="35" t="n"/>
      <c r="F614" s="36" t="n"/>
      <c r="G614" s="36" t="n"/>
      <c r="H614" s="30" t="n"/>
      <c r="I614" s="30" t="n"/>
      <c r="J614" s="31">
        <f>IF(H614="","",H614-I614)</f>
        <v/>
      </c>
      <c r="K614" s="43" t="n"/>
      <c r="L614" s="32">
        <f>IF(OR(K614="",$F614=""),"",DATE(YEAR(K614),MONTH(K614)+VLOOKUP($F614,'Membership Level'!$A$3:$B$15,2,FALSE),DAY(K614)))</f>
        <v/>
      </c>
      <c r="M614" s="36" t="n"/>
      <c r="N614" s="34">
        <f>IF($L614="","",DATE(YEAR($L614),MONTH($L614),DAY($L614)-$M614))</f>
        <v/>
      </c>
      <c r="O614" s="33">
        <f>IF($L614="","",IF(DAYS360(NOW(),$L614)&gt;=0,DAYS360(NOW(),$L614),""))</f>
        <v/>
      </c>
      <c r="P614" s="34">
        <f>IF(OR(H614="",H614=0,F614="",K614=""),"",I614/H614*VLOOKUP(F614,'Membership Level'!$A$3:$C$15,3,FALSE)+K614)</f>
        <v/>
      </c>
      <c r="Q614" s="36" t="n"/>
    </row>
    <row r="615">
      <c r="C615" s="36" t="n"/>
      <c r="D615" s="36" t="n"/>
      <c r="E615" s="35" t="n"/>
      <c r="F615" s="36" t="n"/>
      <c r="G615" s="36" t="n"/>
      <c r="H615" s="30" t="n"/>
      <c r="I615" s="30" t="n"/>
      <c r="J615" s="31">
        <f>IF(H615="","",H615-I615)</f>
        <v/>
      </c>
      <c r="K615" s="43" t="n"/>
      <c r="L615" s="32">
        <f>IF(OR(K615="",$F615=""),"",DATE(YEAR(K615),MONTH(K615)+VLOOKUP($F615,'Membership Level'!$A$3:$B$15,2,FALSE),DAY(K615)))</f>
        <v/>
      </c>
      <c r="M615" s="36" t="n"/>
      <c r="N615" s="34">
        <f>IF($L615="","",DATE(YEAR($L615),MONTH($L615),DAY($L615)-$M615))</f>
        <v/>
      </c>
      <c r="O615" s="33">
        <f>IF($L615="","",IF(DAYS360(NOW(),$L615)&gt;=0,DAYS360(NOW(),$L615),""))</f>
        <v/>
      </c>
      <c r="P615" s="34">
        <f>IF(OR(H615="",H615=0,F615="",K615=""),"",I615/H615*VLOOKUP(F615,'Membership Level'!$A$3:$C$15,3,FALSE)+K615)</f>
        <v/>
      </c>
      <c r="Q615" s="36" t="n"/>
    </row>
    <row r="616">
      <c r="C616" s="36" t="n"/>
      <c r="D616" s="36" t="n"/>
      <c r="E616" s="35" t="n"/>
      <c r="F616" s="36" t="n"/>
      <c r="G616" s="36" t="n"/>
      <c r="H616" s="30" t="n"/>
      <c r="I616" s="30" t="n"/>
      <c r="J616" s="31">
        <f>IF(H616="","",H616-I616)</f>
        <v/>
      </c>
      <c r="K616" s="43" t="n"/>
      <c r="L616" s="32">
        <f>IF(OR(K616="",$F616=""),"",DATE(YEAR(K616),MONTH(K616)+VLOOKUP($F616,'Membership Level'!$A$3:$B$15,2,FALSE),DAY(K616)))</f>
        <v/>
      </c>
      <c r="M616" s="36" t="n"/>
      <c r="N616" s="34">
        <f>IF($L616="","",DATE(YEAR($L616),MONTH($L616),DAY($L616)-$M616))</f>
        <v/>
      </c>
      <c r="O616" s="33">
        <f>IF($L616="","",IF(DAYS360(NOW(),$L616)&gt;=0,DAYS360(NOW(),$L616),""))</f>
        <v/>
      </c>
      <c r="P616" s="34">
        <f>IF(OR(H616="",H616=0,F616="",K616=""),"",I616/H616*VLOOKUP(F616,'Membership Level'!$A$3:$C$15,3,FALSE)+K616)</f>
        <v/>
      </c>
      <c r="Q616" s="36" t="n"/>
    </row>
    <row r="617">
      <c r="C617" s="36" t="n"/>
      <c r="D617" s="36" t="n"/>
      <c r="E617" s="36" t="n"/>
      <c r="F617" s="36" t="n"/>
      <c r="G617" s="36" t="n"/>
      <c r="H617" s="30" t="n"/>
      <c r="I617" s="30" t="n"/>
      <c r="J617" s="31">
        <f>IF(H617="","",H617-I617)</f>
        <v/>
      </c>
      <c r="K617" s="43" t="n"/>
      <c r="L617" s="32">
        <f>IF(OR(K617="",$F617=""),"",DATE(YEAR(K617),MONTH(K617)+VLOOKUP($F617,'Membership Level'!$A$3:$B$15,2,FALSE),DAY(K617)))</f>
        <v/>
      </c>
      <c r="M617" s="36" t="n"/>
      <c r="N617" s="34">
        <f>IF($L617="","",DATE(YEAR($L617),MONTH($L617),DAY($L617)-$M617))</f>
        <v/>
      </c>
      <c r="O617" s="33">
        <f>IF($L617="","",IF(DAYS360(NOW(),$L617)&gt;=0,DAYS360(NOW(),$L617),""))</f>
        <v/>
      </c>
      <c r="P617" s="34">
        <f>IF(OR(H617="",H617=0,F617="",K617=""),"",I617/H617*VLOOKUP(F617,'Membership Level'!$A$3:$C$15,3,FALSE)+K617)</f>
        <v/>
      </c>
      <c r="Q617" s="36" t="n"/>
    </row>
    <row r="618">
      <c r="C618" s="36" t="n"/>
      <c r="D618" s="36" t="n"/>
      <c r="E618" s="66" t="n"/>
      <c r="F618" s="36" t="n"/>
      <c r="G618" s="36" t="n"/>
      <c r="H618" s="30" t="n"/>
      <c r="I618" s="30" t="n"/>
      <c r="J618" s="31">
        <f>IF(H618="","",H618-I618)</f>
        <v/>
      </c>
      <c r="K618" s="43" t="n"/>
      <c r="L618" s="32">
        <f>IF(OR(K618="",$F618=""),"",DATE(YEAR(K618),MONTH(K618)+VLOOKUP($F618,'Membership Level'!$A$3:$B$15,2,FALSE),DAY(K618)))</f>
        <v/>
      </c>
      <c r="M618" s="36" t="n"/>
      <c r="N618" s="34">
        <f>IF($L618="","",DATE(YEAR($L618),MONTH($L618),DAY($L618)-$M618))</f>
        <v/>
      </c>
      <c r="O618" s="33">
        <f>IF($L618="","",IF(DAYS360(NOW(),$L618)&gt;=0,DAYS360(NOW(),$L618),""))</f>
        <v/>
      </c>
      <c r="P618" s="34">
        <f>IF(OR(H618="",H618=0,F618="",K618=""),"",I618/H618*VLOOKUP(F618,'Membership Level'!$A$3:$C$15,3,FALSE)+K618)</f>
        <v/>
      </c>
      <c r="Q618" s="36" t="n"/>
    </row>
    <row r="619">
      <c r="C619" s="36" t="n"/>
      <c r="D619" s="36" t="n"/>
      <c r="E619" s="35" t="n"/>
      <c r="F619" s="36" t="n"/>
      <c r="G619" s="36" t="n"/>
      <c r="H619" s="30" t="n"/>
      <c r="I619" s="30" t="n"/>
      <c r="J619" s="31">
        <f>IF(H619="","",H619-I619)</f>
        <v/>
      </c>
      <c r="K619" s="43" t="n"/>
      <c r="L619" s="32">
        <f>IF(OR(K619="",$F619=""),"",DATE(YEAR(K619),MONTH(K619)+VLOOKUP($F619,'Membership Level'!$A$3:$B$15,2,FALSE),DAY(K619)))</f>
        <v/>
      </c>
      <c r="M619" s="36" t="n"/>
      <c r="N619" s="34">
        <f>IF($L619="","",DATE(YEAR($L619),MONTH($L619),DAY($L619)-$M619))</f>
        <v/>
      </c>
      <c r="O619" s="33">
        <f>IF($L619="","",IF(DAYS360(NOW(),$L619)&gt;=0,DAYS360(NOW(),$L619),""))</f>
        <v/>
      </c>
      <c r="P619" s="34">
        <f>IF(OR(H619="",H619=0,F619="",K619=""),"",I619/H619*VLOOKUP(F619,'Membership Level'!$A$3:$C$15,3,FALSE)+K619)</f>
        <v/>
      </c>
      <c r="Q619" s="36" t="n"/>
    </row>
    <row r="620">
      <c r="C620" s="36" t="n"/>
      <c r="D620" s="36" t="n"/>
      <c r="E620" s="35" t="n"/>
      <c r="F620" s="36" t="n"/>
      <c r="G620" s="36" t="n"/>
      <c r="H620" s="30" t="n"/>
      <c r="I620" s="30" t="n"/>
      <c r="J620" s="31">
        <f>IF(H620="","",H620-I620)</f>
        <v/>
      </c>
      <c r="K620" s="43" t="n"/>
      <c r="L620" s="32">
        <f>IF(OR(K620="",$F620=""),"",DATE(YEAR(K620),MONTH(K620)+VLOOKUP($F620,'Membership Level'!$A$3:$B$15,2,FALSE),DAY(K620)))</f>
        <v/>
      </c>
      <c r="M620" s="36" t="n"/>
      <c r="N620" s="34">
        <f>IF($L620="","",DATE(YEAR($L620),MONTH($L620),DAY($L620)-$M620))</f>
        <v/>
      </c>
      <c r="O620" s="33">
        <f>IF($L620="","",IF(DAYS360(NOW(),$L620)&gt;=0,DAYS360(NOW(),$L620),""))</f>
        <v/>
      </c>
      <c r="P620" s="34">
        <f>IF(OR(H620="",H620=0,F620="",K620=""),"",I620/H620*VLOOKUP(F620,'Membership Level'!$A$3:$C$15,3,FALSE)+K620)</f>
        <v/>
      </c>
      <c r="Q620" s="36" t="n"/>
    </row>
    <row r="621">
      <c r="C621" s="36" t="n"/>
      <c r="D621" s="36" t="n"/>
      <c r="E621" s="66" t="n"/>
      <c r="F621" s="36" t="n"/>
      <c r="G621" s="36" t="n"/>
      <c r="H621" s="30" t="n"/>
      <c r="I621" s="30" t="n"/>
      <c r="J621" s="31">
        <f>IF(H621="","",H621-I621)</f>
        <v/>
      </c>
      <c r="K621" s="43" t="n"/>
      <c r="L621" s="32">
        <f>IF(OR(K621="",$F621=""),"",DATE(YEAR(K621),MONTH(K621)+VLOOKUP($F621,'Membership Level'!$A$3:$B$15,2,FALSE),DAY(K621)))</f>
        <v/>
      </c>
      <c r="M621" s="36" t="n"/>
      <c r="N621" s="34">
        <f>IF($L621="","",DATE(YEAR($L621),MONTH($L621),DAY($L621)-$M621))</f>
        <v/>
      </c>
      <c r="O621" s="33">
        <f>IF($L621="","",IF(DAYS360(NOW(),$L621)&gt;=0,DAYS360(NOW(),$L621),""))</f>
        <v/>
      </c>
      <c r="P621" s="34">
        <f>IF(OR(H621="",H621=0,F621="",K621=""),"",I621/H621*VLOOKUP(F621,'Membership Level'!$A$3:$C$15,3,FALSE)+K621)</f>
        <v/>
      </c>
      <c r="Q621" s="36" t="n"/>
    </row>
    <row r="622">
      <c r="C622" s="36" t="n"/>
      <c r="D622" s="36" t="n"/>
      <c r="E622" s="66" t="n"/>
      <c r="F622" s="36" t="n"/>
      <c r="G622" s="36" t="n"/>
      <c r="H622" s="30" t="n"/>
      <c r="I622" s="30" t="n"/>
      <c r="J622" s="31">
        <f>IF(H622="","",H622-I622)</f>
        <v/>
      </c>
      <c r="K622" s="43" t="n"/>
      <c r="L622" s="32">
        <f>IF(OR(K622="",$F622=""),"",DATE(YEAR(K622),MONTH(K622)+VLOOKUP($F622,'Membership Level'!$A$3:$B$15,2,FALSE),DAY(K622)))</f>
        <v/>
      </c>
      <c r="M622" s="36" t="n"/>
      <c r="N622" s="34">
        <f>IF($L622="","",DATE(YEAR($L622),MONTH($L622),DAY($L622)-$M622))</f>
        <v/>
      </c>
      <c r="O622" s="33">
        <f>IF($L622="","",IF(DAYS360(NOW(),$L622)&gt;=0,DAYS360(NOW(),$L622),""))</f>
        <v/>
      </c>
      <c r="P622" s="34">
        <f>IF(OR(H622="",H622=0,F622="",K622=""),"",I622/H622*VLOOKUP(F622,'Membership Level'!$A$3:$C$15,3,FALSE)+K622)</f>
        <v/>
      </c>
      <c r="Q622" s="36" t="n"/>
    </row>
    <row r="623">
      <c r="C623" s="36" t="n"/>
      <c r="D623" s="36" t="n"/>
      <c r="E623" s="35" t="n"/>
      <c r="F623" s="36" t="n"/>
      <c r="G623" s="36" t="n"/>
      <c r="H623" s="30" t="n"/>
      <c r="I623" s="30" t="n"/>
      <c r="J623" s="31">
        <f>IF(H623="","",H623-I623)</f>
        <v/>
      </c>
      <c r="K623" s="43" t="n"/>
      <c r="L623" s="32">
        <f>IF(OR(K623="",$F623=""),"",DATE(YEAR(K623),MONTH(K623)+VLOOKUP($F623,'Membership Level'!$A$3:$B$15,2,FALSE),DAY(K623)))</f>
        <v/>
      </c>
      <c r="M623" s="36" t="n"/>
      <c r="N623" s="34">
        <f>IF($L623="","",DATE(YEAR($L623),MONTH($L623),DAY($L623)-$M623))</f>
        <v/>
      </c>
      <c r="O623" s="33">
        <f>IF($L623="","",IF(DAYS360(NOW(),$L623)&gt;=0,DAYS360(NOW(),$L623),""))</f>
        <v/>
      </c>
      <c r="P623" s="34">
        <f>IF(OR(H623="",H623=0,F623="",K623=""),"",I623/H623*VLOOKUP(F623,'Membership Level'!$A$3:$C$15,3,FALSE)+K623)</f>
        <v/>
      </c>
      <c r="Q623" s="36" t="n"/>
    </row>
    <row r="624">
      <c r="C624" s="36" t="n"/>
      <c r="D624" s="36" t="n"/>
      <c r="E624" s="35" t="n"/>
      <c r="F624" s="36" t="n"/>
      <c r="G624" s="36" t="n"/>
      <c r="H624" s="30" t="n"/>
      <c r="I624" s="30" t="n"/>
      <c r="J624" s="31">
        <f>IF(H624="","",H624-I624)</f>
        <v/>
      </c>
      <c r="K624" s="43" t="n"/>
      <c r="L624" s="32">
        <f>IF(OR(K624="",$F624=""),"",DATE(YEAR(K624),MONTH(K624)+VLOOKUP($F624,'Membership Level'!$A$3:$B$15,2,FALSE),DAY(K624)))</f>
        <v/>
      </c>
      <c r="M624" s="36" t="n"/>
      <c r="N624" s="34">
        <f>IF($L624="","",DATE(YEAR($L624),MONTH($L624),DAY($L624)-$M624))</f>
        <v/>
      </c>
      <c r="O624" s="33">
        <f>IF($L624="","",IF(DAYS360(NOW(),$L624)&gt;=0,DAYS360(NOW(),$L624),""))</f>
        <v/>
      </c>
      <c r="P624" s="34">
        <f>IF(OR(H624="",H624=0,F624="",K624=""),"",I624/H624*VLOOKUP(F624,'Membership Level'!$A$3:$C$15,3,FALSE)+K624)</f>
        <v/>
      </c>
      <c r="Q624" s="36" t="n"/>
    </row>
    <row r="625">
      <c r="C625" s="36" t="n"/>
      <c r="D625" s="36" t="n"/>
      <c r="E625" s="35" t="n"/>
      <c r="F625" s="69" t="n"/>
      <c r="G625" s="36" t="n"/>
      <c r="H625" s="30" t="n"/>
      <c r="I625" s="30" t="n"/>
      <c r="J625" s="31">
        <f>IF(H625="","",H625-I625)</f>
        <v/>
      </c>
      <c r="K625" s="43" t="n"/>
      <c r="L625" s="32">
        <f>IF(OR(K625="",$F625=""),"",DATE(YEAR(K625),MONTH(K625)+VLOOKUP($F625,'Membership Level'!$A$3:$B$15,2,FALSE),DAY(K625)))</f>
        <v/>
      </c>
      <c r="M625" s="36" t="n"/>
      <c r="N625" s="34">
        <f>IF($L625="","",DATE(YEAR($L625),MONTH($L625),DAY($L625)-$M625))</f>
        <v/>
      </c>
      <c r="O625" s="33">
        <f>IF($L625="","",IF(DAYS360(NOW(),$L625)&gt;=0,DAYS360(NOW(),$L625),""))</f>
        <v/>
      </c>
      <c r="P625" s="34">
        <f>IF(OR(H625="",H625=0,F625="",K625=""),"",I625/H625*VLOOKUP(F625,'Membership Level'!$A$3:$C$15,3,FALSE)+K625)</f>
        <v/>
      </c>
      <c r="Q625" s="36" t="n"/>
    </row>
    <row r="626">
      <c r="C626" s="36" t="n"/>
      <c r="D626" s="36" t="n"/>
      <c r="E626" s="70" t="n"/>
      <c r="F626" s="69" t="n"/>
      <c r="G626" s="36" t="n"/>
      <c r="H626" s="30" t="n"/>
      <c r="I626" s="30" t="n"/>
      <c r="J626" s="31">
        <f>IF(H626="","",H626-I626)</f>
        <v/>
      </c>
      <c r="K626" s="43" t="n"/>
      <c r="L626" s="32">
        <f>IF(OR(K626="",$F626=""),"",DATE(YEAR(K626),MONTH(K626)+VLOOKUP($F626,'Membership Level'!$A$3:$B$15,2,FALSE),DAY(K626)))</f>
        <v/>
      </c>
      <c r="M626" s="36" t="n"/>
      <c r="N626" s="34">
        <f>IF($L626="","",DATE(YEAR($L626),MONTH($L626),DAY($L626)-$M626))</f>
        <v/>
      </c>
      <c r="O626" s="33">
        <f>IF($L626="","",IF(DAYS360(NOW(),$L626)&gt;=0,DAYS360(NOW(),$L626),""))</f>
        <v/>
      </c>
      <c r="P626" s="34">
        <f>IF(OR(H626="",H626=0,F626="",K626=""),"",I626/H626*VLOOKUP(F626,'Membership Level'!$A$3:$C$15,3,FALSE)+K626)</f>
        <v/>
      </c>
      <c r="Q626" s="36" t="n"/>
    </row>
    <row r="627" customFormat="1" s="23">
      <c r="C627" s="69" t="n"/>
      <c r="D627" s="69" t="n"/>
      <c r="E627" s="70" t="n"/>
      <c r="F627" s="36" t="n"/>
      <c r="G627" s="69" t="n"/>
      <c r="H627" s="71" t="n"/>
      <c r="I627" s="71" t="n"/>
      <c r="J627" s="72">
        <f>IF(H627="","",H627-I627)</f>
        <v/>
      </c>
      <c r="K627" s="73" t="n"/>
      <c r="L627" s="73">
        <f>IF(OR(K627="",$F627=""),"",DATE(YEAR(K627),MONTH(K627)+VLOOKUP($F627,'Membership Level'!$A$3:$B$15,2,FALSE),DAY(K627)))</f>
        <v/>
      </c>
      <c r="M627" s="36" t="n"/>
      <c r="N627" s="34">
        <f>IF($L627="","",DATE(YEAR($L627),MONTH($L627),DAY($L627)-$M627))</f>
        <v/>
      </c>
      <c r="O627" s="33">
        <f>IF($L627="","",IF(DAYS360(NOW(),$L627)&gt;=0,DAYS360(NOW(),$L627),""))</f>
        <v/>
      </c>
      <c r="P627" s="34">
        <f>IF(OR(H627="",H627=0,F627="",K627=""),"",I627/H627*VLOOKUP(F627,'Membership Level'!$A$3:$C$15,3,FALSE)+K627)</f>
        <v/>
      </c>
      <c r="Q627" s="69" t="n"/>
    </row>
    <row r="628" customFormat="1" s="23">
      <c r="C628" s="69" t="n"/>
      <c r="D628" s="69" t="n"/>
      <c r="E628" s="35" t="n"/>
      <c r="F628" s="36" t="n"/>
      <c r="G628" s="69" t="n"/>
      <c r="H628" s="71" t="n"/>
      <c r="I628" s="71" t="n"/>
      <c r="J628" s="72">
        <f>IF(H628="","",H628-I628)</f>
        <v/>
      </c>
      <c r="K628" s="73" t="n"/>
      <c r="L628" s="73">
        <f>IF(OR(K628="",$F628=""),"",DATE(YEAR(K628),MONTH(K628)+VLOOKUP($F628,'Membership Level'!$A$3:$B$15,2,FALSE),DAY(K628)))</f>
        <v/>
      </c>
      <c r="M628" s="36" t="n"/>
      <c r="N628" s="34">
        <f>IF($L628="","",DATE(YEAR($L628),MONTH($L628),DAY($L628)-$M628))</f>
        <v/>
      </c>
      <c r="O628" s="33">
        <f>IF($L628="","",IF(DAYS360(NOW(),$L628)&gt;=0,DAYS360(NOW(),$L628),""))</f>
        <v/>
      </c>
      <c r="P628" s="34">
        <f>IF(OR(H628="",H628=0,F628="",K628=""),"",I628/H628*VLOOKUP(F628,'Membership Level'!$A$3:$C$15,3,FALSE)+K628)</f>
        <v/>
      </c>
      <c r="Q628" s="69" t="n"/>
    </row>
    <row r="629">
      <c r="C629" s="36" t="n"/>
      <c r="D629" s="36" t="n"/>
      <c r="E629" s="35" t="n"/>
      <c r="F629" s="36" t="n"/>
      <c r="G629" s="36" t="n"/>
      <c r="H629" s="30" t="n"/>
      <c r="I629" s="30" t="n"/>
      <c r="J629" s="31">
        <f>IF(H629="","",H629-I629)</f>
        <v/>
      </c>
      <c r="K629" s="43" t="n"/>
      <c r="L629" s="32">
        <f>IF(OR(K629="",$F629=""),"",DATE(YEAR(K629),MONTH(K629)+VLOOKUP($F629,'Membership Level'!$A$3:$B$15,2,FALSE),DAY(K629)))</f>
        <v/>
      </c>
      <c r="M629" s="36" t="n"/>
      <c r="N629" s="34">
        <f>IF($L629="","",DATE(YEAR($L629),MONTH($L629),DAY($L629)-$M629))</f>
        <v/>
      </c>
      <c r="O629" s="33">
        <f>IF($L629="","",IF(DAYS360(NOW(),$L629)&gt;=0,DAYS360(NOW(),$L629),""))</f>
        <v/>
      </c>
      <c r="P629" s="34">
        <f>IF(OR(H629="",H629=0,F629="",K629=""),"",I629/H629*VLOOKUP(F629,'Membership Level'!$A$3:$C$15,3,FALSE)+K629)</f>
        <v/>
      </c>
      <c r="Q629" s="36" t="n"/>
    </row>
    <row r="630">
      <c r="C630" s="36" t="n"/>
      <c r="D630" s="36" t="n"/>
      <c r="E630" s="66" t="n"/>
      <c r="F630" s="36" t="n"/>
      <c r="G630" s="36" t="n"/>
      <c r="H630" s="30" t="n"/>
      <c r="I630" s="30" t="n"/>
      <c r="J630" s="31">
        <f>IF(H630="","",H630-I630)</f>
        <v/>
      </c>
      <c r="K630" s="43" t="n"/>
      <c r="L630" s="32">
        <f>IF(OR(K630="",$F630=""),"",DATE(YEAR(K630),MONTH(K630)+VLOOKUP($F630,'Membership Level'!$A$3:$B$15,2,FALSE),DAY(K630)))</f>
        <v/>
      </c>
      <c r="M630" s="36" t="n"/>
      <c r="N630" s="34">
        <f>IF($L630="","",DATE(YEAR($L630),MONTH($L630),DAY($L630)-$M630))</f>
        <v/>
      </c>
      <c r="O630" s="33">
        <f>IF($L630="","",IF(DAYS360(NOW(),$L630)&gt;=0,DAYS360(NOW(),$L630),""))</f>
        <v/>
      </c>
      <c r="P630" s="34">
        <f>IF(OR(H630="",H630=0,F630="",K630=""),"",I630/H630*VLOOKUP(F630,'Membership Level'!$A$3:$C$15,3,FALSE)+K630)</f>
        <v/>
      </c>
      <c r="Q630" s="36" t="n"/>
    </row>
    <row r="631">
      <c r="C631" s="36" t="n"/>
      <c r="D631" s="36" t="n"/>
      <c r="E631" s="35" t="n"/>
      <c r="F631" s="36" t="n"/>
      <c r="G631" s="36" t="n"/>
      <c r="H631" s="30" t="n"/>
      <c r="I631" s="30" t="n"/>
      <c r="J631" s="31">
        <f>IF(H631="","",H631-I631)</f>
        <v/>
      </c>
      <c r="K631" s="43" t="n"/>
      <c r="L631" s="32">
        <f>IF(OR(K631="",$F631=""),"",DATE(YEAR(K631),MONTH(K631)+VLOOKUP($F631,'Membership Level'!$A$3:$B$15,2,FALSE),DAY(K631)))</f>
        <v/>
      </c>
      <c r="M631" s="36" t="n"/>
      <c r="N631" s="34">
        <f>IF($L631="","",DATE(YEAR($L631),MONTH($L631),DAY($L631)-$M631))</f>
        <v/>
      </c>
      <c r="O631" s="33">
        <f>IF($L631="","",IF(DAYS360(NOW(),$L631)&gt;=0,DAYS360(NOW(),$L631),""))</f>
        <v/>
      </c>
      <c r="P631" s="34">
        <f>IF(OR(H631="",H631=0,F631="",K631=""),"",I631/H631*VLOOKUP(F631,'Membership Level'!$A$3:$C$15,3,FALSE)+K631)</f>
        <v/>
      </c>
      <c r="Q631" s="36" t="n"/>
    </row>
    <row r="632">
      <c r="C632" s="36" t="n"/>
      <c r="D632" s="36" t="n"/>
      <c r="E632" s="66" t="n"/>
      <c r="F632" s="36" t="n"/>
      <c r="G632" s="36" t="n"/>
      <c r="H632" s="30" t="n"/>
      <c r="I632" s="30" t="n"/>
      <c r="J632" s="31">
        <f>IF(H632="","",H632-I632)</f>
        <v/>
      </c>
      <c r="K632" s="43" t="n"/>
      <c r="L632" s="32">
        <f>IF(OR(K632="",$F632=""),"",DATE(YEAR(K632),MONTH(K632)+VLOOKUP($F632,'Membership Level'!$A$3:$B$15,2,FALSE),DAY(K632)))</f>
        <v/>
      </c>
      <c r="M632" s="36" t="n"/>
      <c r="N632" s="34">
        <f>IF($L632="","",DATE(YEAR($L632),MONTH($L632),DAY($L632)-$M632))</f>
        <v/>
      </c>
      <c r="O632" s="33">
        <f>IF($L632="","",IF(DAYS360(NOW(),$L632)&gt;=0,DAYS360(NOW(),$L632),""))</f>
        <v/>
      </c>
      <c r="P632" s="34">
        <f>IF(OR(H632="",H632=0,F632="",K632=""),"",I632/H632*VLOOKUP(F632,'Membership Level'!$A$3:$C$15,3,FALSE)+K632)</f>
        <v/>
      </c>
      <c r="Q632" s="36" t="n"/>
    </row>
    <row r="633">
      <c r="C633" s="36" t="n"/>
      <c r="D633" s="36" t="n"/>
      <c r="E633" s="35" t="n"/>
      <c r="F633" s="36" t="n"/>
      <c r="G633" s="36" t="n"/>
      <c r="H633" s="30" t="n"/>
      <c r="I633" s="30" t="n"/>
      <c r="J633" s="31">
        <f>IF(H633="","",H633-I633)</f>
        <v/>
      </c>
      <c r="K633" s="43" t="n"/>
      <c r="L633" s="32">
        <f>IF(OR(K633="",$F633=""),"",DATE(YEAR(K633),MONTH(K633)+VLOOKUP($F633,'Membership Level'!$A$3:$B$15,2,FALSE),DAY(K633)))</f>
        <v/>
      </c>
      <c r="M633" s="36" t="n"/>
      <c r="N633" s="34">
        <f>IF($L633="","",DATE(YEAR($L633),MONTH($L633),DAY($L633)-$M633))</f>
        <v/>
      </c>
      <c r="O633" s="33">
        <f>IF($L633="","",IF(DAYS360(NOW(),$L633)&gt;=0,DAYS360(NOW(),$L633),""))</f>
        <v/>
      </c>
      <c r="P633" s="34">
        <f>IF(OR(H633="",H633=0,F633="",K633=""),"",I633/H633*VLOOKUP(F633,'Membership Level'!$A$3:$C$15,3,FALSE)+K633)</f>
        <v/>
      </c>
      <c r="Q633" s="36" t="n"/>
    </row>
    <row r="634">
      <c r="C634" s="36" t="n"/>
      <c r="D634" s="36" t="n"/>
      <c r="E634" s="35" t="n"/>
      <c r="F634" s="36" t="n"/>
      <c r="G634" s="36" t="n"/>
      <c r="H634" s="30" t="n"/>
      <c r="I634" s="30" t="n"/>
      <c r="J634" s="31">
        <f>IF(H634="","",H634-I634)</f>
        <v/>
      </c>
      <c r="K634" s="43" t="n"/>
      <c r="L634" s="32">
        <f>IF(OR(K634="",$F634=""),"",DATE(YEAR(K634),MONTH(K634)+VLOOKUP($F634,'Membership Level'!$A$3:$B$15,2,FALSE),DAY(K634)))</f>
        <v/>
      </c>
      <c r="M634" s="36" t="n"/>
      <c r="N634" s="34">
        <f>IF($L634="","",DATE(YEAR($L634),MONTH($L634),DAY($L634)-$M634))</f>
        <v/>
      </c>
      <c r="O634" s="33">
        <f>IF($L634="","",IF(DAYS360(NOW(),$L634)&gt;=0,DAYS360(NOW(),$L634),""))</f>
        <v/>
      </c>
      <c r="P634" s="34">
        <f>IF(OR(H634="",H634=0,F634="",K634=""),"",I634/H634*VLOOKUP(F634,'Membership Level'!$A$3:$C$15,3,FALSE)+K634)</f>
        <v/>
      </c>
      <c r="Q634" s="36" t="n"/>
    </row>
    <row r="635">
      <c r="C635" s="36" t="n"/>
      <c r="D635" s="36" t="n"/>
      <c r="E635" s="35" t="n"/>
      <c r="F635" s="36" t="n"/>
      <c r="G635" s="36" t="n"/>
      <c r="H635" s="30" t="n"/>
      <c r="I635" s="30" t="n"/>
      <c r="J635" s="31">
        <f>IF(H635="","",H635-I635)</f>
        <v/>
      </c>
      <c r="K635" s="43" t="n"/>
      <c r="L635" s="32">
        <f>IF(OR(K635="",$F635=""),"",DATE(YEAR(K635),MONTH(K635)+VLOOKUP($F635,'Membership Level'!$A$3:$B$15,2,FALSE),DAY(K635)))</f>
        <v/>
      </c>
      <c r="M635" s="36" t="n"/>
      <c r="N635" s="34">
        <f>IF($L635="","",DATE(YEAR($L635),MONTH($L635),DAY($L635)-$M635))</f>
        <v/>
      </c>
      <c r="O635" s="33">
        <f>IF($L635="","",IF(DAYS360(NOW(),$L635)&gt;=0,DAYS360(NOW(),$L635),""))</f>
        <v/>
      </c>
      <c r="P635" s="34">
        <f>IF(OR(H635="",H635=0,F635="",K635=""),"",I635/H635*VLOOKUP(F635,'Membership Level'!$A$3:$C$15,3,FALSE)+K635)</f>
        <v/>
      </c>
      <c r="Q635" s="36" t="n"/>
    </row>
    <row r="636">
      <c r="C636" s="36" t="n"/>
      <c r="D636" s="36" t="n"/>
      <c r="E636" s="35" t="n"/>
      <c r="F636" s="36" t="n"/>
      <c r="G636" s="36" t="n"/>
      <c r="H636" s="30" t="n"/>
      <c r="I636" s="30" t="n"/>
      <c r="J636" s="31">
        <f>IF(H636="","",H636-I636)</f>
        <v/>
      </c>
      <c r="K636" s="43" t="n"/>
      <c r="L636" s="32">
        <f>IF(OR(K636="",$F636=""),"",DATE(YEAR(K636),MONTH(K636)+VLOOKUP($F636,'Membership Level'!$A$3:$B$15,2,FALSE),DAY(K636)))</f>
        <v/>
      </c>
      <c r="M636" s="36" t="n"/>
      <c r="N636" s="34">
        <f>IF($L636="","",DATE(YEAR($L636),MONTH($L636),DAY($L636)-$M636))</f>
        <v/>
      </c>
      <c r="O636" s="33">
        <f>IF($L636="","",IF(DAYS360(NOW(),$L636)&gt;=0,DAYS360(NOW(),$L636),""))</f>
        <v/>
      </c>
      <c r="P636" s="34">
        <f>IF(OR(H636="",H636=0,F636="",K636=""),"",I636/H636*VLOOKUP(F636,'Membership Level'!$A$3:$C$15,3,FALSE)+K636)</f>
        <v/>
      </c>
      <c r="Q636" s="36" t="n"/>
    </row>
    <row r="637" customFormat="1" s="68">
      <c r="C637" s="36" t="n"/>
      <c r="D637" s="36" t="n"/>
      <c r="E637" s="36" t="n"/>
      <c r="F637" s="36" t="n"/>
      <c r="G637" s="36" t="n"/>
      <c r="H637" s="30" t="n"/>
      <c r="I637" s="30" t="n"/>
      <c r="J637" s="31">
        <f>IF(H637="","",H637-I637)</f>
        <v/>
      </c>
      <c r="K637" s="43" t="n"/>
      <c r="L637" s="32">
        <f>IF(OR(K637="",$F637=""),"",DATE(YEAR(K637),MONTH(K637)+VLOOKUP($F637,'Membership Level'!$A$3:$B$15,2,FALSE),DAY(K637)))</f>
        <v/>
      </c>
      <c r="M637" s="36" t="n"/>
      <c r="N637" s="34">
        <f>IF($L637="","",DATE(YEAR($L637),MONTH($L637),DAY($L637)-$M637))</f>
        <v/>
      </c>
      <c r="O637" s="33">
        <f>IF($L637="","",IF(DAYS360(NOW(),$L637)&gt;=0,DAYS360(NOW(),$L637),""))</f>
        <v/>
      </c>
      <c r="P637" s="34">
        <f>IF(OR(H637="",H637=0,F637="",K637=""),"",I637/H637*VLOOKUP(F637,'Membership Level'!$A$3:$C$15,3,FALSE)+K637)</f>
        <v/>
      </c>
      <c r="Q637" s="36" t="n"/>
    </row>
    <row r="638">
      <c r="C638" s="36" t="n"/>
      <c r="D638" s="43" t="n"/>
      <c r="E638" s="66" t="n"/>
      <c r="F638" s="36" t="n"/>
      <c r="G638" s="36" t="n"/>
      <c r="H638" s="30" t="n"/>
      <c r="I638" s="30" t="n"/>
      <c r="J638" s="31">
        <f>IF(H638="","",H638-I638)</f>
        <v/>
      </c>
      <c r="K638" s="43" t="n"/>
      <c r="L638" s="32">
        <f>IF(OR(K638="",$F638=""),"",DATE(YEAR(K638),MONTH(K638)+VLOOKUP($F638,'Membership Level'!$A$3:$B$15,2,FALSE),DAY(K638)))</f>
        <v/>
      </c>
      <c r="M638" s="36" t="n"/>
      <c r="N638" s="34">
        <f>IF($L638="","",DATE(YEAR($L638),MONTH($L638),DAY($L638)-$M638))</f>
        <v/>
      </c>
      <c r="O638" s="33">
        <f>IF($L638="","",IF(DAYS360(NOW(),$L638)&gt;=0,DAYS360(NOW(),$L638),""))</f>
        <v/>
      </c>
      <c r="P638" s="34">
        <f>IF(OR(H638="",H638=0,F638="",K638=""),"",I638/H638*VLOOKUP(F638,'Membership Level'!$A$3:$C$15,3,FALSE)+K638)</f>
        <v/>
      </c>
      <c r="Q638" s="36" t="n"/>
    </row>
    <row r="639" customFormat="1" s="68">
      <c r="C639" s="36" t="n"/>
      <c r="D639" s="36" t="n"/>
      <c r="E639" s="35" t="n"/>
      <c r="F639" s="36" t="n"/>
      <c r="G639" s="36" t="n"/>
      <c r="H639" s="30" t="n"/>
      <c r="I639" s="30" t="n"/>
      <c r="J639" s="31">
        <f>IF(H639="","",H639-I639)</f>
        <v/>
      </c>
      <c r="K639" s="43" t="n"/>
      <c r="L639" s="32">
        <f>IF(OR(K639="",$F639=""),"",DATE(YEAR(K639),MONTH(K639)+VLOOKUP($F639,'Membership Level'!$A$3:$B$15,2,FALSE),DAY(K639)))</f>
        <v/>
      </c>
      <c r="M639" s="36" t="n"/>
      <c r="N639" s="34">
        <f>IF($L639="","",DATE(YEAR($L639),MONTH($L639),DAY($L639)-$M639))</f>
        <v/>
      </c>
      <c r="O639" s="33">
        <f>IF($L639="","",IF(DAYS360(NOW(),$L639)&gt;=0,DAYS360(NOW(),$L639),""))</f>
        <v/>
      </c>
      <c r="P639" s="34">
        <f>IF(OR(H639="",H639=0,F639="",K639=""),"",I639/H639*VLOOKUP(F639,'Membership Level'!$A$3:$C$15,3,FALSE)+K639)</f>
        <v/>
      </c>
      <c r="Q639" s="36" t="n"/>
    </row>
    <row r="640">
      <c r="C640" s="36" t="n"/>
      <c r="D640" s="36" t="n"/>
      <c r="E640" s="35" t="n"/>
      <c r="F640" s="36" t="n"/>
      <c r="G640" s="36" t="n"/>
      <c r="H640" s="30" t="n"/>
      <c r="I640" s="30" t="n"/>
      <c r="J640" s="31">
        <f>IF(H640="","",H640-I640)</f>
        <v/>
      </c>
      <c r="K640" s="43" t="n"/>
      <c r="L640" s="32">
        <f>IF(OR(K640="",$F640=""),"",DATE(YEAR(K640),MONTH(K640)+VLOOKUP($F640,'Membership Level'!$A$3:$B$15,2,FALSE),DAY(K640)))</f>
        <v/>
      </c>
      <c r="M640" s="36" t="n"/>
      <c r="N640" s="34">
        <f>IF($L640="","",DATE(YEAR($L640),MONTH($L640),DAY($L640)-$M640))</f>
        <v/>
      </c>
      <c r="O640" s="33">
        <f>IF($L640="","",IF(DAYS360(NOW(),$L640)&gt;=0,DAYS360(NOW(),$L640),""))</f>
        <v/>
      </c>
      <c r="P640" s="34">
        <f>IF(OR(H640="",H640=0,F640="",K640=""),"",I640/H640*VLOOKUP(F640,'Membership Level'!$A$3:$C$15,3,FALSE)+K640)</f>
        <v/>
      </c>
      <c r="Q640" s="36" t="n"/>
    </row>
    <row r="641">
      <c r="C641" s="36" t="n"/>
      <c r="D641" s="36" t="n"/>
      <c r="E641" s="35" t="n"/>
      <c r="F641" s="36" t="n"/>
      <c r="G641" s="36" t="n"/>
      <c r="H641" s="30" t="n"/>
      <c r="I641" s="30" t="n"/>
      <c r="J641" s="31">
        <f>IF(H641="","",H641-I641)</f>
        <v/>
      </c>
      <c r="K641" s="43" t="n"/>
      <c r="L641" s="32">
        <f>IF(OR(K641="",$F641=""),"",DATE(YEAR(K641),MONTH(K641)+VLOOKUP($F641,'Membership Level'!$A$3:$B$15,2,FALSE),DAY(K641)))</f>
        <v/>
      </c>
      <c r="M641" s="36" t="n"/>
      <c r="N641" s="34">
        <f>IF($L641="","",DATE(YEAR($L641),MONTH($L641),DAY($L641)-$M641))</f>
        <v/>
      </c>
      <c r="O641" s="33">
        <f>IF($L641="","",IF(DAYS360(NOW(),$L641)&gt;=0,DAYS360(NOW(),$L641),""))</f>
        <v/>
      </c>
      <c r="P641" s="34">
        <f>IF(OR(H641="",H641=0,F641="",K641=""),"",I641/H641*VLOOKUP(F641,'Membership Level'!$A$3:$C$15,3,FALSE)+K641)</f>
        <v/>
      </c>
      <c r="Q641" s="36" t="n"/>
    </row>
    <row r="642">
      <c r="C642" s="36" t="n"/>
      <c r="D642" s="36" t="n"/>
      <c r="E642" s="35" t="n"/>
      <c r="F642" s="36" t="n"/>
      <c r="G642" s="36" t="n"/>
      <c r="H642" s="30" t="n"/>
      <c r="I642" s="30" t="n"/>
      <c r="J642" s="31">
        <f>IF(H642="","",H642-I642)</f>
        <v/>
      </c>
      <c r="K642" s="43" t="n"/>
      <c r="L642" s="32">
        <f>IF(OR(K642="",$F642=""),"",DATE(YEAR(K642),MONTH(K642)+VLOOKUP($F642,'Membership Level'!$A$3:$B$15,2,FALSE),DAY(K642)))</f>
        <v/>
      </c>
      <c r="M642" s="36" t="n"/>
      <c r="N642" s="34">
        <f>IF($L642="","",DATE(YEAR($L642),MONTH($L642),DAY($L642)-$M642))</f>
        <v/>
      </c>
      <c r="O642" s="33">
        <f>IF($L642="","",IF(DAYS360(NOW(),$L642)&gt;=0,DAYS360(NOW(),$L642),""))</f>
        <v/>
      </c>
      <c r="P642" s="34">
        <f>IF(OR(H642="",H642=0,F642="",K642=""),"",I642/H642*VLOOKUP(F642,'Membership Level'!$A$3:$C$15,3,FALSE)+K642)</f>
        <v/>
      </c>
      <c r="Q642" s="36" t="n"/>
    </row>
    <row r="643">
      <c r="C643" s="36" t="n"/>
      <c r="D643" s="36" t="n"/>
      <c r="E643" s="35" t="n"/>
      <c r="F643" s="36" t="n"/>
      <c r="G643" s="36" t="n"/>
      <c r="H643" s="30" t="n"/>
      <c r="I643" s="30" t="n"/>
      <c r="J643" s="31">
        <f>IF(H643="","",H643-I643)</f>
        <v/>
      </c>
      <c r="K643" s="43" t="n"/>
      <c r="L643" s="32">
        <f>IF(OR(K643="",$F643=""),"",DATE(YEAR(K643),MONTH(K643)+VLOOKUP($F643,'Membership Level'!$A$3:$B$15,2,FALSE),DAY(K643)))</f>
        <v/>
      </c>
      <c r="M643" s="36" t="n"/>
      <c r="N643" s="34">
        <f>IF($L643="","",DATE(YEAR($L643),MONTH($L643),DAY($L643)-$M643))</f>
        <v/>
      </c>
      <c r="O643" s="33">
        <f>IF($L643="","",IF(DAYS360(NOW(),$L643)&gt;=0,DAYS360(NOW(),$L643),""))</f>
        <v/>
      </c>
      <c r="P643" s="34">
        <f>IF(OR(H643="",H643=0,F643="",K643=""),"",I643/H643*VLOOKUP(F643,'Membership Level'!$A$3:$C$15,3,FALSE)+K643)</f>
        <v/>
      </c>
      <c r="Q643" s="36" t="n"/>
    </row>
    <row r="644">
      <c r="C644" s="36" t="n"/>
      <c r="D644" s="36" t="n"/>
      <c r="E644" s="35" t="n"/>
      <c r="F644" s="36" t="n"/>
      <c r="G644" s="36" t="n"/>
      <c r="H644" s="30" t="n"/>
      <c r="I644" s="30" t="n"/>
      <c r="J644" s="31">
        <f>IF(H644="","",H644-I644)</f>
        <v/>
      </c>
      <c r="K644" s="43" t="n"/>
      <c r="L644" s="32">
        <f>IF(OR(K644="",$F644=""),"",DATE(YEAR(K644),MONTH(K644)+VLOOKUP($F644,'Membership Level'!$A$3:$B$15,2,FALSE),DAY(K644)))</f>
        <v/>
      </c>
      <c r="M644" s="36" t="n"/>
      <c r="N644" s="34">
        <f>IF($L644="","",DATE(YEAR($L644),MONTH($L644),DAY($L644)-$M644))</f>
        <v/>
      </c>
      <c r="O644" s="33">
        <f>IF($L644="","",IF(DAYS360(NOW(),$L644)&gt;=0,DAYS360(NOW(),$L644),""))</f>
        <v/>
      </c>
      <c r="P644" s="34">
        <f>IF(OR(H644="",H644=0,F644="",K644=""),"",I644/H644*VLOOKUP(F644,'Membership Level'!$A$3:$C$15,3,FALSE)+K644)</f>
        <v/>
      </c>
      <c r="Q644" s="36" t="n"/>
    </row>
    <row r="645">
      <c r="C645" s="36" t="n"/>
      <c r="D645" s="36" t="n"/>
      <c r="E645" s="66" t="n"/>
      <c r="F645" s="36" t="n"/>
      <c r="G645" s="36" t="n"/>
      <c r="H645" s="30" t="n"/>
      <c r="I645" s="30" t="n"/>
      <c r="J645" s="31">
        <f>IF(H645="","",H645-I645)</f>
        <v/>
      </c>
      <c r="K645" s="43" t="n"/>
      <c r="L645" s="32">
        <f>IF(OR(K645="",$F645=""),"",DATE(YEAR(K645),MONTH(K645)+VLOOKUP($F645,'Membership Level'!$A$3:$B$15,2,FALSE),DAY(K645)))</f>
        <v/>
      </c>
      <c r="M645" s="36" t="n"/>
      <c r="N645" s="34">
        <f>IF($L645="","",DATE(YEAR($L645),MONTH($L645),DAY($L645)-$M645))</f>
        <v/>
      </c>
      <c r="O645" s="33">
        <f>IF($L645="","",IF(DAYS360(NOW(),$L645)&gt;=0,DAYS360(NOW(),$L645),""))</f>
        <v/>
      </c>
      <c r="P645" s="34">
        <f>IF(OR(H645="",H645=0,F645="",K645=""),"",I645/H645*VLOOKUP(F645,'Membership Level'!$A$3:$C$15,3,FALSE)+K645)</f>
        <v/>
      </c>
      <c r="Q645" s="36" t="n"/>
    </row>
    <row r="646">
      <c r="C646" s="36" t="n"/>
      <c r="D646" s="36" t="n"/>
      <c r="E646" s="35" t="n"/>
      <c r="F646" s="36" t="n"/>
      <c r="G646" s="36" t="n"/>
      <c r="H646" s="30" t="n"/>
      <c r="I646" s="30" t="n"/>
      <c r="J646" s="31">
        <f>IF(H646="","",H646-I646)</f>
        <v/>
      </c>
      <c r="K646" s="43" t="n"/>
      <c r="L646" s="32">
        <f>IF(OR(K646="",$F646=""),"",DATE(YEAR(K646),MONTH(K646)+VLOOKUP($F646,'Membership Level'!$A$3:$B$15,2,FALSE),DAY(K646)))</f>
        <v/>
      </c>
      <c r="M646" s="36" t="n"/>
      <c r="N646" s="34">
        <f>IF($L646="","",DATE(YEAR($L646),MONTH($L646),DAY($L646)-$M646))</f>
        <v/>
      </c>
      <c r="O646" s="33">
        <f>IF($L646="","",IF(DAYS360(NOW(),$L646)&gt;=0,DAYS360(NOW(),$L646),""))</f>
        <v/>
      </c>
      <c r="P646" s="34">
        <f>IF(OR(H646="",H646=0,F646="",K646=""),"",I646/H646*VLOOKUP(F646,'Membership Level'!$A$3:$C$15,3,FALSE)+K646)</f>
        <v/>
      </c>
      <c r="Q646" s="36" t="n"/>
    </row>
    <row r="647">
      <c r="C647" s="36" t="n"/>
      <c r="D647" s="36" t="n"/>
      <c r="E647" s="35" t="n"/>
      <c r="F647" s="36" t="n"/>
      <c r="G647" s="36" t="n"/>
      <c r="H647" s="30" t="n"/>
      <c r="I647" s="30" t="n"/>
      <c r="J647" s="31">
        <f>IF(H647="","",H647-I647)</f>
        <v/>
      </c>
      <c r="K647" s="43" t="n"/>
      <c r="L647" s="32">
        <f>IF(OR(K647="",$F647=""),"",DATE(YEAR(K647),MONTH(K647)+VLOOKUP($F647,'Membership Level'!$A$3:$B$15,2,FALSE),DAY(K647)))</f>
        <v/>
      </c>
      <c r="M647" s="36" t="n"/>
      <c r="N647" s="34">
        <f>IF($L647="","",DATE(YEAR($L647),MONTH($L647),DAY($L647)-$M647))</f>
        <v/>
      </c>
      <c r="O647" s="33">
        <f>IF($L647="","",IF(DAYS360(NOW(),$L647)&gt;=0,DAYS360(NOW(),$L647),""))</f>
        <v/>
      </c>
      <c r="P647" s="34">
        <f>IF(OR(H647="",H647=0,F647="",K647=""),"",I647/H647*VLOOKUP(F647,'Membership Level'!$A$3:$C$15,3,FALSE)+K647)</f>
        <v/>
      </c>
      <c r="Q647" s="36" t="n"/>
    </row>
    <row r="648">
      <c r="C648" s="36" t="n"/>
      <c r="D648" s="36" t="n"/>
      <c r="E648" s="35" t="n"/>
      <c r="F648" s="36" t="n"/>
      <c r="G648" s="36" t="n"/>
      <c r="H648" s="30" t="n"/>
      <c r="I648" s="30" t="n"/>
      <c r="J648" s="31">
        <f>IF(H648="","",H648-I648)</f>
        <v/>
      </c>
      <c r="K648" s="43" t="n"/>
      <c r="L648" s="32">
        <f>IF(OR(K648="",$F648=""),"",DATE(YEAR(K648),MONTH(K648)+VLOOKUP($F648,'Membership Level'!$A$3:$B$15,2,FALSE),DAY(K648)))</f>
        <v/>
      </c>
      <c r="M648" s="36" t="n"/>
      <c r="N648" s="34">
        <f>IF($L648="","",DATE(YEAR($L648),MONTH($L648),DAY($L648)-$M648))</f>
        <v/>
      </c>
      <c r="O648" s="33">
        <f>IF($L648="","",IF(DAYS360(NOW(),$L648)&gt;=0,DAYS360(NOW(),$L648),""))</f>
        <v/>
      </c>
      <c r="P648" s="34">
        <f>IF(OR(H648="",H648=0,F648="",K648=""),"",I648/H648*VLOOKUP(F648,'Membership Level'!$A$3:$C$15,3,FALSE)+K648)</f>
        <v/>
      </c>
      <c r="Q648" s="36" t="n"/>
    </row>
    <row r="649">
      <c r="C649" s="36" t="n"/>
      <c r="D649" s="36" t="n"/>
      <c r="E649" s="35" t="n"/>
      <c r="F649" s="36" t="n"/>
      <c r="G649" s="36" t="n"/>
      <c r="H649" s="30" t="n"/>
      <c r="I649" s="30" t="n"/>
      <c r="J649" s="31">
        <f>IF(H649="","",H649-I649)</f>
        <v/>
      </c>
      <c r="K649" s="43" t="n"/>
      <c r="L649" s="32">
        <f>IF(OR(K649="",$F649=""),"",DATE(YEAR(K649),MONTH(K649)+VLOOKUP($F649,'Membership Level'!$A$3:$B$15,2,FALSE),DAY(K649)))</f>
        <v/>
      </c>
      <c r="M649" s="36" t="n"/>
      <c r="N649" s="34">
        <f>IF($L649="","",DATE(YEAR($L649),MONTH($L649),DAY($L649)-$M649))</f>
        <v/>
      </c>
      <c r="O649" s="33">
        <f>IF($L649="","",IF(DAYS360(NOW(),$L649)&gt;=0,DAYS360(NOW(),$L649),""))</f>
        <v/>
      </c>
      <c r="P649" s="34">
        <f>IF(OR(H649="",H649=0,F649="",K649=""),"",I649/H649*VLOOKUP(F649,'Membership Level'!$A$3:$C$15,3,FALSE)+K649)</f>
        <v/>
      </c>
      <c r="Q649" s="36" t="n"/>
    </row>
    <row r="650">
      <c r="C650" s="36" t="n"/>
      <c r="D650" s="36" t="n"/>
      <c r="E650" s="35" t="n"/>
      <c r="F650" s="36" t="n"/>
      <c r="G650" s="36" t="n"/>
      <c r="H650" s="30" t="n"/>
      <c r="I650" s="30" t="n"/>
      <c r="J650" s="31">
        <f>IF(H650="","",H650-I650)</f>
        <v/>
      </c>
      <c r="K650" s="43" t="n"/>
      <c r="L650" s="32">
        <f>IF(OR(K650="",$F650=""),"",DATE(YEAR(K650),MONTH(K650)+VLOOKUP($F650,'Membership Level'!$A$3:$B$15,2,FALSE),DAY(K650)))</f>
        <v/>
      </c>
      <c r="M650" s="36" t="n"/>
      <c r="N650" s="34">
        <f>IF($L650="","",DATE(YEAR($L650),MONTH($L650),DAY($L650)-$M650))</f>
        <v/>
      </c>
      <c r="O650" s="33">
        <f>IF($L650="","",IF(DAYS360(NOW(),$L650)&gt;=0,DAYS360(NOW(),$L650),""))</f>
        <v/>
      </c>
      <c r="P650" s="34">
        <f>IF(OR(H650="",H650=0,F650="",K650=""),"",I650/H650*VLOOKUP(F650,'Membership Level'!$A$3:$C$15,3,FALSE)+K650)</f>
        <v/>
      </c>
      <c r="Q650" s="36" t="n"/>
    </row>
    <row r="651">
      <c r="C651" s="36" t="n"/>
      <c r="D651" s="36" t="n"/>
      <c r="E651" s="66" t="n"/>
      <c r="F651" s="36" t="n"/>
      <c r="G651" s="36" t="n"/>
      <c r="H651" s="30" t="n"/>
      <c r="I651" s="30" t="n"/>
      <c r="J651" s="31">
        <f>IF(H651="","",H651-I651)</f>
        <v/>
      </c>
      <c r="K651" s="43" t="n"/>
      <c r="L651" s="32">
        <f>IF(OR(K651="",$F651=""),"",DATE(YEAR(K651),MONTH(K651)+VLOOKUP($F651,'Membership Level'!$A$3:$B$15,2,FALSE),DAY(K651)))</f>
        <v/>
      </c>
      <c r="M651" s="36" t="n"/>
      <c r="N651" s="34">
        <f>IF($L651="","",DATE(YEAR($L651),MONTH($L651),DAY($L651)-$M651))</f>
        <v/>
      </c>
      <c r="O651" s="33">
        <f>IF($L651="","",IF(DAYS360(NOW(),$L651)&gt;=0,DAYS360(NOW(),$L651),""))</f>
        <v/>
      </c>
      <c r="P651" s="34">
        <f>IF(OR(H651="",H651=0,F651="",K651=""),"",I651/H651*VLOOKUP(F651,'Membership Level'!$A$3:$C$15,3,FALSE)+K651)</f>
        <v/>
      </c>
      <c r="Q651" s="36" t="n"/>
    </row>
    <row r="652">
      <c r="C652" s="36" t="n"/>
      <c r="D652" s="36" t="n"/>
      <c r="E652" s="35" t="n"/>
      <c r="F652" s="36" t="n"/>
      <c r="G652" s="36" t="n"/>
      <c r="H652" s="30" t="n"/>
      <c r="I652" s="30" t="n"/>
      <c r="J652" s="31">
        <f>IF(H652="","",H652-I652)</f>
        <v/>
      </c>
      <c r="K652" s="43" t="n"/>
      <c r="L652" s="32">
        <f>IF(OR(K652="",$F652=""),"",DATE(YEAR(K652),MONTH(K652)+VLOOKUP($F652,'Membership Level'!$A$3:$B$15,2,FALSE),DAY(K652)))</f>
        <v/>
      </c>
      <c r="M652" s="36" t="n"/>
      <c r="N652" s="34">
        <f>IF($L652="","",DATE(YEAR($L652),MONTH($L652),DAY($L652)-$M652))</f>
        <v/>
      </c>
      <c r="O652" s="33">
        <f>IF($L652="","",IF(DAYS360(NOW(),$L652)&gt;=0,DAYS360(NOW(),$L652),""))</f>
        <v/>
      </c>
      <c r="P652" s="34">
        <f>IF(OR(H652="",H652=0,F652="",K652=""),"",I652/H652*VLOOKUP(F652,'Membership Level'!$A$3:$C$15,3,FALSE)+K652)</f>
        <v/>
      </c>
      <c r="Q652" s="36" t="n"/>
    </row>
    <row r="653">
      <c r="C653" s="36" t="n"/>
      <c r="D653" s="36" t="n"/>
      <c r="E653" s="35" t="n"/>
      <c r="F653" s="36" t="n"/>
      <c r="G653" s="36" t="n"/>
      <c r="H653" s="30" t="n"/>
      <c r="I653" s="30" t="n"/>
      <c r="J653" s="31">
        <f>IF(H653="","",H653-I653)</f>
        <v/>
      </c>
      <c r="K653" s="43" t="n"/>
      <c r="L653" s="32">
        <f>IF(OR(K653="",$F653=""),"",DATE(YEAR(K653),MONTH(K653)+VLOOKUP($F653,'Membership Level'!$A$3:$B$15,2,FALSE),DAY(K653)))</f>
        <v/>
      </c>
      <c r="M653" s="36" t="n"/>
      <c r="N653" s="34">
        <f>IF($L653="","",DATE(YEAR($L653),MONTH($L653),DAY($L653)-$M653))</f>
        <v/>
      </c>
      <c r="O653" s="33">
        <f>IF($L653="","",IF(DAYS360(NOW(),$L653)&gt;=0,DAYS360(NOW(),$L653),""))</f>
        <v/>
      </c>
      <c r="P653" s="34">
        <f>IF(OR(H653="",H653=0,F653="",K653=""),"",I653/H653*VLOOKUP(F653,'Membership Level'!$A$3:$C$15,3,FALSE)+K653)</f>
        <v/>
      </c>
      <c r="Q653" s="36" t="n"/>
    </row>
    <row r="654">
      <c r="C654" s="36" t="n"/>
      <c r="D654" s="36" t="n"/>
      <c r="E654" s="35" t="n"/>
      <c r="F654" s="36" t="n"/>
      <c r="G654" s="36" t="n"/>
      <c r="H654" s="30" t="n"/>
      <c r="I654" s="30" t="n"/>
      <c r="J654" s="31">
        <f>IF(H654="","",H654-I654)</f>
        <v/>
      </c>
      <c r="K654" s="43" t="n"/>
      <c r="L654" s="32">
        <f>IF(OR(K654="",$F654=""),"",DATE(YEAR(K654),MONTH(K654)+VLOOKUP($F654,'Membership Level'!$A$3:$B$15,2,FALSE),DAY(K654)))</f>
        <v/>
      </c>
      <c r="M654" s="36" t="n"/>
      <c r="N654" s="34">
        <f>IF($L654="","",DATE(YEAR($L654),MONTH($L654),DAY($L654)-$M654))</f>
        <v/>
      </c>
      <c r="O654" s="33">
        <f>IF($L654="","",IF(DAYS360(NOW(),$L654)&gt;=0,DAYS360(NOW(),$L654),""))</f>
        <v/>
      </c>
      <c r="P654" s="34">
        <f>IF(OR(H654="",H654=0,F654="",K654=""),"",I654/H654*VLOOKUP(F654,'Membership Level'!$A$3:$C$15,3,FALSE)+K654)</f>
        <v/>
      </c>
      <c r="Q654" s="36" t="n"/>
    </row>
    <row r="655">
      <c r="C655" s="36" t="n"/>
      <c r="D655" s="36" t="n"/>
      <c r="E655" s="35" t="n"/>
      <c r="F655" s="36" t="n"/>
      <c r="G655" s="36" t="n"/>
      <c r="H655" s="30" t="n"/>
      <c r="I655" s="30" t="n"/>
      <c r="J655" s="31">
        <f>IF(H655="","",H655-I655)</f>
        <v/>
      </c>
      <c r="K655" s="43" t="n"/>
      <c r="L655" s="32">
        <f>IF(OR(K655="",$F655=""),"",DATE(YEAR(K655),MONTH(K655)+VLOOKUP($F655,'Membership Level'!$A$3:$B$15,2,FALSE),DAY(K655)))</f>
        <v/>
      </c>
      <c r="M655" s="36" t="n"/>
      <c r="N655" s="34">
        <f>IF($L655="","",DATE(YEAR($L655),MONTH($L655),DAY($L655)-$M655))</f>
        <v/>
      </c>
      <c r="O655" s="33">
        <f>IF($L655="","",IF(DAYS360(NOW(),$L655)&gt;=0,DAYS360(NOW(),$L655),""))</f>
        <v/>
      </c>
      <c r="P655" s="34">
        <f>IF(OR(H655="",H655=0,F655="",K655=""),"",I655/H655*VLOOKUP(F655,'Membership Level'!$A$3:$C$15,3,FALSE)+K655)</f>
        <v/>
      </c>
      <c r="Q655" s="36" t="n"/>
    </row>
    <row r="656">
      <c r="C656" s="36" t="n"/>
      <c r="D656" s="36" t="n"/>
      <c r="E656" s="35" t="n"/>
      <c r="F656" s="36" t="n"/>
      <c r="G656" s="36" t="n"/>
      <c r="H656" s="30" t="n"/>
      <c r="I656" s="30" t="n"/>
      <c r="J656" s="31">
        <f>IF(H656="","",H656-I656)</f>
        <v/>
      </c>
      <c r="K656" s="43" t="n"/>
      <c r="L656" s="32">
        <f>IF(OR(K656="",$F656=""),"",DATE(YEAR(K656),MONTH(K656)+VLOOKUP($F656,'Membership Level'!$A$3:$B$15,2,FALSE),DAY(K656)))</f>
        <v/>
      </c>
      <c r="M656" s="36" t="n"/>
      <c r="N656" s="34">
        <f>IF($L656="","",DATE(YEAR($L656),MONTH($L656),DAY($L656)-$M656))</f>
        <v/>
      </c>
      <c r="O656" s="33">
        <f>IF($L656="","",IF(DAYS360(NOW(),$L656)&gt;=0,DAYS360(NOW(),$L656),""))</f>
        <v/>
      </c>
      <c r="P656" s="34">
        <f>IF(OR(H656="",H656=0,F656="",K656=""),"",I656/H656*VLOOKUP(F656,'Membership Level'!$A$3:$C$15,3,FALSE)+K656)</f>
        <v/>
      </c>
      <c r="Q656" s="36" t="n"/>
    </row>
    <row r="657">
      <c r="C657" s="36" t="n"/>
      <c r="D657" s="36" t="n"/>
      <c r="E657" s="35" t="n"/>
      <c r="F657" s="36" t="n"/>
      <c r="G657" s="36" t="n"/>
      <c r="H657" s="30" t="n"/>
      <c r="I657" s="30" t="n"/>
      <c r="J657" s="31">
        <f>IF(H657="","",H657-I657)</f>
        <v/>
      </c>
      <c r="K657" s="43" t="n"/>
      <c r="L657" s="32">
        <f>IF(OR(K657="",$F657=""),"",DATE(YEAR(K657),MONTH(K657)+VLOOKUP($F657,'Membership Level'!$A$3:$B$15,2,FALSE),DAY(K657)))</f>
        <v/>
      </c>
      <c r="M657" s="36" t="n"/>
      <c r="N657" s="34">
        <f>IF($L657="","",DATE(YEAR($L657),MONTH($L657),DAY($L657)-$M657))</f>
        <v/>
      </c>
      <c r="O657" s="33">
        <f>IF($L657="","",IF(DAYS360(NOW(),$L657)&gt;=0,DAYS360(NOW(),$L657),""))</f>
        <v/>
      </c>
      <c r="P657" s="34">
        <f>IF(OR(H657="",H657=0,F657="",K657=""),"",I657/H657*VLOOKUP(F657,'Membership Level'!$A$3:$C$15,3,FALSE)+K657)</f>
        <v/>
      </c>
      <c r="Q657" s="36" t="n"/>
    </row>
    <row r="658">
      <c r="C658" s="36" t="n"/>
      <c r="D658" s="36" t="n"/>
      <c r="E658" s="35" t="n"/>
      <c r="F658" s="36" t="n"/>
      <c r="G658" s="36" t="n"/>
      <c r="H658" s="30" t="n"/>
      <c r="I658" s="30" t="n"/>
      <c r="J658" s="31">
        <f>IF(H658="","",H658-I658)</f>
        <v/>
      </c>
      <c r="K658" s="43" t="n"/>
      <c r="L658" s="32">
        <f>IF(OR(K658="",$F658=""),"",DATE(YEAR(K658),MONTH(K658)+VLOOKUP($F658,'Membership Level'!$A$3:$B$15,2,FALSE),DAY(K658)))</f>
        <v/>
      </c>
      <c r="M658" s="36" t="n"/>
      <c r="N658" s="34">
        <f>IF($L658="","",DATE(YEAR($L658),MONTH($L658),DAY($L658)-$M658))</f>
        <v/>
      </c>
      <c r="O658" s="33">
        <f>IF($L658="","",IF(DAYS360(NOW(),$L658)&gt;=0,DAYS360(NOW(),$L658),""))</f>
        <v/>
      </c>
      <c r="P658" s="34">
        <f>IF(OR(H658="",H658=0,F658="",K658=""),"",I658/H658*VLOOKUP(F658,'Membership Level'!$A$3:$C$15,3,FALSE)+K658)</f>
        <v/>
      </c>
      <c r="Q658" s="36" t="n"/>
    </row>
    <row r="659">
      <c r="C659" s="36" t="n"/>
      <c r="D659" s="36" t="n"/>
      <c r="E659" s="35" t="n"/>
      <c r="F659" s="36" t="n"/>
      <c r="G659" s="36" t="n"/>
      <c r="H659" s="30" t="n"/>
      <c r="I659" s="30" t="n"/>
      <c r="J659" s="31">
        <f>IF(H659="","",H659-I659)</f>
        <v/>
      </c>
      <c r="K659" s="43" t="n"/>
      <c r="L659" s="32">
        <f>IF(OR(K659="",$F659=""),"",DATE(YEAR(K659),MONTH(K659)+VLOOKUP($F659,'Membership Level'!$A$3:$B$15,2,FALSE),DAY(K659)))</f>
        <v/>
      </c>
      <c r="M659" s="36" t="n"/>
      <c r="N659" s="34">
        <f>IF($L659="","",DATE(YEAR($L659),MONTH($L659),DAY($L659)-$M659))</f>
        <v/>
      </c>
      <c r="O659" s="33">
        <f>IF($L659="","",IF(DAYS360(NOW(),$L659)&gt;=0,DAYS360(NOW(),$L659),""))</f>
        <v/>
      </c>
      <c r="P659" s="34">
        <f>IF(OR(H659="",H659=0,F659="",K659=""),"",I659/H659*VLOOKUP(F659,'Membership Level'!$A$3:$C$15,3,FALSE)+K659)</f>
        <v/>
      </c>
      <c r="Q659" s="36" t="n"/>
    </row>
    <row r="660">
      <c r="C660" s="36" t="n"/>
      <c r="D660" s="36" t="n"/>
      <c r="E660" s="35" t="n"/>
      <c r="F660" s="36" t="n"/>
      <c r="G660" s="36" t="n"/>
      <c r="H660" s="30" t="n"/>
      <c r="I660" s="30" t="n"/>
      <c r="J660" s="31">
        <f>IF(H660="","",H660-I660)</f>
        <v/>
      </c>
      <c r="K660" s="43" t="n"/>
      <c r="L660" s="32">
        <f>IF(OR(K660="",$F660=""),"",DATE(YEAR(K660),MONTH(K660)+VLOOKUP($F660,'Membership Level'!$A$3:$B$15,2,FALSE),DAY(K660)))</f>
        <v/>
      </c>
      <c r="M660" s="36" t="n"/>
      <c r="N660" s="34">
        <f>IF($L660="","",DATE(YEAR($L660),MONTH($L660),DAY($L660)-$M660))</f>
        <v/>
      </c>
      <c r="O660" s="33">
        <f>IF($L660="","",IF(DAYS360(NOW(),$L660)&gt;=0,DAYS360(NOW(),$L660),""))</f>
        <v/>
      </c>
      <c r="P660" s="34">
        <f>IF(OR(H660="",H660=0,F660="",K660=""),"",I660/H660*VLOOKUP(F660,'Membership Level'!$A$3:$C$15,3,FALSE)+K660)</f>
        <v/>
      </c>
      <c r="Q660" s="36" t="n"/>
    </row>
    <row r="661">
      <c r="C661" s="36" t="n"/>
      <c r="D661" s="36" t="n"/>
      <c r="E661" s="66" t="n"/>
      <c r="F661" s="36" t="n"/>
      <c r="G661" s="36" t="n"/>
      <c r="H661" s="30" t="n"/>
      <c r="I661" s="30" t="n"/>
      <c r="J661" s="31">
        <f>IF(H661="","",H661-I661)</f>
        <v/>
      </c>
      <c r="K661" s="43" t="n"/>
      <c r="L661" s="32">
        <f>IF(OR(K661="",$F661=""),"",DATE(YEAR(K661),MONTH(K661)+VLOOKUP($F661,'Membership Level'!$A$3:$B$15,2,FALSE),DAY(K661)))</f>
        <v/>
      </c>
      <c r="M661" s="36" t="n"/>
      <c r="N661" s="34">
        <f>IF($L661="","",DATE(YEAR($L661),MONTH($L661),DAY($L661)-$M661))</f>
        <v/>
      </c>
      <c r="O661" s="33">
        <f>IF($L661="","",IF(DAYS360(NOW(),$L661)&gt;=0,DAYS360(NOW(),$L661),""))</f>
        <v/>
      </c>
      <c r="P661" s="34">
        <f>IF(OR(H661="",H661=0,F661="",K661=""),"",I661/H661*VLOOKUP(F661,'Membership Level'!$A$3:$C$15,3,FALSE)+K661)</f>
        <v/>
      </c>
      <c r="Q661" s="36" t="n"/>
    </row>
    <row r="662">
      <c r="C662" s="36" t="n"/>
      <c r="D662" s="36" t="n"/>
      <c r="E662" s="66" t="n"/>
      <c r="F662" s="33" t="n"/>
      <c r="G662" s="36" t="n"/>
      <c r="H662" s="30" t="n"/>
      <c r="I662" s="30" t="n"/>
      <c r="J662" s="31">
        <f>IF(H662="","",H662-I662)</f>
        <v/>
      </c>
      <c r="K662" s="43" t="n"/>
      <c r="L662" s="32">
        <f>IF(OR(K662="",$F662=""),"",DATE(YEAR(K662),MONTH(K662)+VLOOKUP($F662,'Membership Level'!$A$3:$B$15,2,FALSE),DAY(K662)))</f>
        <v/>
      </c>
      <c r="M662" s="36" t="n"/>
      <c r="N662" s="34">
        <f>IF($L662="","",DATE(YEAR($L662),MONTH($L662),DAY($L662)-$M662))</f>
        <v/>
      </c>
      <c r="O662" s="33">
        <f>IF($L662="","",IF(DAYS360(NOW(),$L662)&gt;=0,DAYS360(NOW(),$L662),""))</f>
        <v/>
      </c>
      <c r="P662" s="34">
        <f>IF(OR(H662="",H662=0,F662="",K662=""),"",I662/H662*VLOOKUP(F662,'Membership Level'!$A$3:$C$15,3,FALSE)+K662)</f>
        <v/>
      </c>
      <c r="Q662" s="36" t="n"/>
    </row>
    <row r="663">
      <c r="C663" s="36" t="n"/>
      <c r="D663" s="36" t="n"/>
      <c r="E663" s="66" t="n"/>
      <c r="F663" s="36" t="n"/>
      <c r="G663" s="36" t="n"/>
      <c r="H663" s="30" t="n"/>
      <c r="I663" s="30" t="n"/>
      <c r="J663" s="31">
        <f>IF(H663="","",H663-I663)</f>
        <v/>
      </c>
      <c r="K663" s="43" t="n"/>
      <c r="L663" s="32">
        <f>IF(OR(K663="",$F663=""),"",DATE(YEAR(K663),MONTH(K663)+VLOOKUP($F663,'Membership Level'!$A$3:$B$15,2,FALSE),DAY(K663)))</f>
        <v/>
      </c>
      <c r="M663" s="36" t="n"/>
      <c r="N663" s="34">
        <f>IF($L663="","",DATE(YEAR($L663),MONTH($L663),DAY($L663)-$M663))</f>
        <v/>
      </c>
      <c r="O663" s="33">
        <f>IF($L663="","",IF(DAYS360(NOW(),$L663)&gt;=0,DAYS360(NOW(),$L663),""))</f>
        <v/>
      </c>
      <c r="P663" s="34">
        <f>IF(OR(H663="",H663=0,F663="",K663=""),"",I663/H663*VLOOKUP(F663,'Membership Level'!$A$3:$C$15,3,FALSE)+K663)</f>
        <v/>
      </c>
      <c r="Q663" s="36" t="n"/>
    </row>
    <row r="664" customFormat="1" s="22">
      <c r="C664" s="33" t="n"/>
      <c r="D664" s="33" t="n"/>
      <c r="E664" s="66" t="n"/>
      <c r="F664" s="36" t="n"/>
      <c r="G664" s="33" t="n"/>
      <c r="H664" s="44" t="n"/>
      <c r="I664" s="44" t="n"/>
      <c r="J664" s="31">
        <f>IF(H664="","",H664-I664)</f>
        <v/>
      </c>
      <c r="K664" s="32" t="n"/>
      <c r="L664" s="32">
        <f>IF(OR(K664="",$F664=""),"",DATE(YEAR(K664),MONTH(K664)+VLOOKUP($F664,'Membership Level'!$A$3:$B$15,2,FALSE),DAY(K664)))</f>
        <v/>
      </c>
      <c r="M664" s="33" t="n"/>
      <c r="N664" s="34">
        <f>IF($L664="","",DATE(YEAR($L664),MONTH($L664),DAY($L664)-$M664))</f>
        <v/>
      </c>
      <c r="O664" s="33">
        <f>IF($L664="","",IF(DAYS360(NOW(),$L664)&gt;=0,DAYS360(NOW(),$L664),""))</f>
        <v/>
      </c>
      <c r="P664" s="34">
        <f>IF(OR(H664="",H664=0,F664="",K664=""),"",I664/H664*VLOOKUP(F664,'Membership Level'!$A$3:$C$15,3,FALSE)+K664)</f>
        <v/>
      </c>
      <c r="Q664" s="33" t="n"/>
    </row>
    <row r="665">
      <c r="C665" s="36" t="n"/>
      <c r="D665" s="36" t="n"/>
      <c r="E665" s="66" t="n"/>
      <c r="F665" s="36" t="n"/>
      <c r="G665" s="36" t="n"/>
      <c r="H665" s="30" t="n"/>
      <c r="I665" s="30" t="n"/>
      <c r="J665" s="31">
        <f>IF(H665="","",H665-I665)</f>
        <v/>
      </c>
      <c r="K665" s="43" t="n"/>
      <c r="L665" s="32">
        <f>IF(OR(K665="",$F665=""),"",DATE(YEAR(K665),MONTH(K665)+VLOOKUP($F665,'Membership Level'!$A$3:$B$15,2,FALSE),DAY(K665)))</f>
        <v/>
      </c>
      <c r="M665" s="36" t="n"/>
      <c r="N665" s="34">
        <f>IF($L665="","",DATE(YEAR($L665),MONTH($L665),DAY($L665)-$M665))</f>
        <v/>
      </c>
      <c r="O665" s="33">
        <f>IF($L665="","",IF(DAYS360(NOW(),$L665)&gt;=0,DAYS360(NOW(),$L665),""))</f>
        <v/>
      </c>
      <c r="P665" s="34">
        <f>IF(OR(H665="",H665=0,F665="",K665=""),"",I665/H665*VLOOKUP(F665,'Membership Level'!$A$3:$C$15,3,FALSE)+K665)</f>
        <v/>
      </c>
      <c r="Q665" s="36" t="n"/>
    </row>
    <row r="666">
      <c r="C666" s="36" t="n"/>
      <c r="D666" s="36" t="n"/>
      <c r="E666" s="35" t="n"/>
      <c r="F666" s="36" t="n"/>
      <c r="G666" s="36" t="n"/>
      <c r="H666" s="30" t="n"/>
      <c r="I666" s="30" t="n"/>
      <c r="J666" s="31">
        <f>IF(H666="","",H666-I666)</f>
        <v/>
      </c>
      <c r="K666" s="43" t="n"/>
      <c r="L666" s="32">
        <f>IF(OR(K666="",$F666=""),"",DATE(YEAR(K666),MONTH(K666)+VLOOKUP($F666,'Membership Level'!$A$3:$B$15,2,FALSE),DAY(K666)))</f>
        <v/>
      </c>
      <c r="M666" s="36" t="n"/>
      <c r="N666" s="34">
        <f>IF($L666="","",DATE(YEAR($L666),MONTH($L666),DAY($L666)-$M666))</f>
        <v/>
      </c>
      <c r="O666" s="33">
        <f>IF($L666="","",IF(DAYS360(NOW(),$L666)&gt;=0,DAYS360(NOW(),$L666),""))</f>
        <v/>
      </c>
      <c r="P666" s="34">
        <f>IF(OR(H666="",H666=0,F666="",K666=""),"",I666/H666*VLOOKUP(F666,'Membership Level'!$A$3:$C$15,3,FALSE)+K666)</f>
        <v/>
      </c>
      <c r="Q666" s="36" t="n"/>
    </row>
    <row r="667">
      <c r="C667" s="36" t="n"/>
      <c r="D667" s="36" t="n"/>
      <c r="E667" s="35" t="n"/>
      <c r="F667" s="36" t="n"/>
      <c r="G667" s="36" t="n"/>
      <c r="H667" s="30" t="n"/>
      <c r="I667" s="30" t="n"/>
      <c r="J667" s="31">
        <f>IF(H667="","",H667-I667)</f>
        <v/>
      </c>
      <c r="K667" s="43" t="n"/>
      <c r="L667" s="32">
        <f>IF(OR(K667="",$F667=""),"",DATE(YEAR(K667),MONTH(K667)+VLOOKUP($F667,'Membership Level'!$A$3:$B$15,2,FALSE),DAY(K667)))</f>
        <v/>
      </c>
      <c r="M667" s="36" t="n"/>
      <c r="N667" s="34">
        <f>IF($L667="","",DATE(YEAR($L667),MONTH($L667),DAY($L667)-$M667))</f>
        <v/>
      </c>
      <c r="O667" s="33">
        <f>IF($L667="","",IF(DAYS360(NOW(),$L667)&gt;=0,DAYS360(NOW(),$L667),""))</f>
        <v/>
      </c>
      <c r="P667" s="34">
        <f>IF(OR(H667="",H667=0,F667="",K667=""),"",I667/H667*VLOOKUP(F667,'Membership Level'!$A$3:$C$15,3,FALSE)+K667)</f>
        <v/>
      </c>
      <c r="Q667" s="36" t="n"/>
    </row>
    <row r="668">
      <c r="C668" s="36" t="n"/>
      <c r="D668" s="36" t="n"/>
      <c r="E668" s="35" t="n"/>
      <c r="F668" s="36" t="n"/>
      <c r="G668" s="36" t="n"/>
      <c r="H668" s="30" t="n"/>
      <c r="I668" s="30" t="n"/>
      <c r="J668" s="31">
        <f>IF(H668="","",H668-I668)</f>
        <v/>
      </c>
      <c r="K668" s="43" t="n"/>
      <c r="L668" s="32">
        <f>IF(OR(K668="",$F668=""),"",DATE(YEAR(K668),MONTH(K668)+VLOOKUP($F668,'Membership Level'!$A$3:$B$15,2,FALSE),DAY(K668)))</f>
        <v/>
      </c>
      <c r="M668" s="36" t="n"/>
      <c r="N668" s="34">
        <f>IF($L668="","",DATE(YEAR($L668),MONTH($L668),DAY($L668)-$M668))</f>
        <v/>
      </c>
      <c r="O668" s="33">
        <f>IF($L668="","",IF(DAYS360(NOW(),$L668)&gt;=0,DAYS360(NOW(),$L668),""))</f>
        <v/>
      </c>
      <c r="P668" s="34">
        <f>IF(OR(H668="",H668=0,F668="",K668=""),"",I668/H668*VLOOKUP(F668,'Membership Level'!$A$3:$C$15,3,FALSE)+K668)</f>
        <v/>
      </c>
      <c r="Q668" s="36" t="n"/>
    </row>
    <row r="669">
      <c r="C669" s="36" t="n"/>
      <c r="D669" s="36" t="n"/>
      <c r="E669" s="35" t="n"/>
      <c r="F669" s="36" t="n"/>
      <c r="G669" s="36" t="n"/>
      <c r="H669" s="30" t="n"/>
      <c r="I669" s="30" t="n"/>
      <c r="J669" s="31">
        <f>IF(H669="","",H669-I669)</f>
        <v/>
      </c>
      <c r="K669" s="43" t="n"/>
      <c r="L669" s="32">
        <f>IF(OR(K669="",$F669=""),"",DATE(YEAR(K669),MONTH(K669)+VLOOKUP($F669,'Membership Level'!$A$3:$B$15,2,FALSE),DAY(K669)))</f>
        <v/>
      </c>
      <c r="M669" s="36" t="n"/>
      <c r="N669" s="34">
        <f>IF($L669="","",DATE(YEAR($L669),MONTH($L669),DAY($L669)-$M669))</f>
        <v/>
      </c>
      <c r="O669" s="33">
        <f>IF($L669="","",IF(DAYS360(NOW(),$L669)&gt;=0,DAYS360(NOW(),$L669),""))</f>
        <v/>
      </c>
      <c r="P669" s="34">
        <f>IF(OR(H669="",H669=0,F669="",K669=""),"",I669/H669*VLOOKUP(F669,'Membership Level'!$A$3:$C$15,3,FALSE)+K669)</f>
        <v/>
      </c>
      <c r="Q669" s="36" t="n"/>
    </row>
    <row r="670">
      <c r="C670" s="36" t="n"/>
      <c r="D670" s="36" t="n"/>
      <c r="E670" s="35" t="n"/>
      <c r="F670" s="36" t="n"/>
      <c r="G670" s="36" t="n"/>
      <c r="H670" s="30" t="n"/>
      <c r="I670" s="30" t="n"/>
      <c r="J670" s="31">
        <f>IF(H670="","",H670-I670)</f>
        <v/>
      </c>
      <c r="K670" s="43" t="n"/>
      <c r="L670" s="32">
        <f>IF(OR(K670="",$F670=""),"",DATE(YEAR(K670),MONTH(K670)+VLOOKUP($F670,'Membership Level'!$A$3:$B$15,2,FALSE),DAY(K670)))</f>
        <v/>
      </c>
      <c r="M670" s="36" t="n"/>
      <c r="N670" s="34">
        <f>IF($L670="","",DATE(YEAR($L670),MONTH($L670),DAY($L670)-$M670))</f>
        <v/>
      </c>
      <c r="O670" s="33">
        <f>IF($L670="","",IF(DAYS360(NOW(),$L670)&gt;=0,DAYS360(NOW(),$L670),""))</f>
        <v/>
      </c>
      <c r="P670" s="34">
        <f>IF(OR(H670="",H670=0,F670="",K670=""),"",I670/H670*VLOOKUP(F670,'Membership Level'!$A$3:$C$15,3,FALSE)+K670)</f>
        <v/>
      </c>
      <c r="Q670" s="36" t="n"/>
    </row>
    <row r="671">
      <c r="C671" s="36" t="n"/>
      <c r="D671" s="36" t="n"/>
      <c r="E671" s="35" t="n"/>
      <c r="F671" s="36" t="n"/>
      <c r="G671" s="36" t="n"/>
      <c r="H671" s="30" t="n"/>
      <c r="I671" s="30" t="n"/>
      <c r="J671" s="31">
        <f>IF(H671="","",H671-I671)</f>
        <v/>
      </c>
      <c r="K671" s="43" t="n"/>
      <c r="L671" s="32">
        <f>IF(OR(K671="",$F671=""),"",DATE(YEAR(K671),MONTH(K671)+VLOOKUP($F671,'Membership Level'!$A$3:$B$15,2,FALSE),DAY(K671)))</f>
        <v/>
      </c>
      <c r="M671" s="36" t="n"/>
      <c r="N671" s="34">
        <f>IF($L671="","",DATE(YEAR($L671),MONTH($L671),DAY($L671)-$M671))</f>
        <v/>
      </c>
      <c r="O671" s="33">
        <f>IF($L671="","",IF(DAYS360(NOW(),$L671)&gt;=0,DAYS360(NOW(),$L671),""))</f>
        <v/>
      </c>
      <c r="P671" s="34">
        <f>IF(OR(H671="",H671=0,F671="",K671=""),"",I671/H671*VLOOKUP(F671,'Membership Level'!$A$3:$C$15,3,FALSE)+K671)</f>
        <v/>
      </c>
      <c r="Q671" s="36" t="n"/>
    </row>
    <row r="672">
      <c r="C672" s="36" t="n"/>
      <c r="D672" s="36" t="n"/>
      <c r="E672" s="35" t="n"/>
      <c r="F672" s="36" t="n"/>
      <c r="G672" s="36" t="n"/>
      <c r="H672" s="30" t="n"/>
      <c r="I672" s="30" t="n"/>
      <c r="J672" s="31">
        <f>IF(H672="","",H672-I672)</f>
        <v/>
      </c>
      <c r="K672" s="43" t="n"/>
      <c r="L672" s="32">
        <f>IF(OR(K672="",$F672=""),"",DATE(YEAR(K672),MONTH(K672)+VLOOKUP($F672,'Membership Level'!$A$3:$B$15,2,FALSE),DAY(K672)))</f>
        <v/>
      </c>
      <c r="M672" s="36" t="n"/>
      <c r="N672" s="34">
        <f>IF($L672="","",DATE(YEAR($L672),MONTH($L672),DAY($L672)-$M672))</f>
        <v/>
      </c>
      <c r="O672" s="33">
        <f>IF($L672="","",IF(DAYS360(NOW(),$L672)&gt;=0,DAYS360(NOW(),$L672),""))</f>
        <v/>
      </c>
      <c r="P672" s="34">
        <f>IF(OR(H672="",H672=0,F672="",K672=""),"",I672/H672*VLOOKUP(F672,'Membership Level'!$A$3:$C$15,3,FALSE)+K672)</f>
        <v/>
      </c>
      <c r="Q672" s="36" t="n"/>
    </row>
    <row r="673">
      <c r="C673" s="36" t="n"/>
      <c r="D673" s="36" t="n"/>
      <c r="E673" s="66" t="n"/>
      <c r="F673" s="36" t="n"/>
      <c r="G673" s="36" t="n"/>
      <c r="H673" s="30" t="n"/>
      <c r="I673" s="30" t="n"/>
      <c r="J673" s="31">
        <f>IF(H673="","",H673-I673)</f>
        <v/>
      </c>
      <c r="K673" s="43" t="n"/>
      <c r="L673" s="32">
        <f>IF(OR(K673="",$F673=""),"",DATE(YEAR(K673),MONTH(K673)+VLOOKUP($F673,'Membership Level'!$A$3:$B$15,2,FALSE),DAY(K673)))</f>
        <v/>
      </c>
      <c r="M673" s="36" t="n"/>
      <c r="N673" s="34">
        <f>IF($L673="","",DATE(YEAR($L673),MONTH($L673),DAY($L673)-$M673))</f>
        <v/>
      </c>
      <c r="O673" s="33">
        <f>IF($L673="","",IF(DAYS360(NOW(),$L673)&gt;=0,DAYS360(NOW(),$L673),""))</f>
        <v/>
      </c>
      <c r="P673" s="34">
        <f>IF(OR(H673="",H673=0,F673="",K673=""),"",I673/H673*VLOOKUP(F673,'Membership Level'!$A$3:$C$15,3,FALSE)+K673)</f>
        <v/>
      </c>
      <c r="Q673" s="36" t="n"/>
    </row>
    <row r="674">
      <c r="C674" s="36" t="n"/>
      <c r="D674" s="36" t="n"/>
      <c r="E674" s="66" t="n"/>
      <c r="F674" s="36" t="n"/>
      <c r="G674" s="36" t="n"/>
      <c r="H674" s="30" t="n"/>
      <c r="I674" s="30" t="n"/>
      <c r="J674" s="31">
        <f>IF(H674="","",H674-I674)</f>
        <v/>
      </c>
      <c r="K674" s="43" t="n"/>
      <c r="L674" s="32">
        <f>IF(OR(K674="",$F674=""),"",DATE(YEAR(K674),MONTH(K674)+VLOOKUP($F674,'Membership Level'!$A$3:$B$15,2,FALSE),DAY(K674)))</f>
        <v/>
      </c>
      <c r="M674" s="36" t="n"/>
      <c r="N674" s="34">
        <f>IF($L674="","",DATE(YEAR($L674),MONTH($L674),DAY($L674)-$M674))</f>
        <v/>
      </c>
      <c r="O674" s="33">
        <f>IF($L674="","",IF(DAYS360(NOW(),$L674)&gt;=0,DAYS360(NOW(),$L674),""))</f>
        <v/>
      </c>
      <c r="P674" s="34">
        <f>IF(OR(H674="",H674=0,F674="",K674=""),"",I674/H674*VLOOKUP(F674,'Membership Level'!$A$3:$C$15,3,FALSE)+K674)</f>
        <v/>
      </c>
      <c r="Q674" s="36" t="n"/>
    </row>
    <row r="675">
      <c r="C675" s="36" t="n"/>
      <c r="D675" s="36" t="n"/>
      <c r="E675" s="35" t="n"/>
      <c r="F675" s="36" t="n"/>
      <c r="G675" s="36" t="n"/>
      <c r="H675" s="30" t="n"/>
      <c r="I675" s="30" t="n"/>
      <c r="J675" s="31">
        <f>IF(H675="","",H675-I675)</f>
        <v/>
      </c>
      <c r="K675" s="43" t="n"/>
      <c r="L675" s="32">
        <f>IF(OR(K675="",$F675=""),"",DATE(YEAR(K675),MONTH(K675)+VLOOKUP($F675,'Membership Level'!$A$3:$B$15,2,FALSE),DAY(K675)))</f>
        <v/>
      </c>
      <c r="M675" s="36" t="n"/>
      <c r="N675" s="34">
        <f>IF($L675="","",DATE(YEAR($L675),MONTH($L675),DAY($L675)-$M675))</f>
        <v/>
      </c>
      <c r="O675" s="33">
        <f>IF($L675="","",IF(DAYS360(NOW(),$L675)&gt;=0,DAYS360(NOW(),$L675),""))</f>
        <v/>
      </c>
      <c r="P675" s="34">
        <f>IF(OR(H675="",H675=0,F675="",K675=""),"",I675/H675*VLOOKUP(F675,'Membership Level'!$A$3:$C$15,3,FALSE)+K675)</f>
        <v/>
      </c>
      <c r="Q675" s="36" t="n"/>
    </row>
    <row r="676">
      <c r="C676" s="36" t="n"/>
      <c r="D676" s="36" t="n"/>
      <c r="E676" s="35" t="n"/>
      <c r="F676" s="36" t="n"/>
      <c r="G676" s="36" t="n"/>
      <c r="H676" s="30" t="n"/>
      <c r="I676" s="30" t="n"/>
      <c r="J676" s="31">
        <f>IF(H676="","",H676-I676)</f>
        <v/>
      </c>
      <c r="K676" s="43" t="n"/>
      <c r="L676" s="32">
        <f>IF(OR(K676="",$F676=""),"",DATE(YEAR(K676),MONTH(K676)+VLOOKUP($F676,'Membership Level'!$A$3:$B$15,2,FALSE),DAY(K676)))</f>
        <v/>
      </c>
      <c r="M676" s="36" t="n"/>
      <c r="N676" s="34">
        <f>IF($L676="","",DATE(YEAR($L676),MONTH($L676),DAY($L676)-$M676))</f>
        <v/>
      </c>
      <c r="O676" s="33">
        <f>IF($L676="","",IF(DAYS360(NOW(),$L676)&gt;=0,DAYS360(NOW(),$L676),""))</f>
        <v/>
      </c>
      <c r="P676" s="34">
        <f>IF(OR(H676="",H676=0,F676="",K676=""),"",I676/H676*VLOOKUP(F676,'Membership Level'!$A$3:$C$15,3,FALSE)+K676)</f>
        <v/>
      </c>
      <c r="Q676" s="36" t="n"/>
    </row>
    <row r="677">
      <c r="C677" s="36" t="n"/>
      <c r="D677" s="36" t="n"/>
      <c r="E677" s="35" t="n"/>
      <c r="F677" s="36" t="n"/>
      <c r="G677" s="36" t="n"/>
      <c r="H677" s="30" t="n"/>
      <c r="I677" s="30" t="n"/>
      <c r="J677" s="31">
        <f>IF(H677="","",H677-I677)</f>
        <v/>
      </c>
      <c r="K677" s="43" t="n"/>
      <c r="L677" s="32">
        <f>IF(OR(K677="",$F677=""),"",DATE(YEAR(K677),MONTH(K677)+VLOOKUP($F677,'Membership Level'!$A$3:$B$15,2,FALSE),DAY(K677)))</f>
        <v/>
      </c>
      <c r="M677" s="36" t="n"/>
      <c r="N677" s="34">
        <f>IF($L677="","",DATE(YEAR($L677),MONTH($L677),DAY($L677)-$M677))</f>
        <v/>
      </c>
      <c r="O677" s="33">
        <f>IF($L677="","",IF(DAYS360(NOW(),$L677)&gt;=0,DAYS360(NOW(),$L677),""))</f>
        <v/>
      </c>
      <c r="P677" s="34">
        <f>IF(OR(H677="",H677=0,F677="",K677=""),"",I677/H677*VLOOKUP(F677,'Membership Level'!$A$3:$C$15,3,FALSE)+K677)</f>
        <v/>
      </c>
      <c r="Q677" s="36" t="n"/>
    </row>
    <row r="678">
      <c r="C678" s="36" t="n"/>
      <c r="D678" s="36" t="n"/>
      <c r="E678" s="35" t="n"/>
      <c r="F678" s="36" t="n"/>
      <c r="G678" s="36" t="n"/>
      <c r="H678" s="30" t="n"/>
      <c r="I678" s="30" t="n"/>
      <c r="J678" s="31">
        <f>IF(H678="","",H678-I678)</f>
        <v/>
      </c>
      <c r="K678" s="43" t="n"/>
      <c r="L678" s="32">
        <f>IF(OR(K678="",$F678=""),"",DATE(YEAR(K678),MONTH(K678)+VLOOKUP($F678,'Membership Level'!$A$3:$B$15,2,FALSE),DAY(K678)))</f>
        <v/>
      </c>
      <c r="M678" s="36" t="n"/>
      <c r="N678" s="34">
        <f>IF($L678="","",DATE(YEAR($L678),MONTH($L678),DAY($L678)-$M678))</f>
        <v/>
      </c>
      <c r="O678" s="33">
        <f>IF($L678="","",IF(DAYS360(NOW(),$L678)&gt;=0,DAYS360(NOW(),$L678),""))</f>
        <v/>
      </c>
      <c r="P678" s="34">
        <f>IF(OR(H678="",H678=0,F678="",K678=""),"",I678/H678*VLOOKUP(F678,'Membership Level'!$A$3:$C$15,3,FALSE)+K678)</f>
        <v/>
      </c>
      <c r="Q678" s="36" t="n"/>
    </row>
    <row r="679">
      <c r="C679" s="36" t="n"/>
      <c r="D679" s="36" t="n"/>
      <c r="E679" s="66" t="n"/>
      <c r="F679" s="36" t="n"/>
      <c r="G679" s="36" t="n"/>
      <c r="H679" s="30" t="n"/>
      <c r="I679" s="30" t="n"/>
      <c r="J679" s="31">
        <f>IF(H679="","",H679-I679)</f>
        <v/>
      </c>
      <c r="K679" s="43" t="n"/>
      <c r="L679" s="32">
        <f>IF(OR(K679="",$F679=""),"",DATE(YEAR(K679),MONTH(K679)+VLOOKUP($F679,'Membership Level'!$A$3:$B$15,2,FALSE),DAY(K679)))</f>
        <v/>
      </c>
      <c r="M679" s="36" t="n"/>
      <c r="N679" s="34">
        <f>IF($L679="","",DATE(YEAR($L679),MONTH($L679),DAY($L679)-$M679))</f>
        <v/>
      </c>
      <c r="O679" s="33">
        <f>IF($L679="","",IF(DAYS360(NOW(),$L679)&gt;=0,DAYS360(NOW(),$L679),""))</f>
        <v/>
      </c>
      <c r="P679" s="34">
        <f>IF(OR(H679="",H679=0,F679="",K679=""),"",I679/H679*VLOOKUP(F679,'Membership Level'!$A$3:$C$15,3,FALSE)+K679)</f>
        <v/>
      </c>
      <c r="Q679" s="36" t="n"/>
    </row>
    <row r="680">
      <c r="C680" s="36" t="n"/>
      <c r="D680" s="36" t="n"/>
      <c r="E680" s="35" t="n"/>
      <c r="F680" s="36" t="n"/>
      <c r="G680" s="36" t="n"/>
      <c r="H680" s="30" t="n"/>
      <c r="I680" s="30" t="n"/>
      <c r="J680" s="31">
        <f>IF(H680="","",H680-I680)</f>
        <v/>
      </c>
      <c r="K680" s="43" t="n"/>
      <c r="L680" s="32">
        <f>IF(OR(K680="",$F680=""),"",DATE(YEAR(K680),MONTH(K680)+VLOOKUP($F680,'Membership Level'!$A$3:$B$15,2,FALSE),DAY(K680)))</f>
        <v/>
      </c>
      <c r="M680" s="36" t="n"/>
      <c r="N680" s="34">
        <f>IF($L680="","",DATE(YEAR($L680),MONTH($L680),DAY($L680)-$M680))</f>
        <v/>
      </c>
      <c r="O680" s="33">
        <f>IF($L680="","",IF(DAYS360(NOW(),$L680)&gt;=0,DAYS360(NOW(),$L680),""))</f>
        <v/>
      </c>
      <c r="P680" s="34">
        <f>IF(OR(H680="",H680=0,F680="",K680=""),"",I680/H680*VLOOKUP(F680,'Membership Level'!$A$3:$C$15,3,FALSE)+K680)</f>
        <v/>
      </c>
      <c r="Q680" s="36" t="n"/>
    </row>
    <row r="681">
      <c r="C681" s="36" t="n"/>
      <c r="D681" s="36" t="n"/>
      <c r="E681" s="35" t="n"/>
      <c r="F681" s="36" t="n"/>
      <c r="G681" s="36" t="n"/>
      <c r="H681" s="30" t="n"/>
      <c r="I681" s="30" t="n"/>
      <c r="J681" s="31">
        <f>IF(H681="","",H681-I681)</f>
        <v/>
      </c>
      <c r="K681" s="43" t="n"/>
      <c r="L681" s="32">
        <f>IF(OR(K681="",$F681=""),"",DATE(YEAR(K681),MONTH(K681)+VLOOKUP($F681,'Membership Level'!$A$3:$B$15,2,FALSE),DAY(K681)))</f>
        <v/>
      </c>
      <c r="M681" s="36" t="n"/>
      <c r="N681" s="34">
        <f>IF($L681="","",DATE(YEAR($L681),MONTH($L681),DAY($L681)-$M681))</f>
        <v/>
      </c>
      <c r="O681" s="33">
        <f>IF($L681="","",IF(DAYS360(NOW(),$L681)&gt;=0,DAYS360(NOW(),$L681),""))</f>
        <v/>
      </c>
      <c r="P681" s="34">
        <f>IF(OR(H681="",H681=0,F681="",K681=""),"",I681/H681*VLOOKUP(F681,'Membership Level'!$A$3:$C$15,3,FALSE)+K681)</f>
        <v/>
      </c>
      <c r="Q681" s="36" t="n"/>
    </row>
    <row r="682">
      <c r="C682" s="36" t="n"/>
      <c r="D682" s="36" t="n"/>
      <c r="E682" s="35" t="n"/>
      <c r="F682" s="36" t="n"/>
      <c r="G682" s="36" t="n"/>
      <c r="H682" s="30" t="n"/>
      <c r="I682" s="30" t="n"/>
      <c r="J682" s="31">
        <f>IF(H682="","",H682-I682)</f>
        <v/>
      </c>
      <c r="K682" s="43" t="n"/>
      <c r="L682" s="32">
        <f>IF(OR(K682="",$F682=""),"",DATE(YEAR(K682),MONTH(K682)+VLOOKUP($F682,'Membership Level'!$A$3:$B$15,2,FALSE),DAY(K682)))</f>
        <v/>
      </c>
      <c r="M682" s="36" t="n"/>
      <c r="N682" s="34">
        <f>IF($L682="","",DATE(YEAR($L682),MONTH($L682),DAY($L682)-$M682))</f>
        <v/>
      </c>
      <c r="O682" s="33">
        <f>IF($L682="","",IF(DAYS360(NOW(),$L682)&gt;=0,DAYS360(NOW(),$L682),""))</f>
        <v/>
      </c>
      <c r="P682" s="34">
        <f>IF(OR(H682="",H682=0,F682="",K682=""),"",I682/H682*VLOOKUP(F682,'Membership Level'!$A$3:$C$15,3,FALSE)+K682)</f>
        <v/>
      </c>
      <c r="Q682" s="36" t="n"/>
    </row>
    <row r="683">
      <c r="C683" s="36" t="n"/>
      <c r="D683" s="36" t="n"/>
      <c r="E683" s="35" t="n"/>
      <c r="F683" s="36" t="n"/>
      <c r="G683" s="36" t="n"/>
      <c r="H683" s="30" t="n"/>
      <c r="I683" s="30" t="n"/>
      <c r="J683" s="31">
        <f>IF(H683="","",H683-I683)</f>
        <v/>
      </c>
      <c r="K683" s="43" t="n"/>
      <c r="L683" s="32">
        <f>IF(OR(K683="",$F683=""),"",DATE(YEAR(K683),MONTH(K683)+VLOOKUP($F683,'Membership Level'!$A$3:$B$15,2,FALSE),DAY(K683)))</f>
        <v/>
      </c>
      <c r="M683" s="36" t="n"/>
      <c r="N683" s="34">
        <f>IF($L683="","",DATE(YEAR($L683),MONTH($L683),DAY($L683)-$M683))</f>
        <v/>
      </c>
      <c r="O683" s="33">
        <f>IF($L683="","",IF(DAYS360(NOW(),$L683)&gt;=0,DAYS360(NOW(),$L683),""))</f>
        <v/>
      </c>
      <c r="P683" s="34">
        <f>IF(OR(H683="",H683=0,F683="",K683=""),"",I683/H683*VLOOKUP(F683,'Membership Level'!$A$3:$C$15,3,FALSE)+K683)</f>
        <v/>
      </c>
      <c r="Q683" s="36" t="n"/>
    </row>
    <row r="684">
      <c r="C684" s="36" t="n"/>
      <c r="D684" s="36" t="n"/>
      <c r="E684" s="35" t="n"/>
      <c r="F684" s="36" t="n"/>
      <c r="G684" s="36" t="n"/>
      <c r="H684" s="30" t="n"/>
      <c r="I684" s="30" t="n"/>
      <c r="J684" s="31">
        <f>IF(H684="","",H684-I684)</f>
        <v/>
      </c>
      <c r="K684" s="43" t="n"/>
      <c r="L684" s="32">
        <f>IF(OR(K684="",$F684=""),"",DATE(YEAR(K684),MONTH(K684)+VLOOKUP($F684,'Membership Level'!$A$3:$B$15,2,FALSE),DAY(K684)))</f>
        <v/>
      </c>
      <c r="M684" s="36" t="n"/>
      <c r="N684" s="34">
        <f>IF($L684="","",DATE(YEAR($L684),MONTH($L684),DAY($L684)-$M684))</f>
        <v/>
      </c>
      <c r="O684" s="33">
        <f>IF($L684="","",IF(DAYS360(NOW(),$L684)&gt;=0,DAYS360(NOW(),$L684),""))</f>
        <v/>
      </c>
      <c r="P684" s="34">
        <f>IF(OR(H684="",H684=0,F684="",K684=""),"",I684/H684*VLOOKUP(F684,'Membership Level'!$A$3:$C$15,3,FALSE)+K684)</f>
        <v/>
      </c>
      <c r="Q684" s="36" t="n"/>
    </row>
    <row r="685">
      <c r="C685" s="36" t="n"/>
      <c r="D685" s="36" t="n"/>
      <c r="E685" s="35" t="n"/>
      <c r="F685" s="36" t="n"/>
      <c r="G685" s="36" t="n"/>
      <c r="H685" s="30" t="n"/>
      <c r="I685" s="30" t="n"/>
      <c r="J685" s="31">
        <f>IF(H685="","",H685-I685)</f>
        <v/>
      </c>
      <c r="K685" s="43" t="n"/>
      <c r="L685" s="32">
        <f>IF(OR(K685="",$F685=""),"",DATE(YEAR(K685),MONTH(K685)+VLOOKUP($F685,'Membership Level'!$A$3:$B$15,2,FALSE),DAY(K685)))</f>
        <v/>
      </c>
      <c r="M685" s="36" t="n"/>
      <c r="N685" s="34">
        <f>IF($L685="","",DATE(YEAR($L685),MONTH($L685),DAY($L685)-$M685))</f>
        <v/>
      </c>
      <c r="O685" s="33">
        <f>IF($L685="","",IF(DAYS360(NOW(),$L685)&gt;=0,DAYS360(NOW(),$L685),""))</f>
        <v/>
      </c>
      <c r="P685" s="34">
        <f>IF(OR(H685="",H685=0,F685="",K685=""),"",I685/H685*VLOOKUP(F685,'Membership Level'!$A$3:$C$15,3,FALSE)+K685)</f>
        <v/>
      </c>
      <c r="Q685" s="36" t="n"/>
    </row>
    <row r="686">
      <c r="C686" s="36" t="n"/>
      <c r="D686" s="36" t="n"/>
      <c r="E686" s="35" t="n"/>
      <c r="F686" s="36" t="n"/>
      <c r="G686" s="36" t="n"/>
      <c r="H686" s="30" t="n"/>
      <c r="I686" s="30" t="n"/>
      <c r="J686" s="31">
        <f>IF(H686="","",H686-I686)</f>
        <v/>
      </c>
      <c r="K686" s="43" t="n"/>
      <c r="L686" s="32">
        <f>IF(OR(K686="",$F686=""),"",DATE(YEAR(K686),MONTH(K686)+VLOOKUP($F686,'Membership Level'!$A$3:$B$15,2,FALSE),DAY(K686)))</f>
        <v/>
      </c>
      <c r="M686" s="36" t="n"/>
      <c r="N686" s="34">
        <f>IF($L686="","",DATE(YEAR($L686),MONTH($L686),DAY($L686)-$M686))</f>
        <v/>
      </c>
      <c r="O686" s="33">
        <f>IF($L686="","",IF(DAYS360(NOW(),$L686)&gt;=0,DAYS360(NOW(),$L686),""))</f>
        <v/>
      </c>
      <c r="P686" s="34">
        <f>IF(OR(H686="",H686=0,F686="",K686=""),"",I686/H686*VLOOKUP(F686,'Membership Level'!$A$3:$C$15,3,FALSE)+K686)</f>
        <v/>
      </c>
      <c r="Q686" s="36" t="n"/>
    </row>
    <row r="687">
      <c r="C687" s="36" t="n"/>
      <c r="D687" s="36" t="n"/>
      <c r="E687" s="35" t="n"/>
      <c r="F687" s="36" t="n"/>
      <c r="G687" s="36" t="n"/>
      <c r="H687" s="30" t="n"/>
      <c r="I687" s="30" t="n"/>
      <c r="J687" s="31">
        <f>IF(H687="","",H687-I687)</f>
        <v/>
      </c>
      <c r="K687" s="43" t="n"/>
      <c r="L687" s="32">
        <f>IF(OR(K687="",$F687=""),"",DATE(YEAR(K687),MONTH(K687)+VLOOKUP($F687,'Membership Level'!$A$3:$B$15,2,FALSE),DAY(K687)))</f>
        <v/>
      </c>
      <c r="M687" s="36" t="n"/>
      <c r="N687" s="34">
        <f>IF($L687="","",DATE(YEAR($L687),MONTH($L687),DAY($L687)-$M687))</f>
        <v/>
      </c>
      <c r="O687" s="33">
        <f>IF($L687="","",IF(DAYS360(NOW(),$L687)&gt;=0,DAYS360(NOW(),$L687),""))</f>
        <v/>
      </c>
      <c r="P687" s="34">
        <f>IF(OR(H687="",H687=0,F687="",K687=""),"",I687/H687*VLOOKUP(F687,'Membership Level'!$A$3:$C$15,3,FALSE)+K687)</f>
        <v/>
      </c>
      <c r="Q687" s="36" t="n"/>
    </row>
    <row r="688">
      <c r="C688" s="36" t="n"/>
      <c r="D688" s="36" t="n"/>
      <c r="E688" s="35" t="n"/>
      <c r="F688" s="36" t="n"/>
      <c r="G688" s="36" t="n"/>
      <c r="H688" s="30" t="n"/>
      <c r="I688" s="30" t="n"/>
      <c r="J688" s="31">
        <f>IF(H688="","",H688-I688)</f>
        <v/>
      </c>
      <c r="K688" s="43" t="n"/>
      <c r="L688" s="32">
        <f>IF(OR(K688="",$F688=""),"",DATE(YEAR(K688),MONTH(K688)+VLOOKUP($F688,'Membership Level'!$A$3:$B$15,2,FALSE),DAY(K688)))</f>
        <v/>
      </c>
      <c r="M688" s="36" t="n"/>
      <c r="N688" s="34">
        <f>IF($L688="","",DATE(YEAR($L688),MONTH($L688),DAY($L688)-$M688))</f>
        <v/>
      </c>
      <c r="O688" s="33">
        <f>IF($L688="","",IF(DAYS360(NOW(),$L688)&gt;=0,DAYS360(NOW(),$L688),""))</f>
        <v/>
      </c>
      <c r="P688" s="34">
        <f>IF(OR(H688="",H688=0,F688="",K688=""),"",I688/H688*VLOOKUP(F688,'Membership Level'!$A$3:$C$15,3,FALSE)+K688)</f>
        <v/>
      </c>
      <c r="Q688" s="36" t="n"/>
    </row>
    <row r="689">
      <c r="C689" s="36" t="n"/>
      <c r="D689" s="36" t="n"/>
      <c r="E689" s="35" t="n"/>
      <c r="F689" s="36" t="n"/>
      <c r="G689" s="36" t="n"/>
      <c r="H689" s="30" t="n"/>
      <c r="I689" s="30" t="n"/>
      <c r="J689" s="31">
        <f>IF(H689="","",H689-I689)</f>
        <v/>
      </c>
      <c r="K689" s="43" t="n"/>
      <c r="L689" s="32">
        <f>IF(OR(K689="",$F689=""),"",DATE(YEAR(K689),MONTH(K689)+VLOOKUP($F689,'Membership Level'!$A$3:$B$15,2,FALSE),DAY(K689)))</f>
        <v/>
      </c>
      <c r="M689" s="36" t="n"/>
      <c r="N689" s="34">
        <f>IF($L689="","",DATE(YEAR($L689),MONTH($L689),DAY($L689)-$M689))</f>
        <v/>
      </c>
      <c r="O689" s="33">
        <f>IF($L689="","",IF(DAYS360(NOW(),$L689)&gt;=0,DAYS360(NOW(),$L689),""))</f>
        <v/>
      </c>
      <c r="P689" s="34">
        <f>IF(OR(H689="",H689=0,F689="",K689=""),"",I689/H689*VLOOKUP(F689,'Membership Level'!$A$3:$C$15,3,FALSE)+K689)</f>
        <v/>
      </c>
      <c r="Q689" s="36" t="n"/>
    </row>
    <row r="690">
      <c r="C690" s="36" t="n"/>
      <c r="D690" s="36" t="n"/>
      <c r="E690" s="36" t="n"/>
      <c r="F690" s="36" t="n"/>
      <c r="G690" s="36" t="n"/>
      <c r="H690" s="30" t="n"/>
      <c r="I690" s="30" t="n"/>
      <c r="J690" s="31">
        <f>IF(H690="","",H690-I690)</f>
        <v/>
      </c>
      <c r="K690" s="43" t="n"/>
      <c r="L690" s="32">
        <f>IF(OR(K690="",$F690=""),"",DATE(YEAR(K690),MONTH(K690)+VLOOKUP($F690,'Membership Level'!$A$3:$B$15,2,FALSE),DAY(K690)))</f>
        <v/>
      </c>
      <c r="M690" s="36" t="n"/>
      <c r="N690" s="34">
        <f>IF($L690="","",DATE(YEAR($L690),MONTH($L690),DAY($L690)-$M690))</f>
        <v/>
      </c>
      <c r="O690" s="33">
        <f>IF($L690="","",IF(DAYS360(NOW(),$L690)&gt;=0,DAYS360(NOW(),$L690),""))</f>
        <v/>
      </c>
      <c r="P690" s="34">
        <f>IF(OR(H690="",H690=0,F690="",K690=""),"",I690/H690*VLOOKUP(F690,'Membership Level'!$A$3:$C$15,3,FALSE)+K690)</f>
        <v/>
      </c>
      <c r="Q690" s="36" t="n"/>
    </row>
    <row r="691">
      <c r="C691" s="36" t="n"/>
      <c r="D691" s="36" t="n"/>
      <c r="E691" s="35" t="n"/>
      <c r="F691" s="36" t="n"/>
      <c r="G691" s="36" t="n"/>
      <c r="H691" s="30" t="n"/>
      <c r="I691" s="30" t="n"/>
      <c r="J691" s="31">
        <f>IF(H691="","",H691-I691)</f>
        <v/>
      </c>
      <c r="K691" s="43" t="n"/>
      <c r="L691" s="32">
        <f>IF(OR(K691="",$F691=""),"",DATE(YEAR(K691),MONTH(K691)+VLOOKUP($F691,'Membership Level'!$A$3:$B$15,2,FALSE),DAY(K691)))</f>
        <v/>
      </c>
      <c r="M691" s="36" t="n"/>
      <c r="N691" s="34">
        <f>IF($L691="","",DATE(YEAR($L691),MONTH($L691),DAY($L691)-$M691))</f>
        <v/>
      </c>
      <c r="O691" s="33">
        <f>IF($L691="","",IF(DAYS360(NOW(),$L691)&gt;=0,DAYS360(NOW(),$L691),""))</f>
        <v/>
      </c>
      <c r="P691" s="34">
        <f>IF(OR(H691="",H691=0,F691="",K691=""),"",I691/H691*VLOOKUP(F691,'Membership Level'!$A$3:$C$15,3,FALSE)+K691)</f>
        <v/>
      </c>
      <c r="Q691" s="36" t="n"/>
    </row>
    <row r="692">
      <c r="C692" s="36" t="n"/>
      <c r="D692" s="36" t="n"/>
      <c r="E692" s="35" t="n"/>
      <c r="F692" s="36" t="n"/>
      <c r="G692" s="36" t="n"/>
      <c r="H692" s="30" t="n"/>
      <c r="I692" s="30" t="n"/>
      <c r="J692" s="31">
        <f>IF(H692="","",H692-I692)</f>
        <v/>
      </c>
      <c r="K692" s="43" t="n"/>
      <c r="L692" s="32">
        <f>IF(OR(K692="",$F692=""),"",DATE(YEAR(K692),MONTH(K692)+VLOOKUP($F692,'Membership Level'!$A$3:$B$15,2,FALSE),DAY(K692)))</f>
        <v/>
      </c>
      <c r="M692" s="36" t="n"/>
      <c r="N692" s="34">
        <f>IF($L692="","",DATE(YEAR($L692),MONTH($L692),DAY($L692)-$M692))</f>
        <v/>
      </c>
      <c r="O692" s="33">
        <f>IF($L692="","",IF(DAYS360(NOW(),$L692)&gt;=0,DAYS360(NOW(),$L692),""))</f>
        <v/>
      </c>
      <c r="P692" s="34">
        <f>IF(OR(H692="",H692=0,F692="",K692=""),"",I692/H692*VLOOKUP(F692,'Membership Level'!$A$3:$C$15,3,FALSE)+K692)</f>
        <v/>
      </c>
      <c r="Q692" s="36" t="n"/>
    </row>
    <row r="693">
      <c r="C693" s="36" t="n"/>
      <c r="D693" s="36" t="n"/>
      <c r="E693" s="35" t="n"/>
      <c r="F693" s="36" t="n"/>
      <c r="G693" s="36" t="n"/>
      <c r="H693" s="30" t="n"/>
      <c r="I693" s="30" t="n"/>
      <c r="J693" s="31">
        <f>IF(H693="","",H693-I693)</f>
        <v/>
      </c>
      <c r="K693" s="43" t="n"/>
      <c r="L693" s="32">
        <f>IF(OR(K693="",$F693=""),"",DATE(YEAR(K693),MONTH(K693)+VLOOKUP($F693,'Membership Level'!$A$3:$B$15,2,FALSE),DAY(K693)))</f>
        <v/>
      </c>
      <c r="M693" s="36" t="n"/>
      <c r="N693" s="34">
        <f>IF($L693="","",DATE(YEAR($L693),MONTH($L693),DAY($L693)-$M693))</f>
        <v/>
      </c>
      <c r="O693" s="33">
        <f>IF($L693="","",IF(DAYS360(NOW(),$L693)&gt;=0,DAYS360(NOW(),$L693),""))</f>
        <v/>
      </c>
      <c r="P693" s="34">
        <f>IF(OR(H693="",H693=0,F693="",K693=""),"",I693/H693*VLOOKUP(F693,'Membership Level'!$A$3:$C$15,3,FALSE)+K693)</f>
        <v/>
      </c>
      <c r="Q693" s="36" t="n"/>
    </row>
    <row r="694">
      <c r="C694" s="36" t="n"/>
      <c r="D694" s="36" t="n"/>
      <c r="E694" s="35" t="n"/>
      <c r="F694" s="36" t="n"/>
      <c r="G694" s="36" t="n"/>
      <c r="H694" s="30" t="n"/>
      <c r="I694" s="30" t="n"/>
      <c r="J694" s="31">
        <f>IF(H694="","",H694-I694)</f>
        <v/>
      </c>
      <c r="K694" s="43" t="n"/>
      <c r="L694" s="32">
        <f>IF(OR(K694="",$F694=""),"",DATE(YEAR(K694),MONTH(K694)+VLOOKUP($F694,'Membership Level'!$A$3:$B$15,2,FALSE),DAY(K694)))</f>
        <v/>
      </c>
      <c r="M694" s="36" t="n"/>
      <c r="N694" s="34">
        <f>IF($L694="","",DATE(YEAR($L694),MONTH($L694),DAY($L694)-$M694))</f>
        <v/>
      </c>
      <c r="O694" s="33">
        <f>IF($L694="","",IF(DAYS360(NOW(),$L694)&gt;=0,DAYS360(NOW(),$L694),""))</f>
        <v/>
      </c>
      <c r="P694" s="34">
        <f>IF(OR(H694="",H694=0,F694="",K694=""),"",I694/H694*VLOOKUP(F694,'Membership Level'!$A$3:$C$15,3,FALSE)+K694)</f>
        <v/>
      </c>
      <c r="Q694" s="36" t="n"/>
    </row>
    <row r="695">
      <c r="C695" s="36" t="n"/>
      <c r="D695" s="36" t="n"/>
      <c r="E695" s="35" t="n"/>
      <c r="F695" s="36" t="n"/>
      <c r="G695" s="36" t="n"/>
      <c r="H695" s="30" t="n"/>
      <c r="I695" s="30" t="n"/>
      <c r="J695" s="31">
        <f>IF(H695="","",H695-I695)</f>
        <v/>
      </c>
      <c r="K695" s="43" t="n"/>
      <c r="L695" s="32">
        <f>IF(OR(K695="",$F695=""),"",DATE(YEAR(K695),MONTH(K695)+VLOOKUP($F695,'Membership Level'!$A$3:$B$15,2,FALSE),DAY(K695)))</f>
        <v/>
      </c>
      <c r="M695" s="36" t="n"/>
      <c r="N695" s="34">
        <f>IF($L695="","",DATE(YEAR($L695),MONTH($L695),DAY($L695)-$M695))</f>
        <v/>
      </c>
      <c r="O695" s="33">
        <f>IF($L695="","",IF(DAYS360(NOW(),$L695)&gt;=0,DAYS360(NOW(),$L695),""))</f>
        <v/>
      </c>
      <c r="P695" s="34">
        <f>IF(OR(H695="",H695=0,F695="",K695=""),"",I695/H695*VLOOKUP(F695,'Membership Level'!$A$3:$C$15,3,FALSE)+K695)</f>
        <v/>
      </c>
      <c r="Q695" s="36" t="n"/>
    </row>
    <row r="696">
      <c r="C696" s="36" t="n"/>
      <c r="D696" s="36" t="n"/>
      <c r="E696" s="35" t="n"/>
      <c r="F696" s="36" t="n"/>
      <c r="G696" s="36" t="n"/>
      <c r="H696" s="30" t="n"/>
      <c r="I696" s="30" t="n"/>
      <c r="J696" s="31">
        <f>IF(H696="","",H696-I696)</f>
        <v/>
      </c>
      <c r="K696" s="43" t="n"/>
      <c r="L696" s="32">
        <f>IF(OR(K696="",$F696=""),"",DATE(YEAR(K696),MONTH(K696)+VLOOKUP($F696,'Membership Level'!$A$3:$B$15,2,FALSE),DAY(K696)))</f>
        <v/>
      </c>
      <c r="M696" s="36" t="n"/>
      <c r="N696" s="34">
        <f>IF($L696="","",DATE(YEAR($L696),MONTH($L696),DAY($L696)-$M696))</f>
        <v/>
      </c>
      <c r="O696" s="33">
        <f>IF($L696="","",IF(DAYS360(NOW(),$L696)&gt;=0,DAYS360(NOW(),$L696),""))</f>
        <v/>
      </c>
      <c r="P696" s="34">
        <f>IF(OR(H696="",H696=0,F696="",K696=""),"",I696/H696*VLOOKUP(F696,'Membership Level'!$A$3:$C$15,3,FALSE)+K696)</f>
        <v/>
      </c>
      <c r="Q696" s="36" t="n"/>
    </row>
    <row r="697" customFormat="1" s="68">
      <c r="C697" s="36" t="n"/>
      <c r="D697" s="36" t="n"/>
      <c r="E697" s="66" t="n"/>
      <c r="F697" s="36" t="n"/>
      <c r="G697" s="36" t="n"/>
      <c r="H697" s="30" t="n"/>
      <c r="I697" s="30" t="n"/>
      <c r="J697" s="31">
        <f>IF(H697="","",H697-I697)</f>
        <v/>
      </c>
      <c r="K697" s="43" t="n"/>
      <c r="L697" s="32">
        <f>IF(OR(K697="",$F697=""),"",DATE(YEAR(K697),MONTH(K697)+VLOOKUP($F697,'Membership Level'!$A$3:$B$15,2,FALSE),DAY(K697)))</f>
        <v/>
      </c>
      <c r="M697" s="36" t="n"/>
      <c r="N697" s="34">
        <f>IF($L697="","",DATE(YEAR($L697),MONTH($L697),DAY($L697)-$M697))</f>
        <v/>
      </c>
      <c r="O697" s="33">
        <f>IF($L697="","",IF(DAYS360(NOW(),$L697)&gt;=0,DAYS360(NOW(),$L697),""))</f>
        <v/>
      </c>
      <c r="P697" s="34">
        <f>IF(OR(H697="",H697=0,F697="",K697=""),"",I697/H697*VLOOKUP(F697,'Membership Level'!$A$3:$C$15,3,FALSE)+K697)</f>
        <v/>
      </c>
      <c r="Q697" s="36" t="n"/>
    </row>
    <row r="698">
      <c r="C698" s="36" t="n"/>
      <c r="D698" s="36" t="n"/>
      <c r="E698" s="35" t="n"/>
      <c r="F698" s="36" t="n"/>
      <c r="G698" s="36" t="n"/>
      <c r="H698" s="30" t="n"/>
      <c r="I698" s="30" t="n"/>
      <c r="J698" s="31">
        <f>IF(H698="","",H698-I698)</f>
        <v/>
      </c>
      <c r="K698" s="43" t="n"/>
      <c r="L698" s="32">
        <f>IF(OR(K698="",$F698=""),"",DATE(YEAR(K698),MONTH(K698)+VLOOKUP($F698,'Membership Level'!$A$3:$B$15,2,FALSE),DAY(K698)))</f>
        <v/>
      </c>
      <c r="M698" s="36" t="n"/>
      <c r="N698" s="34">
        <f>IF($L698="","",DATE(YEAR($L698),MONTH($L698),DAY($L698)-$M698))</f>
        <v/>
      </c>
      <c r="O698" s="33">
        <f>IF($L698="","",IF(DAYS360(NOW(),$L698)&gt;=0,DAYS360(NOW(),$L698),""))</f>
        <v/>
      </c>
      <c r="P698" s="34">
        <f>IF(OR(H698="",H698=0,F698="",K698=""),"",I698/H698*VLOOKUP(F698,'Membership Level'!$A$3:$C$15,3,FALSE)+K698)</f>
        <v/>
      </c>
      <c r="Q698" s="36" t="n"/>
    </row>
    <row r="699">
      <c r="C699" s="36" t="n"/>
      <c r="D699" s="36" t="n"/>
      <c r="E699" s="35" t="n"/>
      <c r="F699" s="36" t="n"/>
      <c r="G699" s="36" t="n"/>
      <c r="H699" s="30" t="n"/>
      <c r="I699" s="30" t="n"/>
      <c r="J699" s="31">
        <f>IF(H699="","",H699-I699)</f>
        <v/>
      </c>
      <c r="K699" s="43" t="n"/>
      <c r="L699" s="32">
        <f>IF(OR(K699="",$F699=""),"",DATE(YEAR(K699),MONTH(K699)+VLOOKUP($F699,'Membership Level'!$A$3:$B$15,2,FALSE),DAY(K699)))</f>
        <v/>
      </c>
      <c r="M699" s="36" t="n"/>
      <c r="N699" s="34">
        <f>IF($L699="","",DATE(YEAR($L699),MONTH($L699),DAY($L699)-$M699))</f>
        <v/>
      </c>
      <c r="O699" s="33">
        <f>IF($L699="","",IF(DAYS360(NOW(),$L699)&gt;=0,DAYS360(NOW(),$L699),""))</f>
        <v/>
      </c>
      <c r="P699" s="34">
        <f>IF(OR(H699="",H699=0,F699="",K699=""),"",I699/H699*VLOOKUP(F699,'Membership Level'!$A$3:$C$15,3,FALSE)+K699)</f>
        <v/>
      </c>
      <c r="Q699" s="36" t="n"/>
    </row>
    <row r="700">
      <c r="C700" s="36" t="n"/>
      <c r="D700" s="36" t="n"/>
      <c r="E700" s="35" t="n"/>
      <c r="F700" s="36" t="n"/>
      <c r="G700" s="36" t="n"/>
      <c r="H700" s="30" t="n"/>
      <c r="I700" s="30" t="n"/>
      <c r="J700" s="31">
        <f>IF(H700="","",H700-I700)</f>
        <v/>
      </c>
      <c r="K700" s="43" t="n"/>
      <c r="L700" s="32">
        <f>IF(OR(K700="",$F700=""),"",DATE(YEAR(K700),MONTH(K700)+VLOOKUP($F700,'Membership Level'!$A$3:$B$15,2,FALSE),DAY(K700)))</f>
        <v/>
      </c>
      <c r="M700" s="36" t="n"/>
      <c r="N700" s="34">
        <f>IF($L700="","",DATE(YEAR($L700),MONTH($L700),DAY($L700)-$M700))</f>
        <v/>
      </c>
      <c r="O700" s="33">
        <f>IF($L700="","",IF(DAYS360(NOW(),$L700)&gt;=0,DAYS360(NOW(),$L700),""))</f>
        <v/>
      </c>
      <c r="P700" s="34">
        <f>IF(OR(H700="",H700=0,F700="",K700=""),"",I700/H700*VLOOKUP(F700,'Membership Level'!$A$3:$C$15,3,FALSE)+K700)</f>
        <v/>
      </c>
      <c r="Q700" s="36" t="n"/>
    </row>
    <row r="701">
      <c r="C701" s="36" t="n"/>
      <c r="D701" s="36" t="n"/>
      <c r="E701" s="35" t="n"/>
      <c r="F701" s="36" t="n"/>
      <c r="G701" s="36" t="n"/>
      <c r="H701" s="30" t="n"/>
      <c r="I701" s="30" t="n"/>
      <c r="J701" s="31">
        <f>IF(H701="","",H701-I701)</f>
        <v/>
      </c>
      <c r="K701" s="43" t="n"/>
      <c r="L701" s="32">
        <f>IF(OR(K701="",$F701=""),"",DATE(YEAR(K701),MONTH(K701)+VLOOKUP($F701,'Membership Level'!$A$3:$B$15,2,FALSE),DAY(K701)))</f>
        <v/>
      </c>
      <c r="M701" s="36" t="n"/>
      <c r="N701" s="34">
        <f>IF($L701="","",DATE(YEAR($L701),MONTH($L701),DAY($L701)-$M701))</f>
        <v/>
      </c>
      <c r="O701" s="33">
        <f>IF($L701="","",IF(DAYS360(NOW(),$L701)&gt;=0,DAYS360(NOW(),$L701),""))</f>
        <v/>
      </c>
      <c r="P701" s="34">
        <f>IF(OR(H701="",H701=0,F701="",K701=""),"",I701/H701*VLOOKUP(F701,'Membership Level'!$A$3:$C$15,3,FALSE)+K701)</f>
        <v/>
      </c>
      <c r="Q701" s="36" t="n"/>
    </row>
    <row r="702">
      <c r="C702" s="36" t="n"/>
      <c r="D702" s="36" t="n"/>
      <c r="E702" s="35" t="n"/>
      <c r="F702" s="36" t="n"/>
      <c r="G702" s="36" t="n"/>
      <c r="H702" s="30" t="n"/>
      <c r="I702" s="30" t="n"/>
      <c r="J702" s="31">
        <f>IF(H702="","",H702-I702)</f>
        <v/>
      </c>
      <c r="K702" s="43" t="n"/>
      <c r="L702" s="32">
        <f>IF(OR(K702="",$F702=""),"",DATE(YEAR(K702),MONTH(K702)+VLOOKUP($F702,'Membership Level'!$A$3:$B$15,2,FALSE),DAY(K702)))</f>
        <v/>
      </c>
      <c r="M702" s="36" t="n"/>
      <c r="N702" s="34">
        <f>IF($L702="","",DATE(YEAR($L702),MONTH($L702),DAY($L702)-$M702))</f>
        <v/>
      </c>
      <c r="O702" s="33">
        <f>IF($L702="","",IF(DAYS360(NOW(),$L702)&gt;=0,DAYS360(NOW(),$L702),""))</f>
        <v/>
      </c>
      <c r="P702" s="34">
        <f>IF(OR(H702="",H702=0,F702="",K702=""),"",I702/H702*VLOOKUP(F702,'Membership Level'!$A$3:$C$15,3,FALSE)+K702)</f>
        <v/>
      </c>
      <c r="Q702" s="36" t="n"/>
    </row>
    <row r="703">
      <c r="C703" s="36" t="n"/>
      <c r="D703" s="36" t="n"/>
      <c r="E703" s="35" t="n"/>
      <c r="F703" s="36" t="n"/>
      <c r="G703" s="36" t="n"/>
      <c r="H703" s="30" t="n"/>
      <c r="I703" s="30" t="n"/>
      <c r="J703" s="31">
        <f>IF(H703="","",H703-I703)</f>
        <v/>
      </c>
      <c r="K703" s="43" t="n"/>
      <c r="L703" s="32">
        <f>IF(OR(K703="",$F703=""),"",DATE(YEAR(K703),MONTH(K703)+VLOOKUP($F703,'Membership Level'!$A$3:$B$15,2,FALSE),DAY(K703)))</f>
        <v/>
      </c>
      <c r="M703" s="36" t="n"/>
      <c r="N703" s="34">
        <f>IF($L703="","",DATE(YEAR($L703),MONTH($L703),DAY($L703)-$M703))</f>
        <v/>
      </c>
      <c r="O703" s="33">
        <f>IF($L703="","",IF(DAYS360(NOW(),$L703)&gt;=0,DAYS360(NOW(),$L703),""))</f>
        <v/>
      </c>
      <c r="P703" s="34">
        <f>IF(OR(H703="",H703=0,F703="",K703=""),"",I703/H703*VLOOKUP(F703,'Membership Level'!$A$3:$C$15,3,FALSE)+K703)</f>
        <v/>
      </c>
      <c r="Q703" s="36" t="n"/>
    </row>
    <row r="704">
      <c r="C704" s="36" t="n"/>
      <c r="D704" s="36" t="n"/>
      <c r="E704" s="35" t="n"/>
      <c r="F704" s="36" t="n"/>
      <c r="G704" s="36" t="n"/>
      <c r="H704" s="30" t="n"/>
      <c r="I704" s="30" t="n"/>
      <c r="J704" s="31">
        <f>IF(H704="","",H704-I704)</f>
        <v/>
      </c>
      <c r="K704" s="43" t="n"/>
      <c r="L704" s="32">
        <f>IF(OR(K704="",$F704=""),"",DATE(YEAR(K704),MONTH(K704)+VLOOKUP($F704,'Membership Level'!$A$3:$B$15,2,FALSE),DAY(K704)))</f>
        <v/>
      </c>
      <c r="M704" s="36" t="n"/>
      <c r="N704" s="34">
        <f>IF($L704="","",DATE(YEAR($L704),MONTH($L704),DAY($L704)-$M704))</f>
        <v/>
      </c>
      <c r="O704" s="33">
        <f>IF($L704="","",IF(DAYS360(NOW(),$L704)&gt;=0,DAYS360(NOW(),$L704),""))</f>
        <v/>
      </c>
      <c r="P704" s="34">
        <f>IF(OR(H704="",H704=0,F704="",K704=""),"",I704/H704*VLOOKUP(F704,'Membership Level'!$A$3:$C$15,3,FALSE)+K704)</f>
        <v/>
      </c>
      <c r="Q704" s="36" t="n"/>
    </row>
    <row r="705">
      <c r="C705" s="36" t="n"/>
      <c r="D705" s="36" t="n"/>
      <c r="E705" s="35" t="n"/>
      <c r="F705" s="36" t="n"/>
      <c r="G705" s="36" t="n"/>
      <c r="H705" s="30" t="n"/>
      <c r="I705" s="30" t="n"/>
      <c r="J705" s="31">
        <f>IF(H705="","",H705-I705)</f>
        <v/>
      </c>
      <c r="K705" s="43" t="n"/>
      <c r="L705" s="32">
        <f>IF(OR(K705="",$F705=""),"",DATE(YEAR(K705),MONTH(K705)+VLOOKUP($F705,'Membership Level'!$A$3:$B$15,2,FALSE),DAY(K705)))</f>
        <v/>
      </c>
      <c r="M705" s="36" t="n"/>
      <c r="N705" s="34">
        <f>IF($L705="","",DATE(YEAR($L705),MONTH($L705),DAY($L705)-$M705))</f>
        <v/>
      </c>
      <c r="O705" s="33">
        <f>IF($L705="","",IF(DAYS360(NOW(),$L705)&gt;=0,DAYS360(NOW(),$L705),""))</f>
        <v/>
      </c>
      <c r="P705" s="34">
        <f>IF(OR(H705="",H705=0,F705="",K705=""),"",I705/H705*VLOOKUP(F705,'Membership Level'!$A$3:$C$15,3,FALSE)+K705)</f>
        <v/>
      </c>
      <c r="Q705" s="36" t="n"/>
    </row>
    <row r="706">
      <c r="C706" s="36" t="n"/>
      <c r="D706" s="36" t="n"/>
      <c r="E706" s="35" t="n"/>
      <c r="F706" s="36" t="n"/>
      <c r="G706" s="36" t="n"/>
      <c r="H706" s="30" t="n"/>
      <c r="I706" s="30" t="n"/>
      <c r="J706" s="31">
        <f>IF(H706="","",H706-I706)</f>
        <v/>
      </c>
      <c r="K706" s="43" t="n"/>
      <c r="L706" s="32">
        <f>IF(OR(K706="",$F706=""),"",DATE(YEAR(K706),MONTH(K706)+VLOOKUP($F706,'Membership Level'!$A$3:$B$15,2,FALSE),DAY(K706)))</f>
        <v/>
      </c>
      <c r="M706" s="36" t="n"/>
      <c r="N706" s="34">
        <f>IF($L706="","",DATE(YEAR($L706),MONTH($L706),DAY($L706)-$M706))</f>
        <v/>
      </c>
      <c r="O706" s="33">
        <f>IF($L706="","",IF(DAYS360(NOW(),$L706)&gt;=0,DAYS360(NOW(),$L706),""))</f>
        <v/>
      </c>
      <c r="P706" s="34">
        <f>IF(OR(H706="",H706=0,F706="",K706=""),"",I706/H706*VLOOKUP(F706,'Membership Level'!$A$3:$C$15,3,FALSE)+K706)</f>
        <v/>
      </c>
      <c r="Q706" s="36" t="n"/>
    </row>
    <row r="707">
      <c r="C707" s="36" t="n"/>
      <c r="D707" s="36" t="n"/>
      <c r="E707" s="35" t="n"/>
      <c r="F707" s="36" t="n"/>
      <c r="G707" s="36" t="n"/>
      <c r="H707" s="30" t="n"/>
      <c r="I707" s="30" t="n"/>
      <c r="J707" s="31">
        <f>IF(H707="","",H707-I707)</f>
        <v/>
      </c>
      <c r="K707" s="43" t="n"/>
      <c r="L707" s="32">
        <f>IF(OR(K707="",$F707=""),"",DATE(YEAR(K707),MONTH(K707)+VLOOKUP($F707,'Membership Level'!$A$3:$B$15,2,FALSE),DAY(K707)))</f>
        <v/>
      </c>
      <c r="M707" s="36" t="n"/>
      <c r="N707" s="34">
        <f>IF($L707="","",DATE(YEAR($L707),MONTH($L707),DAY($L707)-$M707))</f>
        <v/>
      </c>
      <c r="O707" s="33">
        <f>IF($L707="","",IF(DAYS360(NOW(),$L707)&gt;=0,DAYS360(NOW(),$L707),""))</f>
        <v/>
      </c>
      <c r="P707" s="34">
        <f>IF(OR(H707="",H707=0,F707="",K707=""),"",I707/H707*VLOOKUP(F707,'Membership Level'!$A$3:$C$15,3,FALSE)+K707)</f>
        <v/>
      </c>
      <c r="Q707" s="36" t="n"/>
    </row>
    <row r="708">
      <c r="C708" s="36" t="n"/>
      <c r="D708" s="36" t="n"/>
      <c r="E708" s="35" t="n"/>
      <c r="F708" s="36" t="n"/>
      <c r="G708" s="36" t="n"/>
      <c r="H708" s="30" t="n"/>
      <c r="I708" s="30" t="n"/>
      <c r="J708" s="31">
        <f>IF(H708="","",H708-I708)</f>
        <v/>
      </c>
      <c r="K708" s="43" t="n"/>
      <c r="L708" s="32">
        <f>IF(OR(K708="",$F708=""),"",DATE(YEAR(K708),MONTH(K708)+VLOOKUP($F708,'Membership Level'!$A$3:$B$15,2,FALSE),DAY(K708)))</f>
        <v/>
      </c>
      <c r="M708" s="36" t="n"/>
      <c r="N708" s="34">
        <f>IF($L708="","",DATE(YEAR($L708),MONTH($L708),DAY($L708)-$M708))</f>
        <v/>
      </c>
      <c r="O708" s="33">
        <f>IF($L708="","",IF(DAYS360(NOW(),$L708)&gt;=0,DAYS360(NOW(),$L708),""))</f>
        <v/>
      </c>
      <c r="P708" s="34">
        <f>IF(OR(H708="",H708=0,F708="",K708=""),"",I708/H708*VLOOKUP(F708,'Membership Level'!$A$3:$C$15,3,FALSE)+K708)</f>
        <v/>
      </c>
      <c r="Q708" s="36" t="n"/>
    </row>
    <row r="709">
      <c r="C709" s="36" t="n"/>
      <c r="D709" s="36" t="n"/>
      <c r="E709" s="35" t="n"/>
      <c r="F709" s="36" t="n"/>
      <c r="G709" s="36" t="n"/>
      <c r="H709" s="30" t="n"/>
      <c r="I709" s="30" t="n"/>
      <c r="J709" s="31">
        <f>IF(H709="","",H709-I709)</f>
        <v/>
      </c>
      <c r="K709" s="43" t="n"/>
      <c r="L709" s="32">
        <f>IF(OR(K709="",$F709=""),"",DATE(YEAR(K709),MONTH(K709)+VLOOKUP($F709,'Membership Level'!$A$3:$B$15,2,FALSE),DAY(K709)))</f>
        <v/>
      </c>
      <c r="M709" s="36" t="n"/>
      <c r="N709" s="34">
        <f>IF($L709="","",DATE(YEAR($L709),MONTH($L709),DAY($L709)-$M709))</f>
        <v/>
      </c>
      <c r="O709" s="33">
        <f>IF($L709="","",IF(DAYS360(NOW(),$L709)&gt;=0,DAYS360(NOW(),$L709),""))</f>
        <v/>
      </c>
      <c r="P709" s="34">
        <f>IF(OR(H709="",H709=0,F709="",K709=""),"",I709/H709*VLOOKUP(F709,'Membership Level'!$A$3:$C$15,3,FALSE)+K709)</f>
        <v/>
      </c>
      <c r="Q709" s="36" t="n"/>
    </row>
    <row r="710">
      <c r="C710" s="36" t="n"/>
      <c r="D710" s="36" t="n"/>
      <c r="E710" s="35" t="n"/>
      <c r="F710" s="36" t="n"/>
      <c r="G710" s="36" t="n"/>
      <c r="H710" s="30" t="n"/>
      <c r="I710" s="30" t="n"/>
      <c r="J710" s="31">
        <f>IF(H710="","",H710-I710)</f>
        <v/>
      </c>
      <c r="K710" s="43" t="n"/>
      <c r="L710" s="32">
        <f>IF(OR(K710="",$F710=""),"",DATE(YEAR(K710),MONTH(K710)+VLOOKUP($F710,'Membership Level'!$A$3:$B$15,2,FALSE),DAY(K710)))</f>
        <v/>
      </c>
      <c r="M710" s="36" t="n"/>
      <c r="N710" s="34">
        <f>IF($L710="","",DATE(YEAR($L710),MONTH($L710),DAY($L710)-$M710))</f>
        <v/>
      </c>
      <c r="O710" s="33">
        <f>IF($L710="","",IF(DAYS360(NOW(),$L710)&gt;=0,DAYS360(NOW(),$L710),""))</f>
        <v/>
      </c>
      <c r="P710" s="34">
        <f>IF(OR(H710="",H710=0,F710="",K710=""),"",I710/H710*VLOOKUP(F710,'Membership Level'!$A$3:$C$15,3,FALSE)+K710)</f>
        <v/>
      </c>
      <c r="Q710" s="36" t="n"/>
    </row>
    <row r="711">
      <c r="C711" s="36" t="n"/>
      <c r="D711" s="36" t="n"/>
      <c r="E711" s="35" t="n"/>
      <c r="F711" s="36" t="n"/>
      <c r="G711" s="36" t="n"/>
      <c r="H711" s="30" t="n"/>
      <c r="I711" s="30" t="n"/>
      <c r="J711" s="31">
        <f>IF(H711="","",H711-I711)</f>
        <v/>
      </c>
      <c r="K711" s="43" t="n"/>
      <c r="L711" s="32">
        <f>IF(OR(K711="",$F711=""),"",DATE(YEAR(K711),MONTH(K711)+VLOOKUP($F711,'Membership Level'!$A$3:$B$15,2,FALSE),DAY(K711)))</f>
        <v/>
      </c>
      <c r="M711" s="36" t="n"/>
      <c r="N711" s="34">
        <f>IF($L711="","",DATE(YEAR($L711),MONTH($L711),DAY($L711)-$M711))</f>
        <v/>
      </c>
      <c r="O711" s="33">
        <f>IF($L711="","",IF(DAYS360(NOW(),$L711)&gt;=0,DAYS360(NOW(),$L711),""))</f>
        <v/>
      </c>
      <c r="P711" s="34">
        <f>IF(OR(H711="",H711=0,F711="",K711=""),"",I711/H711*VLOOKUP(F711,'Membership Level'!$A$3:$C$15,3,FALSE)+K711)</f>
        <v/>
      </c>
      <c r="Q711" s="36" t="n"/>
    </row>
    <row r="712">
      <c r="C712" s="36" t="n"/>
      <c r="D712" s="36" t="n"/>
      <c r="E712" s="35" t="n"/>
      <c r="F712" s="36" t="n"/>
      <c r="G712" s="36" t="n"/>
      <c r="H712" s="30" t="n"/>
      <c r="I712" s="30" t="n"/>
      <c r="J712" s="31">
        <f>IF(H712="","",H712-I712)</f>
        <v/>
      </c>
      <c r="K712" s="43" t="n"/>
      <c r="L712" s="32">
        <f>IF(OR(K712="",$F712=""),"",DATE(YEAR(K712),MONTH(K712)+VLOOKUP($F712,'Membership Level'!$A$3:$B$15,2,FALSE),DAY(K712)))</f>
        <v/>
      </c>
      <c r="M712" s="36" t="n"/>
      <c r="N712" s="34">
        <f>IF($L712="","",DATE(YEAR($L712),MONTH($L712),DAY($L712)-$M712))</f>
        <v/>
      </c>
      <c r="O712" s="33">
        <f>IF($L712="","",IF(DAYS360(NOW(),$L712)&gt;=0,DAYS360(NOW(),$L712),""))</f>
        <v/>
      </c>
      <c r="P712" s="34">
        <f>IF(OR(H712="",H712=0,F712="",K712=""),"",I712/H712*VLOOKUP(F712,'Membership Level'!$A$3:$C$15,3,FALSE)+K712)</f>
        <v/>
      </c>
      <c r="Q712" s="36" t="n"/>
    </row>
    <row r="713">
      <c r="C713" s="36" t="n"/>
      <c r="D713" s="36" t="n"/>
      <c r="E713" s="35" t="n"/>
      <c r="F713" s="36" t="n"/>
      <c r="G713" s="36" t="n"/>
      <c r="H713" s="30" t="n"/>
      <c r="I713" s="30" t="n"/>
      <c r="J713" s="31">
        <f>IF(H713="","",H713-I713)</f>
        <v/>
      </c>
      <c r="K713" s="43" t="n"/>
      <c r="L713" s="32">
        <f>IF(OR(K713="",$F713=""),"",DATE(YEAR(K713),MONTH(K713)+VLOOKUP($F713,'Membership Level'!$A$3:$B$15,2,FALSE),DAY(K713)))</f>
        <v/>
      </c>
      <c r="M713" s="36" t="n"/>
      <c r="N713" s="34">
        <f>IF($L713="","",DATE(YEAR($L713),MONTH($L713),DAY($L713)-$M713))</f>
        <v/>
      </c>
      <c r="O713" s="33">
        <f>IF($L713="","",IF(DAYS360(NOW(),$L713)&gt;=0,DAYS360(NOW(),$L713),""))</f>
        <v/>
      </c>
      <c r="P713" s="34">
        <f>IF(OR(H713="",H713=0,F713="",K713=""),"",I713/H713*VLOOKUP(F713,'Membership Level'!$A$3:$C$15,3,FALSE)+K713)</f>
        <v/>
      </c>
      <c r="Q713" s="36" t="n"/>
    </row>
    <row r="714">
      <c r="C714" s="36" t="n"/>
      <c r="D714" s="36" t="n"/>
      <c r="E714" s="35" t="n"/>
      <c r="F714" s="36" t="n"/>
      <c r="G714" s="36" t="n"/>
      <c r="H714" s="30" t="n"/>
      <c r="I714" s="30" t="n"/>
      <c r="J714" s="31">
        <f>IF(H714="","",H714-I714)</f>
        <v/>
      </c>
      <c r="K714" s="43" t="n"/>
      <c r="L714" s="32">
        <f>IF(OR(K714="",$F714=""),"",DATE(YEAR(K714),MONTH(K714)+VLOOKUP($F714,'Membership Level'!$A$3:$B$15,2,FALSE),DAY(K714)))</f>
        <v/>
      </c>
      <c r="M714" s="36" t="n"/>
      <c r="N714" s="34">
        <f>IF($L714="","",DATE(YEAR($L714),MONTH($L714),DAY($L714)-$M714))</f>
        <v/>
      </c>
      <c r="O714" s="33">
        <f>IF($L714="","",IF(DAYS360(NOW(),$L714)&gt;=0,DAYS360(NOW(),$L714),""))</f>
        <v/>
      </c>
      <c r="P714" s="34">
        <f>IF(OR(H714="",H714=0,F714="",K714=""),"",I714/H714*VLOOKUP(F714,'Membership Level'!$A$3:$C$15,3,FALSE)+K714)</f>
        <v/>
      </c>
      <c r="Q714" s="36" t="n"/>
    </row>
    <row r="715">
      <c r="C715" s="36" t="n"/>
      <c r="D715" s="36" t="n"/>
      <c r="E715" s="66" t="n"/>
      <c r="F715" s="36" t="n"/>
      <c r="G715" s="36" t="n"/>
      <c r="H715" s="30" t="n"/>
      <c r="I715" s="30" t="n"/>
      <c r="J715" s="31">
        <f>IF(H715="","",H715-I715)</f>
        <v/>
      </c>
      <c r="K715" s="43" t="n"/>
      <c r="L715" s="32">
        <f>IF(OR(K715="",$F715=""),"",DATE(YEAR(K715),MONTH(K715)+VLOOKUP($F715,'Membership Level'!$A$3:$B$15,2,FALSE),DAY(K715)))</f>
        <v/>
      </c>
      <c r="M715" s="36" t="n"/>
      <c r="N715" s="34">
        <f>IF($L715="","",DATE(YEAR($L715),MONTH($L715),DAY($L715)-$M715))</f>
        <v/>
      </c>
      <c r="O715" s="33">
        <f>IF($L715="","",IF(DAYS360(NOW(),$L715)&gt;=0,DAYS360(NOW(),$L715),""))</f>
        <v/>
      </c>
      <c r="P715" s="34">
        <f>IF(OR(H715="",H715=0,F715="",K715=""),"",I715/H715*VLOOKUP(F715,'Membership Level'!$A$3:$C$15,3,FALSE)+K715)</f>
        <v/>
      </c>
      <c r="Q715" s="36" t="n"/>
    </row>
    <row r="716">
      <c r="C716" s="36" t="n"/>
      <c r="D716" s="36" t="n"/>
      <c r="E716" s="66" t="n"/>
      <c r="F716" s="36" t="n"/>
      <c r="G716" s="36" t="n"/>
      <c r="H716" s="30" t="n"/>
      <c r="I716" s="30" t="n"/>
      <c r="J716" s="31">
        <f>IF(H716="","",H716-I716)</f>
        <v/>
      </c>
      <c r="K716" s="43" t="n"/>
      <c r="L716" s="32">
        <f>IF(OR(K716="",$F716=""),"",DATE(YEAR(K716),MONTH(K716)+VLOOKUP($F716,'Membership Level'!$A$3:$B$15,2,FALSE),DAY(K716)))</f>
        <v/>
      </c>
      <c r="M716" s="36" t="n"/>
      <c r="N716" s="34">
        <f>IF($L716="","",DATE(YEAR($L716),MONTH($L716),DAY($L716)-$M716))</f>
        <v/>
      </c>
      <c r="O716" s="33">
        <f>IF($L716="","",IF(DAYS360(NOW(),$L716)&gt;=0,DAYS360(NOW(),$L716),""))</f>
        <v/>
      </c>
      <c r="P716" s="34">
        <f>IF(OR(H716="",H716=0,F716="",K716=""),"",I716/H716*VLOOKUP(F716,'Membership Level'!$A$3:$C$15,3,FALSE)+K716)</f>
        <v/>
      </c>
      <c r="Q716" s="36" t="n"/>
    </row>
    <row r="717">
      <c r="C717" s="36" t="n"/>
      <c r="D717" s="36" t="n"/>
      <c r="E717" s="66" t="n"/>
      <c r="F717" s="36" t="n"/>
      <c r="G717" s="36" t="n"/>
      <c r="H717" s="30" t="n"/>
      <c r="I717" s="30" t="n"/>
      <c r="J717" s="31">
        <f>IF(H717="","",H717-I717)</f>
        <v/>
      </c>
      <c r="K717" s="43" t="n"/>
      <c r="L717" s="32">
        <f>IF(OR(K717="",$F717=""),"",DATE(YEAR(K717),MONTH(K717)+VLOOKUP($F717,'Membership Level'!$A$3:$B$15,2,FALSE),DAY(K717)))</f>
        <v/>
      </c>
      <c r="M717" s="36" t="n"/>
      <c r="N717" s="34">
        <f>IF($L717="","",DATE(YEAR($L717),MONTH($L717),DAY($L717)-$M717))</f>
        <v/>
      </c>
      <c r="O717" s="33">
        <f>IF($L717="","",IF(DAYS360(NOW(),$L717)&gt;=0,DAYS360(NOW(),$L717),""))</f>
        <v/>
      </c>
      <c r="P717" s="34">
        <f>IF(OR(H717="",H717=0,F717="",K717=""),"",I717/H717*VLOOKUP(F717,'Membership Level'!$A$3:$C$15,3,FALSE)+K717)</f>
        <v/>
      </c>
      <c r="Q717" s="36" t="n"/>
    </row>
    <row r="718">
      <c r="C718" s="36" t="n"/>
      <c r="D718" s="36" t="n"/>
      <c r="E718" s="35" t="n"/>
      <c r="F718" s="36" t="n"/>
      <c r="G718" s="36" t="n"/>
      <c r="H718" s="30" t="n"/>
      <c r="I718" s="30" t="n"/>
      <c r="J718" s="31">
        <f>IF(H718="","",H718-I718)</f>
        <v/>
      </c>
      <c r="K718" s="43" t="n"/>
      <c r="L718" s="32">
        <f>IF(OR(K718="",$F718=""),"",DATE(YEAR(K718),MONTH(K718)+VLOOKUP($F718,'Membership Level'!$A$3:$B$15,2,FALSE),DAY(K718)))</f>
        <v/>
      </c>
      <c r="M718" s="36" t="n"/>
      <c r="N718" s="34">
        <f>IF($L718="","",DATE(YEAR($L718),MONTH($L718),DAY($L718)-$M718))</f>
        <v/>
      </c>
      <c r="O718" s="33">
        <f>IF($L718="","",IF(DAYS360(NOW(),$L718)&gt;=0,DAYS360(NOW(),$L718),""))</f>
        <v/>
      </c>
      <c r="P718" s="34">
        <f>IF(OR(H718="",H718=0,F718="",K718=""),"",I718/H718*VLOOKUP(F718,'Membership Level'!$A$3:$C$15,3,FALSE)+K718)</f>
        <v/>
      </c>
      <c r="Q718" s="36" t="n"/>
    </row>
    <row r="719">
      <c r="C719" s="36" t="n"/>
      <c r="D719" s="36" t="n"/>
      <c r="E719" s="35" t="n"/>
      <c r="F719" s="33" t="n"/>
      <c r="G719" s="36" t="n"/>
      <c r="H719" s="30" t="n"/>
      <c r="I719" s="30" t="n"/>
      <c r="J719" s="31">
        <f>IF(H719="","",H719-I719)</f>
        <v/>
      </c>
      <c r="K719" s="43" t="n"/>
      <c r="L719" s="32">
        <f>IF(OR(K719="",$F719=""),"",DATE(YEAR(K719),MONTH(K719)+VLOOKUP($F719,'Membership Level'!$A$3:$B$15,2,FALSE),DAY(K719)))</f>
        <v/>
      </c>
      <c r="M719" s="36" t="n"/>
      <c r="N719" s="34">
        <f>IF($L719="","",DATE(YEAR($L719),MONTH($L719),DAY($L719)-$M719))</f>
        <v/>
      </c>
      <c r="O719" s="33">
        <f>IF($L719="","",IF(DAYS360(NOW(),$L719)&gt;=0,DAYS360(NOW(),$L719),""))</f>
        <v/>
      </c>
      <c r="P719" s="34">
        <f>IF(OR(H719="",H719=0,F719="",K719=""),"",I719/H719*VLOOKUP(F719,'Membership Level'!$A$3:$C$15,3,FALSE)+K719)</f>
        <v/>
      </c>
      <c r="Q719" s="36" t="n"/>
    </row>
    <row r="720">
      <c r="C720" s="36" t="n"/>
      <c r="D720" s="36" t="n"/>
      <c r="E720" s="66" t="n"/>
      <c r="F720" s="36" t="n"/>
      <c r="G720" s="36" t="n"/>
      <c r="H720" s="30" t="n"/>
      <c r="I720" s="30" t="n"/>
      <c r="J720" s="31">
        <f>IF(H720="","",H720-I720)</f>
        <v/>
      </c>
      <c r="K720" s="43" t="n"/>
      <c r="L720" s="32">
        <f>IF(OR(K720="",$F720=""),"",DATE(YEAR(K720),MONTH(K720)+VLOOKUP($F720,'Membership Level'!$A$3:$B$15,2,FALSE),DAY(K720)))</f>
        <v/>
      </c>
      <c r="M720" s="36" t="n"/>
      <c r="N720" s="34">
        <f>IF($L720="","",DATE(YEAR($L720),MONTH($L720),DAY($L720)-$M720))</f>
        <v/>
      </c>
      <c r="O720" s="33">
        <f>IF($L720="","",IF(DAYS360(NOW(),$L720)&gt;=0,DAYS360(NOW(),$L720),""))</f>
        <v/>
      </c>
      <c r="P720" s="34">
        <f>IF(OR(H720="",H720=0,F720="",K720=""),"",I720/H720*VLOOKUP(F720,'Membership Level'!$A$3:$C$15,3,FALSE)+K720)</f>
        <v/>
      </c>
      <c r="Q720" s="36" t="n"/>
    </row>
    <row r="721" customFormat="1" s="22">
      <c r="C721" s="33" t="n"/>
      <c r="D721" s="33" t="n"/>
      <c r="E721" s="35" t="n"/>
      <c r="F721" s="36" t="n"/>
      <c r="G721" s="33" t="n"/>
      <c r="H721" s="44" t="n"/>
      <c r="I721" s="44" t="n"/>
      <c r="J721" s="31">
        <f>IF(H721="","",H721-I721)</f>
        <v/>
      </c>
      <c r="K721" s="32" t="n"/>
      <c r="L721" s="32">
        <f>IF(OR(K721="",$F721=""),"",DATE(YEAR(K721),MONTH(K721)+VLOOKUP($F721,'Membership Level'!$A$3:$B$15,2,FALSE),DAY(K721)))</f>
        <v/>
      </c>
      <c r="M721" s="33" t="n"/>
      <c r="N721" s="34">
        <f>IF($L721="","",DATE(YEAR($L721),MONTH($L721),DAY($L721)-$M721))</f>
        <v/>
      </c>
      <c r="O721" s="33">
        <f>IF($L721="","",IF(DAYS360(NOW(),$L721)&gt;=0,DAYS360(NOW(),$L721),""))</f>
        <v/>
      </c>
      <c r="P721" s="34">
        <f>IF(OR(H721="",H721=0,F721="",K721=""),"",I721/H721*VLOOKUP(F721,'Membership Level'!$A$3:$C$15,3,FALSE)+K721)</f>
        <v/>
      </c>
      <c r="Q721" s="33" t="n"/>
    </row>
    <row r="722">
      <c r="C722" s="36" t="n"/>
      <c r="D722" s="36" t="n"/>
      <c r="E722" s="35" t="n"/>
      <c r="F722" s="36" t="n"/>
      <c r="G722" s="36" t="n"/>
      <c r="H722" s="30" t="n"/>
      <c r="I722" s="30" t="n"/>
      <c r="J722" s="31">
        <f>IF(H722="","",H722-I722)</f>
        <v/>
      </c>
      <c r="K722" s="43" t="n"/>
      <c r="L722" s="32">
        <f>IF(OR(K722="",$F722=""),"",DATE(YEAR(K722),MONTH(K722)+VLOOKUP($F722,'Membership Level'!$A$3:$B$15,2,FALSE),DAY(K722)))</f>
        <v/>
      </c>
      <c r="M722" s="36" t="n"/>
      <c r="N722" s="34">
        <f>IF($L722="","",DATE(YEAR($L722),MONTH($L722),DAY($L722)-$M722))</f>
        <v/>
      </c>
      <c r="O722" s="33">
        <f>IF($L722="","",IF(DAYS360(NOW(),$L722)&gt;=0,DAYS360(NOW(),$L722),""))</f>
        <v/>
      </c>
      <c r="P722" s="34">
        <f>IF(OR(H722="",H722=0,F722="",K722=""),"",I722/H722*VLOOKUP(F722,'Membership Level'!$A$3:$C$15,3,FALSE)+K722)</f>
        <v/>
      </c>
      <c r="Q722" s="36" t="n"/>
    </row>
    <row r="723">
      <c r="C723" s="36" t="n"/>
      <c r="D723" s="36" t="n"/>
      <c r="E723" s="35" t="n"/>
      <c r="F723" s="36" t="n"/>
      <c r="G723" s="36" t="n"/>
      <c r="H723" s="30" t="n"/>
      <c r="I723" s="30" t="n"/>
      <c r="J723" s="31">
        <f>IF(H723="","",H723-I723)</f>
        <v/>
      </c>
      <c r="K723" s="43" t="n"/>
      <c r="L723" s="32">
        <f>IF(OR(K723="",$F723=""),"",DATE(YEAR(K723),MONTH(K723)+VLOOKUP($F723,'Membership Level'!$A$3:$B$15,2,FALSE),DAY(K723)))</f>
        <v/>
      </c>
      <c r="M723" s="36" t="n"/>
      <c r="N723" s="34">
        <f>IF($L723="","",DATE(YEAR($L723),MONTH($L723),DAY($L723)-$M723))</f>
        <v/>
      </c>
      <c r="O723" s="33">
        <f>IF($L723="","",IF(DAYS360(NOW(),$L723)&gt;=0,DAYS360(NOW(),$L723),""))</f>
        <v/>
      </c>
      <c r="P723" s="34">
        <f>IF(OR(H723="",H723=0,F723="",K723=""),"",I723/H723*VLOOKUP(F723,'Membership Level'!$A$3:$C$15,3,FALSE)+K723)</f>
        <v/>
      </c>
      <c r="Q723" s="36" t="n"/>
    </row>
    <row r="724">
      <c r="C724" s="36" t="n"/>
      <c r="D724" s="36" t="n"/>
      <c r="E724" s="35" t="n"/>
      <c r="F724" s="36" t="n"/>
      <c r="G724" s="36" t="n"/>
      <c r="H724" s="30" t="n"/>
      <c r="I724" s="30" t="n"/>
      <c r="J724" s="31">
        <f>IF(H724="","",H724-I724)</f>
        <v/>
      </c>
      <c r="K724" s="43" t="n"/>
      <c r="L724" s="32">
        <f>IF(OR(K724="",$F724=""),"",DATE(YEAR(K724),MONTH(K724)+VLOOKUP($F724,'Membership Level'!$A$3:$B$15,2,FALSE),DAY(K724)))</f>
        <v/>
      </c>
      <c r="M724" s="36" t="n"/>
      <c r="N724" s="34">
        <f>IF($L724="","",DATE(YEAR($L724),MONTH($L724),DAY($L724)-$M724))</f>
        <v/>
      </c>
      <c r="O724" s="33">
        <f>IF($L724="","",IF(DAYS360(NOW(),$L724)&gt;=0,DAYS360(NOW(),$L724),""))</f>
        <v/>
      </c>
      <c r="P724" s="34">
        <f>IF(OR(H724="",H724=0,F724="",K724=""),"",I724/H724*VLOOKUP(F724,'Membership Level'!$A$3:$C$15,3,FALSE)+K724)</f>
        <v/>
      </c>
      <c r="Q724" s="36" t="n"/>
    </row>
    <row r="725">
      <c r="C725" s="36" t="n"/>
      <c r="D725" s="36" t="n"/>
      <c r="E725" s="66" t="n"/>
      <c r="F725" s="36" t="n"/>
      <c r="G725" s="36" t="n"/>
      <c r="H725" s="30" t="n"/>
      <c r="I725" s="30" t="n"/>
      <c r="J725" s="31">
        <f>IF(H725="","",H725-I725)</f>
        <v/>
      </c>
      <c r="K725" s="43" t="n"/>
      <c r="L725" s="32">
        <f>IF(OR(K725="",$F725=""),"",DATE(YEAR(K725),MONTH(K725)+VLOOKUP($F725,'Membership Level'!$A$3:$B$15,2,FALSE),DAY(K725)))</f>
        <v/>
      </c>
      <c r="M725" s="36" t="n"/>
      <c r="N725" s="34">
        <f>IF($L725="","",DATE(YEAR($L725),MONTH($L725),DAY($L725)-$M725))</f>
        <v/>
      </c>
      <c r="O725" s="33">
        <f>IF($L725="","",IF(DAYS360(NOW(),$L725)&gt;=0,DAYS360(NOW(),$L725),""))</f>
        <v/>
      </c>
      <c r="P725" s="34">
        <f>IF(OR(H725="",H725=0,F725="",K725=""),"",I725/H725*VLOOKUP(F725,'Membership Level'!$A$3:$C$15,3,FALSE)+K725)</f>
        <v/>
      </c>
      <c r="Q725" s="36" t="n"/>
    </row>
    <row r="726">
      <c r="C726" s="36" t="n"/>
      <c r="D726" s="36" t="n"/>
      <c r="E726" s="66" t="n"/>
      <c r="F726" s="36" t="n"/>
      <c r="G726" s="36" t="n"/>
      <c r="H726" s="30" t="n"/>
      <c r="I726" s="30" t="n"/>
      <c r="J726" s="31">
        <f>IF(H726="","",H726-I726)</f>
        <v/>
      </c>
      <c r="K726" s="43" t="n"/>
      <c r="L726" s="32">
        <f>IF(OR(K726="",$F726=""),"",DATE(YEAR(K726),MONTH(K726)+VLOOKUP($F726,'Membership Level'!$A$3:$B$15,2,FALSE),DAY(K726)))</f>
        <v/>
      </c>
      <c r="M726" s="36" t="n"/>
      <c r="N726" s="34">
        <f>IF($L726="","",DATE(YEAR($L726),MONTH($L726),DAY($L726)-$M726))</f>
        <v/>
      </c>
      <c r="O726" s="33">
        <f>IF($L726="","",IF(DAYS360(NOW(),$L726)&gt;=0,DAYS360(NOW(),$L726),""))</f>
        <v/>
      </c>
      <c r="P726" s="34">
        <f>IF(OR(H726="",H726=0,F726="",K726=""),"",I726/H726*VLOOKUP(F726,'Membership Level'!$A$3:$C$15,3,FALSE)+K726)</f>
        <v/>
      </c>
      <c r="Q726" s="36" t="n"/>
    </row>
    <row r="727">
      <c r="C727" s="36" t="n"/>
      <c r="D727" s="36" t="n"/>
      <c r="E727" s="35" t="n"/>
      <c r="F727" s="36" t="n"/>
      <c r="G727" s="36" t="n"/>
      <c r="H727" s="30" t="n"/>
      <c r="I727" s="30" t="n"/>
      <c r="J727" s="31">
        <f>IF(H727="","",H727-I727)</f>
        <v/>
      </c>
      <c r="K727" s="43" t="n"/>
      <c r="L727" s="32">
        <f>IF(OR(K727="",$F727=""),"",DATE(YEAR(K727),MONTH(K727)+VLOOKUP($F727,'Membership Level'!$A$3:$B$15,2,FALSE),DAY(K727)))</f>
        <v/>
      </c>
      <c r="M727" s="36" t="n"/>
      <c r="N727" s="34">
        <f>IF($L727="","",DATE(YEAR($L727),MONTH($L727),DAY($L727)-$M727))</f>
        <v/>
      </c>
      <c r="O727" s="33">
        <f>IF($L727="","",IF(DAYS360(NOW(),$L727)&gt;=0,DAYS360(NOW(),$L727),""))</f>
        <v/>
      </c>
      <c r="P727" s="34">
        <f>IF(OR(H727="",H727=0,F727="",K727=""),"",I727/H727*VLOOKUP(F727,'Membership Level'!$A$3:$C$15,3,FALSE)+K727)</f>
        <v/>
      </c>
      <c r="Q727" s="36" t="n"/>
    </row>
    <row r="728">
      <c r="C728" s="36" t="n"/>
      <c r="D728" s="36" t="n"/>
      <c r="E728" s="35" t="n"/>
      <c r="F728" s="36" t="n"/>
      <c r="G728" s="36" t="n"/>
      <c r="H728" s="30" t="n"/>
      <c r="I728" s="30" t="n"/>
      <c r="J728" s="31">
        <f>IF(H728="","",H728-I728)</f>
        <v/>
      </c>
      <c r="K728" s="43" t="n"/>
      <c r="L728" s="32">
        <f>IF(OR(K728="",$F728=""),"",DATE(YEAR(K728),MONTH(K728)+VLOOKUP($F728,'Membership Level'!$A$3:$B$15,2,FALSE),DAY(K728)))</f>
        <v/>
      </c>
      <c r="M728" s="36" t="n"/>
      <c r="N728" s="34">
        <f>IF($L728="","",DATE(YEAR($L728),MONTH($L728),DAY($L728)-$M728))</f>
        <v/>
      </c>
      <c r="O728" s="33">
        <f>IF($L728="","",IF(DAYS360(NOW(),$L728)&gt;=0,DAYS360(NOW(),$L728),""))</f>
        <v/>
      </c>
      <c r="P728" s="34">
        <f>IF(OR(H728="",H728=0,F728="",K728=""),"",I728/H728*VLOOKUP(F728,'Membership Level'!$A$3:$C$15,3,FALSE)+K728)</f>
        <v/>
      </c>
      <c r="Q728" s="36" t="n"/>
    </row>
    <row r="729">
      <c r="C729" s="36" t="n"/>
      <c r="D729" s="36" t="n"/>
      <c r="E729" s="35" t="n"/>
      <c r="F729" s="33" t="n"/>
      <c r="G729" s="36" t="n"/>
      <c r="H729" s="30" t="n"/>
      <c r="I729" s="30" t="n"/>
      <c r="J729" s="31">
        <f>IF(H729="","",H729-I729)</f>
        <v/>
      </c>
      <c r="K729" s="43" t="n"/>
      <c r="L729" s="32">
        <f>IF(OR(K729="",$F729=""),"",DATE(YEAR(K729),MONTH(K729)+VLOOKUP($F729,'Membership Level'!$A$3:$B$15,2,FALSE),DAY(K729)))</f>
        <v/>
      </c>
      <c r="M729" s="36" t="n"/>
      <c r="N729" s="34">
        <f>IF($L729="","",DATE(YEAR($L729),MONTH($L729),DAY($L729)-$M729))</f>
        <v/>
      </c>
      <c r="O729" s="33">
        <f>IF($L729="","",IF(DAYS360(NOW(),$L729)&gt;=0,DAYS360(NOW(),$L729),""))</f>
        <v/>
      </c>
      <c r="P729" s="34">
        <f>IF(OR(H729="",H729=0,F729="",K729=""),"",I729/H729*VLOOKUP(F729,'Membership Level'!$A$3:$C$15,3,FALSE)+K729)</f>
        <v/>
      </c>
      <c r="Q729" s="36" t="n"/>
    </row>
    <row r="730">
      <c r="C730" s="36" t="n"/>
      <c r="D730" s="36" t="n"/>
      <c r="E730" s="66" t="n"/>
      <c r="F730" s="36" t="n"/>
      <c r="G730" s="36" t="n"/>
      <c r="H730" s="30" t="n"/>
      <c r="I730" s="30" t="n"/>
      <c r="J730" s="31">
        <f>IF(H730="","",H730-I730)</f>
        <v/>
      </c>
      <c r="K730" s="43" t="n"/>
      <c r="L730" s="32">
        <f>IF(OR(K730="",$F730=""),"",DATE(YEAR(K730),MONTH(K730)+VLOOKUP($F730,'Membership Level'!$A$3:$B$15,2,FALSE),DAY(K730)))</f>
        <v/>
      </c>
      <c r="M730" s="36" t="n"/>
      <c r="N730" s="34">
        <f>IF($L730="","",DATE(YEAR($L730),MONTH($L730),DAY($L730)-$M730))</f>
        <v/>
      </c>
      <c r="O730" s="33">
        <f>IF($L730="","",IF(DAYS360(NOW(),$L730)&gt;=0,DAYS360(NOW(),$L730),""))</f>
        <v/>
      </c>
      <c r="P730" s="34">
        <f>IF(OR(H730="",H730=0,F730="",K730=""),"",I730/H730*VLOOKUP(F730,'Membership Level'!$A$3:$C$15,3,FALSE)+K730)</f>
        <v/>
      </c>
      <c r="Q730" s="36" t="n"/>
    </row>
    <row r="731" customFormat="1" s="22">
      <c r="C731" s="33" t="n"/>
      <c r="D731" s="33" t="n"/>
      <c r="E731" s="66" t="n"/>
      <c r="F731" s="36" t="n"/>
      <c r="G731" s="33" t="n"/>
      <c r="H731" s="44" t="n"/>
      <c r="I731" s="44" t="n"/>
      <c r="J731" s="31">
        <f>IF(H731="","",H731-I731)</f>
        <v/>
      </c>
      <c r="K731" s="32" t="n"/>
      <c r="L731" s="32">
        <f>IF(OR(K731="",$F731=""),"",DATE(YEAR(K731),MONTH(K731)+VLOOKUP($F731,'Membership Level'!$A$3:$B$15,2,FALSE),DAY(K731)))</f>
        <v/>
      </c>
      <c r="M731" s="33" t="n"/>
      <c r="N731" s="34">
        <f>IF($L731="","",DATE(YEAR($L731),MONTH($L731),DAY($L731)-$M731))</f>
        <v/>
      </c>
      <c r="O731" s="33">
        <f>IF($L731="","",IF(DAYS360(NOW(),$L731)&gt;=0,DAYS360(NOW(),$L731),""))</f>
        <v/>
      </c>
      <c r="P731" s="34">
        <f>IF(OR(H731="",H731=0,F731="",K731=""),"",I731/H731*VLOOKUP(F731,'Membership Level'!$A$3:$C$15,3,FALSE)+K731)</f>
        <v/>
      </c>
      <c r="Q731" s="33" t="n"/>
    </row>
    <row r="732">
      <c r="C732" s="36" t="n"/>
      <c r="D732" s="36" t="n"/>
      <c r="E732" s="66" t="n"/>
      <c r="F732" s="36" t="n"/>
      <c r="G732" s="36" t="n"/>
      <c r="H732" s="30" t="n"/>
      <c r="I732" s="30" t="n"/>
      <c r="J732" s="31">
        <f>IF(H732="","",H732-I732)</f>
        <v/>
      </c>
      <c r="K732" s="43" t="n"/>
      <c r="L732" s="32">
        <f>IF(OR(K732="",$F732=""),"",DATE(YEAR(K732),MONTH(K732)+VLOOKUP($F732,'Membership Level'!$A$3:$B$15,2,FALSE),DAY(K732)))</f>
        <v/>
      </c>
      <c r="M732" s="36" t="n"/>
      <c r="N732" s="34">
        <f>IF($L732="","",DATE(YEAR($L732),MONTH($L732),DAY($L732)-$M732))</f>
        <v/>
      </c>
      <c r="O732" s="33">
        <f>IF($L732="","",IF(DAYS360(NOW(),$L732)&gt;=0,DAYS360(NOW(),$L732),""))</f>
        <v/>
      </c>
      <c r="P732" s="34">
        <f>IF(OR(H732="",H732=0,F732="",K732=""),"",I732/H732*VLOOKUP(F732,'Membership Level'!$A$3:$C$15,3,FALSE)+K732)</f>
        <v/>
      </c>
      <c r="Q732" s="36" t="n"/>
    </row>
    <row r="733">
      <c r="C733" s="36" t="n"/>
      <c r="D733" s="36" t="n"/>
      <c r="E733" s="66" t="n"/>
      <c r="F733" s="36" t="n"/>
      <c r="G733" s="36" t="n"/>
      <c r="H733" s="30" t="n"/>
      <c r="I733" s="30" t="n"/>
      <c r="J733" s="31">
        <f>IF(H733="","",H733-I733)</f>
        <v/>
      </c>
      <c r="K733" s="43" t="n"/>
      <c r="L733" s="32">
        <f>IF(OR(K733="",$F733=""),"",DATE(YEAR(K733),MONTH(K733)+VLOOKUP($F733,'Membership Level'!$A$3:$B$15,2,FALSE),DAY(K733)))</f>
        <v/>
      </c>
      <c r="M733" s="36" t="n"/>
      <c r="N733" s="34">
        <f>IF($L733="","",DATE(YEAR($L733),MONTH($L733),DAY($L733)-$M733))</f>
        <v/>
      </c>
      <c r="O733" s="33">
        <f>IF($L733="","",IF(DAYS360(NOW(),$L733)&gt;=0,DAYS360(NOW(),$L733),""))</f>
        <v/>
      </c>
      <c r="P733" s="34">
        <f>IF(OR(H733="",H733=0,F733="",K733=""),"",I733/H733*VLOOKUP(F733,'Membership Level'!$A$3:$C$15,3,FALSE)+K733)</f>
        <v/>
      </c>
      <c r="Q733" s="36" t="n"/>
    </row>
    <row r="734">
      <c r="C734" s="36" t="n"/>
      <c r="D734" s="36" t="n"/>
      <c r="E734" s="66" t="n"/>
      <c r="F734" s="36" t="n"/>
      <c r="G734" s="36" t="n"/>
      <c r="H734" s="30" t="n"/>
      <c r="I734" s="30" t="n"/>
      <c r="J734" s="31">
        <f>IF(H734="","",H734-I734)</f>
        <v/>
      </c>
      <c r="K734" s="43" t="n"/>
      <c r="L734" s="32">
        <f>IF(OR(K734="",$F734=""),"",DATE(YEAR(K734),MONTH(K734)+VLOOKUP($F734,'Membership Level'!$A$3:$B$15,2,FALSE),DAY(K734)))</f>
        <v/>
      </c>
      <c r="M734" s="36" t="n"/>
      <c r="N734" s="34">
        <f>IF($L734="","",DATE(YEAR($L734),MONTH($L734),DAY($L734)-$M734))</f>
        <v/>
      </c>
      <c r="O734" s="33">
        <f>IF($L734="","",IF(DAYS360(NOW(),$L734)&gt;=0,DAYS360(NOW(),$L734),""))</f>
        <v/>
      </c>
      <c r="P734" s="34">
        <f>IF(OR(H734="",H734=0,F734="",K734=""),"",I734/H734*VLOOKUP(F734,'Membership Level'!$A$3:$C$15,3,FALSE)+K734)</f>
        <v/>
      </c>
      <c r="Q734" s="36" t="n"/>
    </row>
    <row r="735">
      <c r="C735" s="36" t="n"/>
      <c r="D735" s="36" t="n"/>
      <c r="E735" s="35" t="n"/>
      <c r="F735" s="36" t="n"/>
      <c r="G735" s="36" t="n"/>
      <c r="H735" s="30" t="n"/>
      <c r="I735" s="30" t="n"/>
      <c r="J735" s="31">
        <f>IF(H735="","",H735-I735)</f>
        <v/>
      </c>
      <c r="K735" s="43" t="n"/>
      <c r="L735" s="32">
        <f>IF(OR(K735="",$F735=""),"",DATE(YEAR(K735),MONTH(K735)+VLOOKUP($F735,'Membership Level'!$A$3:$B$15,2,FALSE),DAY(K735)))</f>
        <v/>
      </c>
      <c r="M735" s="36" t="n"/>
      <c r="N735" s="34">
        <f>IF($L735="","",DATE(YEAR($L735),MONTH($L735),DAY($L735)-$M735))</f>
        <v/>
      </c>
      <c r="O735" s="33">
        <f>IF($L735="","",IF(DAYS360(NOW(),$L735)&gt;=0,DAYS360(NOW(),$L735),""))</f>
        <v/>
      </c>
      <c r="P735" s="34">
        <f>IF(OR(H735="",H735=0,F735="",K735=""),"",I735/H735*VLOOKUP(F735,'Membership Level'!$A$3:$C$15,3,FALSE)+K735)</f>
        <v/>
      </c>
      <c r="Q735" s="36" t="n"/>
    </row>
    <row r="736">
      <c r="C736" s="36" t="n"/>
      <c r="D736" s="36" t="n"/>
      <c r="E736" s="35" t="n"/>
      <c r="F736" s="36" t="n"/>
      <c r="G736" s="36" t="n"/>
      <c r="H736" s="30" t="n"/>
      <c r="I736" s="30" t="n"/>
      <c r="J736" s="31">
        <f>IF(H736="","",H736-I736)</f>
        <v/>
      </c>
      <c r="K736" s="43" t="n"/>
      <c r="L736" s="32">
        <f>IF(OR(K736="",$F736=""),"",DATE(YEAR(K736),MONTH(K736)+VLOOKUP($F736,'Membership Level'!$A$3:$B$15,2,FALSE),DAY(K736)))</f>
        <v/>
      </c>
      <c r="M736" s="36" t="n"/>
      <c r="N736" s="34">
        <f>IF($L736="","",DATE(YEAR($L736),MONTH($L736),DAY($L736)-$M736))</f>
        <v/>
      </c>
      <c r="O736" s="33">
        <f>IF($L736="","",IF(DAYS360(NOW(),$L736)&gt;=0,DAYS360(NOW(),$L736),""))</f>
        <v/>
      </c>
      <c r="P736" s="34">
        <f>IF(OR(H736="",H736=0,F736="",K736=""),"",I736/H736*VLOOKUP(F736,'Membership Level'!$A$3:$C$15,3,FALSE)+K736)</f>
        <v/>
      </c>
      <c r="Q736" s="36" t="n"/>
    </row>
    <row r="737">
      <c r="C737" s="36" t="n"/>
      <c r="D737" s="36" t="n"/>
      <c r="E737" s="35" t="n"/>
      <c r="F737" s="33" t="n"/>
      <c r="G737" s="36" t="n"/>
      <c r="H737" s="30" t="n"/>
      <c r="I737" s="30" t="n"/>
      <c r="J737" s="31">
        <f>IF(H737="","",H737-I737)</f>
        <v/>
      </c>
      <c r="K737" s="43" t="n"/>
      <c r="L737" s="32">
        <f>IF(OR(K737="",$F737=""),"",DATE(YEAR(K737),MONTH(K737)+VLOOKUP($F737,'Membership Level'!$A$3:$B$15,2,FALSE),DAY(K737)))</f>
        <v/>
      </c>
      <c r="M737" s="36" t="n"/>
      <c r="N737" s="34">
        <f>IF($L737="","",DATE(YEAR($L737),MONTH($L737),DAY($L737)-$M737))</f>
        <v/>
      </c>
      <c r="O737" s="33">
        <f>IF($L737="","",IF(DAYS360(NOW(),$L737)&gt;=0,DAYS360(NOW(),$L737),""))</f>
        <v/>
      </c>
      <c r="P737" s="34">
        <f>IF(OR(H737="",H737=0,F737="",K737=""),"",I737/H737*VLOOKUP(F737,'Membership Level'!$A$3:$C$15,3,FALSE)+K737)</f>
        <v/>
      </c>
      <c r="Q737" s="36" t="n"/>
    </row>
    <row r="738">
      <c r="C738" s="36" t="n"/>
      <c r="D738" s="36" t="n"/>
      <c r="E738" s="66" t="n"/>
      <c r="F738" s="36" t="n"/>
      <c r="G738" s="36" t="n"/>
      <c r="H738" s="30" t="n"/>
      <c r="I738" s="30" t="n"/>
      <c r="J738" s="31">
        <f>IF(H738="","",H738-I738)</f>
        <v/>
      </c>
      <c r="K738" s="43" t="n"/>
      <c r="L738" s="32">
        <f>IF(OR(K738="",$F738=""),"",DATE(YEAR(K738),MONTH(K738)+VLOOKUP($F738,'Membership Level'!$A$3:$B$15,2,FALSE),DAY(K738)))</f>
        <v/>
      </c>
      <c r="M738" s="36" t="n"/>
      <c r="N738" s="34">
        <f>IF($L738="","",DATE(YEAR($L738),MONTH($L738),DAY($L738)-$M738))</f>
        <v/>
      </c>
      <c r="O738" s="33">
        <f>IF($L738="","",IF(DAYS360(NOW(),$L738)&gt;=0,DAYS360(NOW(),$L738),""))</f>
        <v/>
      </c>
      <c r="P738" s="34">
        <f>IF(OR(H738="",H738=0,F738="",K738=""),"",I738/H738*VLOOKUP(F738,'Membership Level'!$A$3:$C$15,3,FALSE)+K738)</f>
        <v/>
      </c>
      <c r="Q738" s="36" t="n"/>
    </row>
    <row r="739" customFormat="1" s="22">
      <c r="C739" s="33" t="n"/>
      <c r="D739" s="33" t="n"/>
      <c r="E739" s="35" t="n"/>
      <c r="F739" s="36" t="n"/>
      <c r="G739" s="33" t="n"/>
      <c r="H739" s="44" t="n"/>
      <c r="I739" s="44" t="n"/>
      <c r="J739" s="31">
        <f>IF(H739="","",H739-I739)</f>
        <v/>
      </c>
      <c r="K739" s="32" t="n"/>
      <c r="L739" s="32">
        <f>IF(OR(K739="",$F739=""),"",DATE(YEAR(K739),MONTH(K739)+VLOOKUP($F739,'Membership Level'!$A$3:$B$15,2,FALSE),DAY(K739)))</f>
        <v/>
      </c>
      <c r="M739" s="33" t="n"/>
      <c r="N739" s="34">
        <f>IF($L739="","",DATE(YEAR($L739),MONTH($L739),DAY($L739)-$M739))</f>
        <v/>
      </c>
      <c r="O739" s="33">
        <f>IF($L739="","",IF(DAYS360(NOW(),$L739)&gt;=0,DAYS360(NOW(),$L739),""))</f>
        <v/>
      </c>
      <c r="P739" s="34">
        <f>IF(OR(H739="",H739=0,F739="",K739=""),"",I739/H739*VLOOKUP(F739,'Membership Level'!$A$3:$C$15,3,FALSE)+K739)</f>
        <v/>
      </c>
      <c r="Q739" s="33" t="n"/>
    </row>
    <row r="740">
      <c r="C740" s="36" t="n"/>
      <c r="D740" s="36" t="n"/>
      <c r="E740" s="35" t="n"/>
      <c r="F740" s="36" t="n"/>
      <c r="G740" s="36" t="n"/>
      <c r="H740" s="30" t="n"/>
      <c r="I740" s="30" t="n"/>
      <c r="J740" s="31">
        <f>IF(H740="","",H740-I740)</f>
        <v/>
      </c>
      <c r="K740" s="43" t="n"/>
      <c r="L740" s="32">
        <f>IF(OR(K740="",$F740=""),"",DATE(YEAR(K740),MONTH(K740)+VLOOKUP($F740,'Membership Level'!$A$3:$B$15,2,FALSE),DAY(K740)))</f>
        <v/>
      </c>
      <c r="M740" s="36" t="n"/>
      <c r="N740" s="34">
        <f>IF($L740="","",DATE(YEAR($L740),MONTH($L740),DAY($L740)-$M740))</f>
        <v/>
      </c>
      <c r="O740" s="33">
        <f>IF($L740="","",IF(DAYS360(NOW(),$L740)&gt;=0,DAYS360(NOW(),$L740),""))</f>
        <v/>
      </c>
      <c r="P740" s="34">
        <f>IF(OR(H740="",H740=0,F740="",K740=""),"",I740/H740*VLOOKUP(F740,'Membership Level'!$A$3:$C$15,3,FALSE)+K740)</f>
        <v/>
      </c>
      <c r="Q740" s="36" t="n"/>
    </row>
    <row r="741">
      <c r="C741" s="36" t="n"/>
      <c r="D741" s="36" t="n"/>
      <c r="E741" s="35" t="n"/>
      <c r="F741" s="36" t="n"/>
      <c r="G741" s="36" t="n"/>
      <c r="H741" s="30" t="n"/>
      <c r="I741" s="30" t="n"/>
      <c r="J741" s="31">
        <f>IF(H741="","",H741-I741)</f>
        <v/>
      </c>
      <c r="K741" s="43" t="n"/>
      <c r="L741" s="32">
        <f>IF(OR(K741="",$F741=""),"",DATE(YEAR(K741),MONTH(K741)+VLOOKUP($F741,'Membership Level'!$A$3:$B$15,2,FALSE),DAY(K741)))</f>
        <v/>
      </c>
      <c r="M741" s="36" t="n"/>
      <c r="N741" s="34">
        <f>IF($L741="","",DATE(YEAR($L741),MONTH($L741),DAY($L741)-$M741))</f>
        <v/>
      </c>
      <c r="O741" s="33">
        <f>IF($L741="","",IF(DAYS360(NOW(),$L741)&gt;=0,DAYS360(NOW(),$L741),""))</f>
        <v/>
      </c>
      <c r="P741" s="34">
        <f>IF(OR(H741="",H741=0,F741="",K741=""),"",I741/H741*VLOOKUP(F741,'Membership Level'!$A$3:$C$15,3,FALSE)+K741)</f>
        <v/>
      </c>
      <c r="Q741" s="36" t="n"/>
    </row>
    <row r="742">
      <c r="C742" s="36" t="n"/>
      <c r="D742" s="36" t="n"/>
      <c r="E742" s="35" t="n"/>
      <c r="F742" s="36" t="n"/>
      <c r="G742" s="36" t="n"/>
      <c r="H742" s="30" t="n"/>
      <c r="I742" s="30" t="n"/>
      <c r="J742" s="31">
        <f>IF(H742="","",H742-I742)</f>
        <v/>
      </c>
      <c r="K742" s="43" t="n"/>
      <c r="L742" s="32">
        <f>IF(OR(K742="",$F742=""),"",DATE(YEAR(K742),MONTH(K742)+VLOOKUP($F742,'Membership Level'!$A$3:$B$15,2,FALSE),DAY(K742)))</f>
        <v/>
      </c>
      <c r="M742" s="36" t="n"/>
      <c r="N742" s="34">
        <f>IF($L742="","",DATE(YEAR($L742),MONTH($L742),DAY($L742)-$M742))</f>
        <v/>
      </c>
      <c r="O742" s="33">
        <f>IF($L742="","",IF(DAYS360(NOW(),$L742)&gt;=0,DAYS360(NOW(),$L742),""))</f>
        <v/>
      </c>
      <c r="P742" s="34">
        <f>IF(OR(H742="",H742=0,F742="",K742=""),"",I742/H742*VLOOKUP(F742,'Membership Level'!$A$3:$C$15,3,FALSE)+K742)</f>
        <v/>
      </c>
      <c r="Q742" s="36" t="n"/>
    </row>
    <row r="743">
      <c r="C743" s="36" t="n"/>
      <c r="D743" s="36" t="n"/>
      <c r="E743" s="36" t="n"/>
      <c r="F743" s="36" t="n"/>
      <c r="G743" s="36" t="n"/>
      <c r="H743" s="30" t="n"/>
      <c r="I743" s="30" t="n"/>
      <c r="J743" s="31">
        <f>IF(H743="","",H743-I743)</f>
        <v/>
      </c>
      <c r="K743" s="43" t="n"/>
      <c r="L743" s="32">
        <f>IF(OR(K743="",$F743=""),"",DATE(YEAR(K743),MONTH(K743)+VLOOKUP($F743,'Membership Level'!$A$3:$B$15,2,FALSE),DAY(K743)))</f>
        <v/>
      </c>
      <c r="M743" s="36" t="n"/>
      <c r="N743" s="34">
        <f>IF($L743="","",DATE(YEAR($L743),MONTH($L743),DAY($L743)-$M743))</f>
        <v/>
      </c>
      <c r="O743" s="33">
        <f>IF($L743="","",IF(DAYS360(NOW(),$L743)&gt;=0,DAYS360(NOW(),$L743),""))</f>
        <v/>
      </c>
      <c r="P743" s="34">
        <f>IF(OR(H743="",H743=0,F743="",K743=""),"",I743/H743*VLOOKUP(F743,'Membership Level'!$A$3:$C$15,3,FALSE)+K743)</f>
        <v/>
      </c>
      <c r="Q743" s="36" t="n"/>
    </row>
    <row r="744">
      <c r="C744" s="36" t="n"/>
      <c r="D744" s="36" t="n"/>
      <c r="E744" s="36" t="n"/>
      <c r="F744" s="36" t="n"/>
      <c r="G744" s="36" t="n"/>
      <c r="H744" s="30" t="n"/>
      <c r="I744" s="30" t="n"/>
      <c r="J744" s="31">
        <f>IF(H744="","",H744-I744)</f>
        <v/>
      </c>
      <c r="K744" s="43" t="n"/>
      <c r="L744" s="32">
        <f>IF(OR(K744="",$F744=""),"",DATE(YEAR(K744),MONTH(K744)+VLOOKUP($F744,'Membership Level'!$A$3:$B$15,2,FALSE),DAY(K744)))</f>
        <v/>
      </c>
      <c r="M744" s="36" t="n"/>
      <c r="N744" s="34">
        <f>IF($L744="","",DATE(YEAR($L744),MONTH($L744),DAY($L744)-$M744))</f>
        <v/>
      </c>
      <c r="O744" s="33">
        <f>IF($L744="","",IF(DAYS360(NOW(),$L744)&gt;=0,DAYS360(NOW(),$L744),""))</f>
        <v/>
      </c>
      <c r="P744" s="34">
        <f>IF(OR(H744="",H744=0,F744="",K744=""),"",I744/H744*VLOOKUP(F744,'Membership Level'!$A$3:$C$15,3,FALSE)+K744)</f>
        <v/>
      </c>
      <c r="Q744" s="36" t="n"/>
    </row>
    <row r="745">
      <c r="C745" s="36" t="n"/>
      <c r="D745" s="36" t="n"/>
      <c r="E745" s="35" t="n"/>
      <c r="F745" s="36" t="n"/>
      <c r="G745" s="36" t="n"/>
      <c r="H745" s="30" t="n"/>
      <c r="I745" s="30" t="n"/>
      <c r="J745" s="31">
        <f>IF(H745="","",H745-I745)</f>
        <v/>
      </c>
      <c r="K745" s="43" t="n"/>
      <c r="L745" s="32">
        <f>IF(OR(K745="",$F745=""),"",DATE(YEAR(K745),MONTH(K745)+VLOOKUP($F745,'Membership Level'!$A$3:$B$15,2,FALSE),DAY(K745)))</f>
        <v/>
      </c>
      <c r="M745" s="36" t="n"/>
      <c r="N745" s="34">
        <f>IF($L745="","",DATE(YEAR($L745),MONTH($L745),DAY($L745)-$M745))</f>
        <v/>
      </c>
      <c r="O745" s="33">
        <f>IF($L745="","",IF(DAYS360(NOW(),$L745)&gt;=0,DAYS360(NOW(),$L745),""))</f>
        <v/>
      </c>
      <c r="P745" s="34">
        <f>IF(OR(H745="",H745=0,F745="",K745=""),"",I745/H745*VLOOKUP(F745,'Membership Level'!$A$3:$C$15,3,FALSE)+K745)</f>
        <v/>
      </c>
      <c r="Q745" s="36" t="n"/>
    </row>
    <row r="746">
      <c r="C746" s="36" t="n"/>
      <c r="D746" s="36" t="n"/>
      <c r="E746" s="66" t="n"/>
      <c r="F746" s="36" t="n"/>
      <c r="G746" s="36" t="n"/>
      <c r="H746" s="30" t="n"/>
      <c r="I746" s="30" t="n"/>
      <c r="J746" s="31">
        <f>IF(H746="","",H746-I746)</f>
        <v/>
      </c>
      <c r="K746" s="43" t="n"/>
      <c r="L746" s="32">
        <f>IF(OR(K746="",$F746=""),"",DATE(YEAR(K746),MONTH(K746)+VLOOKUP($F746,'Membership Level'!$A$3:$B$15,2,FALSE),DAY(K746)))</f>
        <v/>
      </c>
      <c r="M746" s="36" t="n"/>
      <c r="N746" s="34">
        <f>IF($L746="","",DATE(YEAR($L746),MONTH($L746),DAY($L746)-$M746))</f>
        <v/>
      </c>
      <c r="O746" s="33">
        <f>IF($L746="","",IF(DAYS360(NOW(),$L746)&gt;=0,DAYS360(NOW(),$L746),""))</f>
        <v/>
      </c>
      <c r="P746" s="34">
        <f>IF(OR(H746="",H746=0,F746="",K746=""),"",I746/H746*VLOOKUP(F746,'Membership Level'!$A$3:$C$15,3,FALSE)+K746)</f>
        <v/>
      </c>
      <c r="Q746" s="36" t="n"/>
    </row>
    <row r="747">
      <c r="C747" s="36" t="n"/>
      <c r="D747" s="36" t="n"/>
      <c r="E747" s="35" t="n"/>
      <c r="F747" s="36" t="n"/>
      <c r="G747" s="36" t="n"/>
      <c r="H747" s="30" t="n"/>
      <c r="I747" s="30" t="n"/>
      <c r="J747" s="31">
        <f>IF(H747="","",H747-I747)</f>
        <v/>
      </c>
      <c r="K747" s="43" t="n"/>
      <c r="L747" s="32">
        <f>IF(OR(K747="",$F747=""),"",DATE(YEAR(K747),MONTH(K747)+VLOOKUP($F747,'Membership Level'!$A$3:$B$15,2,FALSE),DAY(K747)))</f>
        <v/>
      </c>
      <c r="M747" s="36" t="n"/>
      <c r="N747" s="34">
        <f>IF($L747="","",DATE(YEAR($L747),MONTH($L747),DAY($L747)-$M747))</f>
        <v/>
      </c>
      <c r="O747" s="33">
        <f>IF($L747="","",IF(DAYS360(NOW(),$L747)&gt;=0,DAYS360(NOW(),$L747),""))</f>
        <v/>
      </c>
      <c r="P747" s="34">
        <f>IF(OR(H747="",H747=0,F747="",K747=""),"",I747/H747*VLOOKUP(F747,'Membership Level'!$A$3:$C$15,3,FALSE)+K747)</f>
        <v/>
      </c>
      <c r="Q747" s="36" t="n"/>
    </row>
    <row r="748">
      <c r="C748" s="36" t="n"/>
      <c r="D748" s="36" t="n"/>
      <c r="E748" s="35" t="n"/>
      <c r="F748" s="36" t="n"/>
      <c r="G748" s="36" t="n"/>
      <c r="H748" s="30" t="n"/>
      <c r="I748" s="30" t="n"/>
      <c r="J748" s="31">
        <f>IF(H748="","",H748-I748)</f>
        <v/>
      </c>
      <c r="K748" s="43" t="n"/>
      <c r="L748" s="32">
        <f>IF(OR(K748="",$F748=""),"",DATE(YEAR(K748),MONTH(K748)+VLOOKUP($F748,'Membership Level'!$A$3:$B$15,2,FALSE),DAY(K748)))</f>
        <v/>
      </c>
      <c r="M748" s="36" t="n"/>
      <c r="N748" s="34">
        <f>IF($L748="","",DATE(YEAR($L748),MONTH($L748),DAY($L748)-$M748))</f>
        <v/>
      </c>
      <c r="O748" s="33">
        <f>IF($L748="","",IF(DAYS360(NOW(),$L748)&gt;=0,DAYS360(NOW(),$L748),""))</f>
        <v/>
      </c>
      <c r="P748" s="34">
        <f>IF(OR(H748="",H748=0,F748="",K748=""),"",I748/H748*VLOOKUP(F748,'Membership Level'!$A$3:$C$15,3,FALSE)+K748)</f>
        <v/>
      </c>
      <c r="Q748" s="36" t="n"/>
    </row>
    <row r="749">
      <c r="C749" s="36" t="n"/>
      <c r="D749" s="36" t="n"/>
      <c r="E749" s="35" t="n"/>
      <c r="F749" s="36" t="n"/>
      <c r="G749" s="36" t="n"/>
      <c r="H749" s="30" t="n"/>
      <c r="I749" s="30" t="n"/>
      <c r="J749" s="31">
        <f>IF(H749="","",H749-I749)</f>
        <v/>
      </c>
      <c r="K749" s="43" t="n"/>
      <c r="L749" s="32">
        <f>IF(OR(K749="",$F749=""),"",DATE(YEAR(K749),MONTH(K749)+VLOOKUP($F749,'Membership Level'!$A$3:$B$15,2,FALSE),DAY(K749)))</f>
        <v/>
      </c>
      <c r="M749" s="36" t="n"/>
      <c r="N749" s="34">
        <f>IF($L749="","",DATE(YEAR($L749),MONTH($L749),DAY($L749)-$M749))</f>
        <v/>
      </c>
      <c r="O749" s="33">
        <f>IF($L749="","",IF(DAYS360(NOW(),$L749)&gt;=0,DAYS360(NOW(),$L749),""))</f>
        <v/>
      </c>
      <c r="P749" s="34">
        <f>IF(OR(H749="",H749=0,F749="",K749=""),"",I749/H749*VLOOKUP(F749,'Membership Level'!$A$3:$C$15,3,FALSE)+K749)</f>
        <v/>
      </c>
      <c r="Q749" s="36" t="n"/>
    </row>
    <row r="750">
      <c r="C750" s="36" t="n"/>
      <c r="D750" s="36" t="n"/>
      <c r="E750" s="36" t="n"/>
      <c r="F750" s="36" t="n"/>
      <c r="G750" s="36" t="n"/>
      <c r="H750" s="30" t="n"/>
      <c r="I750" s="30" t="n"/>
      <c r="J750" s="31">
        <f>IF(H750="","",H750-I750)</f>
        <v/>
      </c>
      <c r="K750" s="43" t="n"/>
      <c r="L750" s="32">
        <f>IF(OR(K750="",$F750=""),"",DATE(YEAR(K750),MONTH(K750)+VLOOKUP($F750,'Membership Level'!$A$3:$B$15,2,FALSE),DAY(K750)))</f>
        <v/>
      </c>
      <c r="M750" s="36" t="n"/>
      <c r="N750" s="34">
        <f>IF($L750="","",DATE(YEAR($L750),MONTH($L750),DAY($L750)-$M750))</f>
        <v/>
      </c>
      <c r="O750" s="33">
        <f>IF($L750="","",IF(DAYS360(NOW(),$L750)&gt;=0,DAYS360(NOW(),$L750),""))</f>
        <v/>
      </c>
      <c r="P750" s="34">
        <f>IF(OR(H750="",H750=0,F750="",K750=""),"",I750/H750*VLOOKUP(F750,'Membership Level'!$A$3:$C$15,3,FALSE)+K750)</f>
        <v/>
      </c>
      <c r="Q750" s="36" t="n"/>
    </row>
    <row r="751">
      <c r="C751" s="36" t="n"/>
      <c r="D751" s="36" t="n"/>
      <c r="E751" s="36" t="n"/>
      <c r="F751" s="36" t="n"/>
      <c r="G751" s="36" t="n"/>
      <c r="H751" s="30" t="n"/>
      <c r="I751" s="30" t="n"/>
      <c r="J751" s="31">
        <f>IF(H751="","",H751-I751)</f>
        <v/>
      </c>
      <c r="K751" s="43" t="n"/>
      <c r="L751" s="32">
        <f>IF(OR(K751="",$F751=""),"",DATE(YEAR(K751),MONTH(K751)+VLOOKUP($F751,'Membership Level'!$A$3:$B$15,2,FALSE),DAY(K751)))</f>
        <v/>
      </c>
      <c r="M751" s="36" t="n"/>
      <c r="N751" s="34">
        <f>IF($L751="","",DATE(YEAR($L751),MONTH($L751),DAY($L751)-$M751))</f>
        <v/>
      </c>
      <c r="O751" s="33">
        <f>IF($L751="","",IF(DAYS360(NOW(),$L751)&gt;=0,DAYS360(NOW(),$L751),""))</f>
        <v/>
      </c>
      <c r="P751" s="34">
        <f>IF(OR(H751="",H751=0,F751="",K751=""),"",I751/H751*VLOOKUP(F751,'Membership Level'!$A$3:$C$15,3,FALSE)+K751)</f>
        <v/>
      </c>
      <c r="Q751" s="36" t="n"/>
    </row>
    <row r="752">
      <c r="C752" s="36" t="n"/>
      <c r="D752" s="36" t="n"/>
      <c r="E752" s="36" t="n"/>
      <c r="F752" s="33" t="n"/>
      <c r="G752" s="36" t="n"/>
      <c r="H752" s="30" t="n"/>
      <c r="I752" s="30" t="n"/>
      <c r="J752" s="31">
        <f>IF(H752="","",H752-I752)</f>
        <v/>
      </c>
      <c r="K752" s="43" t="n"/>
      <c r="L752" s="32">
        <f>IF(OR(K752="",$F752=""),"",DATE(YEAR(K752),MONTH(K752)+VLOOKUP($F752,'Membership Level'!$A$3:$B$15,2,FALSE),DAY(K752)))</f>
        <v/>
      </c>
      <c r="M752" s="36" t="n"/>
      <c r="N752" s="34">
        <f>IF($L752="","",DATE(YEAR($L752),MONTH($L752),DAY($L752)-$M752))</f>
        <v/>
      </c>
      <c r="O752" s="33">
        <f>IF($L752="","",IF(DAYS360(NOW(),$L752)&gt;=0,DAYS360(NOW(),$L752),""))</f>
        <v/>
      </c>
      <c r="P752" s="34">
        <f>IF(OR(H752="",H752=0,F752="",K752=""),"",I752/H752*VLOOKUP(F752,'Membership Level'!$A$3:$C$15,3,FALSE)+K752)</f>
        <v/>
      </c>
      <c r="Q752" s="36" t="n"/>
    </row>
    <row r="753">
      <c r="C753" s="36" t="n"/>
      <c r="D753" s="36" t="n"/>
      <c r="E753" s="66" t="n"/>
      <c r="F753" s="36" t="n"/>
      <c r="G753" s="36" t="n"/>
      <c r="H753" s="30" t="n"/>
      <c r="I753" s="30" t="n"/>
      <c r="J753" s="31">
        <f>IF(H753="","",H753-I753)</f>
        <v/>
      </c>
      <c r="K753" s="43" t="n"/>
      <c r="L753" s="32">
        <f>IF(OR(K753="",$F753=""),"",DATE(YEAR(K753),MONTH(K753)+VLOOKUP($F753,'Membership Level'!$A$3:$B$15,2,FALSE),DAY(K753)))</f>
        <v/>
      </c>
      <c r="M753" s="36" t="n"/>
      <c r="N753" s="34">
        <f>IF($L753="","",DATE(YEAR($L753),MONTH($L753),DAY($L753)-$M753))</f>
        <v/>
      </c>
      <c r="O753" s="33">
        <f>IF($L753="","",IF(DAYS360(NOW(),$L753)&gt;=0,DAYS360(NOW(),$L753),""))</f>
        <v/>
      </c>
      <c r="P753" s="34">
        <f>IF(OR(H753="",H753=0,F753="",K753=""),"",I753/H753*VLOOKUP(F753,'Membership Level'!$A$3:$C$15,3,FALSE)+K753)</f>
        <v/>
      </c>
      <c r="Q753" s="36" t="n"/>
    </row>
    <row r="754" customFormat="1" s="22">
      <c r="C754" s="33" t="n"/>
      <c r="D754" s="33" t="n"/>
      <c r="E754" s="35" t="n"/>
      <c r="F754" s="33" t="n"/>
      <c r="G754" s="33" t="n"/>
      <c r="H754" s="44" t="n"/>
      <c r="I754" s="44" t="n"/>
      <c r="J754" s="31">
        <f>IF(H754="","",H754-I754)</f>
        <v/>
      </c>
      <c r="K754" s="32" t="n"/>
      <c r="L754" s="32">
        <f>IF(OR(K754="",$F754=""),"",DATE(YEAR(K754),MONTH(K754)+VLOOKUP($F754,'Membership Level'!$A$3:$B$15,2,FALSE),DAY(K754)))</f>
        <v/>
      </c>
      <c r="M754" s="33" t="n"/>
      <c r="N754" s="34">
        <f>IF($L754="","",DATE(YEAR($L754),MONTH($L754),DAY($L754)-$M754))</f>
        <v/>
      </c>
      <c r="O754" s="33">
        <f>IF($L754="","",IF(DAYS360(NOW(),$L754)&gt;=0,DAYS360(NOW(),$L754),""))</f>
        <v/>
      </c>
      <c r="P754" s="34">
        <f>IF(OR(H754="",H754=0,F754="",K754=""),"",I754/H754*VLOOKUP(F754,'Membership Level'!$A$3:$C$15,3,FALSE)+K754)</f>
        <v/>
      </c>
      <c r="Q754" s="33" t="n"/>
    </row>
    <row r="755">
      <c r="C755" s="36" t="n"/>
      <c r="D755" s="36" t="n"/>
      <c r="E755" s="66" t="n"/>
      <c r="F755" s="36" t="n"/>
      <c r="G755" s="36" t="n"/>
      <c r="H755" s="30" t="n"/>
      <c r="I755" s="30" t="n"/>
      <c r="J755" s="31">
        <f>IF(H755="","",H755-I755)</f>
        <v/>
      </c>
      <c r="K755" s="43" t="n"/>
      <c r="L755" s="32">
        <f>IF(OR(K755="",$F755=""),"",DATE(YEAR(K755),MONTH(K755)+VLOOKUP($F755,'Membership Level'!$A$3:$B$15,2,FALSE),DAY(K755)))</f>
        <v/>
      </c>
      <c r="M755" s="36" t="n"/>
      <c r="N755" s="34">
        <f>IF($L755="","",DATE(YEAR($L755),MONTH($L755),DAY($L755)-$M755))</f>
        <v/>
      </c>
      <c r="O755" s="33">
        <f>IF($L755="","",IF(DAYS360(NOW(),$L755)&gt;=0,DAYS360(NOW(),$L755),""))</f>
        <v/>
      </c>
      <c r="P755" s="34">
        <f>IF(OR(H755="",H755=0,F755="",K755=""),"",I755/H755*VLOOKUP(F755,'Membership Level'!$A$3:$C$15,3,FALSE)+K755)</f>
        <v/>
      </c>
      <c r="Q755" s="36" t="n"/>
    </row>
    <row r="756" customFormat="1" s="22">
      <c r="C756" s="33" t="n"/>
      <c r="D756" s="33" t="n"/>
      <c r="E756" s="35" t="n"/>
      <c r="F756" s="36" t="n"/>
      <c r="G756" s="33" t="n"/>
      <c r="H756" s="44" t="n"/>
      <c r="I756" s="30" t="n"/>
      <c r="J756" s="31">
        <f>IF(H756="","",H756-I756)</f>
        <v/>
      </c>
      <c r="K756" s="32" t="n"/>
      <c r="L756" s="32">
        <f>IF(OR(K756="",$F756=""),"",DATE(YEAR(K756),MONTH(K756)+VLOOKUP($F756,'Membership Level'!$A$3:$B$15,2,FALSE),DAY(K756)))</f>
        <v/>
      </c>
      <c r="M756" s="36" t="n"/>
      <c r="N756" s="34">
        <f>IF($L756="","",DATE(YEAR($L756),MONTH($L756),DAY($L756)-$M756))</f>
        <v/>
      </c>
      <c r="O756" s="33">
        <f>IF($L756="","",IF(DAYS360(NOW(),$L756)&gt;=0,DAYS360(NOW(),$L756),""))</f>
        <v/>
      </c>
      <c r="P756" s="34">
        <f>IF(OR(H756="",H756=0,F756="",K756=""),"",I756/H756*VLOOKUP(F756,'Membership Level'!$A$3:$C$15,3,FALSE)+K756)</f>
        <v/>
      </c>
      <c r="Q756" s="33" t="n"/>
    </row>
    <row r="757">
      <c r="C757" s="36" t="n"/>
      <c r="D757" s="36" t="n"/>
      <c r="E757" s="35" t="n"/>
      <c r="F757" s="36" t="n"/>
      <c r="G757" s="36" t="n"/>
      <c r="H757" s="30" t="n"/>
      <c r="I757" s="30" t="n"/>
      <c r="J757" s="31">
        <f>IF(H757="","",H757-I757)</f>
        <v/>
      </c>
      <c r="K757" s="43" t="n"/>
      <c r="L757" s="32">
        <f>IF(OR(K757="",$F757=""),"",DATE(YEAR(K757),MONTH(K757)+VLOOKUP($F757,'Membership Level'!$A$3:$B$15,2,FALSE),DAY(K757)))</f>
        <v/>
      </c>
      <c r="M757" s="36" t="n"/>
      <c r="N757" s="34">
        <f>IF($L757="","",DATE(YEAR($L757),MONTH($L757),DAY($L757)-$M757))</f>
        <v/>
      </c>
      <c r="O757" s="33">
        <f>IF($L757="","",IF(DAYS360(NOW(),$L757)&gt;=0,DAYS360(NOW(),$L757),""))</f>
        <v/>
      </c>
      <c r="P757" s="34">
        <f>IF(OR(H757="",H757=0,F757="",K757=""),"",I757/H757*VLOOKUP(F757,'Membership Level'!$A$3:$C$15,3,FALSE)+K757)</f>
        <v/>
      </c>
      <c r="Q757" s="36" t="n"/>
    </row>
    <row r="758">
      <c r="C758" s="36" t="n"/>
      <c r="D758" s="36" t="n"/>
      <c r="E758" s="66" t="n"/>
      <c r="F758" s="36" t="n"/>
      <c r="G758" s="36" t="n"/>
      <c r="H758" s="30" t="n"/>
      <c r="I758" s="30" t="n"/>
      <c r="J758" s="31">
        <f>IF(H758="","",H758-I758)</f>
        <v/>
      </c>
      <c r="K758" s="43" t="n"/>
      <c r="L758" s="32">
        <f>IF(OR(K758="",$F758=""),"",DATE(YEAR(K758),MONTH(K758)+VLOOKUP($F758,'Membership Level'!$A$3:$B$15,2,FALSE),DAY(K758)))</f>
        <v/>
      </c>
      <c r="M758" s="36" t="n"/>
      <c r="N758" s="34">
        <f>IF($L758="","",DATE(YEAR($L758),MONTH($L758),DAY($L758)-$M758))</f>
        <v/>
      </c>
      <c r="O758" s="33">
        <f>IF($L758="","",IF(DAYS360(NOW(),$L758)&gt;=0,DAYS360(NOW(),$L758),""))</f>
        <v/>
      </c>
      <c r="P758" s="34">
        <f>IF(OR(H758="",H758=0,F758="",K758=""),"",I758/H758*VLOOKUP(F758,'Membership Level'!$A$3:$C$15,3,FALSE)+K758)</f>
        <v/>
      </c>
      <c r="Q758" s="35" t="n"/>
    </row>
    <row r="759">
      <c r="C759" s="36" t="n"/>
      <c r="D759" s="36" t="n"/>
      <c r="E759" s="66" t="n"/>
      <c r="F759" s="36" t="n"/>
      <c r="G759" s="36" t="n"/>
      <c r="H759" s="30" t="n"/>
      <c r="I759" s="30" t="n"/>
      <c r="J759" s="31">
        <f>IF(H759="","",H759-I759)</f>
        <v/>
      </c>
      <c r="K759" s="43" t="n"/>
      <c r="L759" s="32">
        <f>IF(OR(K759="",$F759=""),"",DATE(YEAR(K759),MONTH(K759)+VLOOKUP($F759,'Membership Level'!$A$3:$B$15,2,FALSE),DAY(K759)))</f>
        <v/>
      </c>
      <c r="M759" s="36" t="n"/>
      <c r="N759" s="34">
        <f>IF($L759="","",DATE(YEAR($L759),MONTH($L759),DAY($L759)-$M759))</f>
        <v/>
      </c>
      <c r="O759" s="33">
        <f>IF($L759="","",IF(DAYS360(NOW(),$L759)&gt;=0,DAYS360(NOW(),$L759),""))</f>
        <v/>
      </c>
      <c r="P759" s="34">
        <f>IF(OR(H759="",H759=0,F759="",K759=""),"",I759/H759*VLOOKUP(F759,'Membership Level'!$A$3:$C$15,3,FALSE)+K759)</f>
        <v/>
      </c>
      <c r="Q759" s="36" t="n"/>
    </row>
    <row r="760">
      <c r="C760" s="36" t="n"/>
      <c r="D760" s="36" t="n"/>
      <c r="E760" s="35" t="n"/>
      <c r="F760" s="36" t="n"/>
      <c r="G760" s="36" t="n"/>
      <c r="H760" s="30" t="n"/>
      <c r="I760" s="30" t="n"/>
      <c r="J760" s="31">
        <f>IF(H760="","",H760-I760)</f>
        <v/>
      </c>
      <c r="K760" s="43" t="n"/>
      <c r="L760" s="32">
        <f>IF(OR(K760="",$F760=""),"",DATE(YEAR(K760),MONTH(K760)+VLOOKUP($F760,'Membership Level'!$A$3:$B$15,2,FALSE),DAY(K760)))</f>
        <v/>
      </c>
      <c r="M760" s="36" t="n"/>
      <c r="N760" s="34">
        <f>IF($L760="","",DATE(YEAR($L760),MONTH($L760),DAY($L760)-$M760))</f>
        <v/>
      </c>
      <c r="O760" s="33">
        <f>IF($L760="","",IF(DAYS360(NOW(),$L760)&gt;=0,DAYS360(NOW(),$L760),""))</f>
        <v/>
      </c>
      <c r="P760" s="34">
        <f>IF(OR(H760="",H760=0,F760="",K760=""),"",I760/H760*VLOOKUP(F760,'Membership Level'!$A$3:$C$15,3,FALSE)+K760)</f>
        <v/>
      </c>
      <c r="Q760" s="36" t="n"/>
    </row>
    <row r="761">
      <c r="C761" s="36" t="n"/>
      <c r="D761" s="36" t="n"/>
      <c r="E761" s="35" t="n"/>
      <c r="F761" s="36" t="n"/>
      <c r="G761" s="36" t="n"/>
      <c r="H761" s="30" t="n"/>
      <c r="I761" s="30" t="n"/>
      <c r="J761" s="31">
        <f>IF(H761="","",H761-I761)</f>
        <v/>
      </c>
      <c r="K761" s="43" t="n"/>
      <c r="L761" s="32">
        <f>IF(OR(K761="",$F761=""),"",DATE(YEAR(K761),MONTH(K761)+VLOOKUP($F761,'Membership Level'!$A$3:$B$15,2,FALSE),DAY(K761)))</f>
        <v/>
      </c>
      <c r="M761" s="36" t="n"/>
      <c r="N761" s="34">
        <f>IF($L761="","",DATE(YEAR($L761),MONTH($L761),DAY($L761)-$M761))</f>
        <v/>
      </c>
      <c r="O761" s="33">
        <f>IF($L761="","",IF(DAYS360(NOW(),$L761)&gt;=0,DAYS360(NOW(),$L761),""))</f>
        <v/>
      </c>
      <c r="P761" s="34">
        <f>IF(OR(H761="",H761=0,F761="",K761=""),"",I761/H761*VLOOKUP(F761,'Membership Level'!$A$3:$C$15,3,FALSE)+K761)</f>
        <v/>
      </c>
      <c r="Q761" s="36" t="n"/>
    </row>
    <row r="762">
      <c r="C762" s="36" t="n"/>
      <c r="D762" s="36" t="n"/>
      <c r="E762" s="66" t="n"/>
      <c r="F762" s="36" t="n"/>
      <c r="G762" s="36" t="n"/>
      <c r="H762" s="30" t="n"/>
      <c r="I762" s="30" t="n"/>
      <c r="J762" s="31">
        <f>IF(H762="","",H762-I762)</f>
        <v/>
      </c>
      <c r="K762" s="43" t="n"/>
      <c r="L762" s="32">
        <f>IF(OR(K762="",$F762=""),"",DATE(YEAR(K762),MONTH(K762)+VLOOKUP($F762,'Membership Level'!$A$3:$B$15,2,FALSE),DAY(K762)))</f>
        <v/>
      </c>
      <c r="M762" s="36" t="n"/>
      <c r="N762" s="34">
        <f>IF($L762="","",DATE(YEAR($L762),MONTH($L762),DAY($L762)-$M762))</f>
        <v/>
      </c>
      <c r="O762" s="33">
        <f>IF($L762="","",IF(DAYS360(NOW(),$L762)&gt;=0,DAYS360(NOW(),$L762),""))</f>
        <v/>
      </c>
      <c r="P762" s="34">
        <f>IF(OR(H762="",H762=0,F762="",K762=""),"",I762/H762*VLOOKUP(F762,'Membership Level'!$A$3:$C$15,3,FALSE)+K762)</f>
        <v/>
      </c>
      <c r="Q762" s="36" t="n"/>
    </row>
    <row r="763">
      <c r="C763" s="36" t="n"/>
      <c r="D763" s="36" t="n"/>
      <c r="E763" s="35" t="n"/>
      <c r="F763" s="36" t="n"/>
      <c r="G763" s="36" t="n"/>
      <c r="H763" s="30" t="n"/>
      <c r="I763" s="30" t="n"/>
      <c r="J763" s="31">
        <f>IF(H763="","",H763-I763)</f>
        <v/>
      </c>
      <c r="K763" s="43" t="n"/>
      <c r="L763" s="32">
        <f>IF(OR(K763="",$F763=""),"",DATE(YEAR(K763),MONTH(K763)+VLOOKUP($F763,'Membership Level'!$A$3:$B$15,2,FALSE),DAY(K763)))</f>
        <v/>
      </c>
      <c r="M763" s="36" t="n"/>
      <c r="N763" s="34">
        <f>IF($L763="","",DATE(YEAR($L763),MONTH($L763),DAY($L763)-$M763))</f>
        <v/>
      </c>
      <c r="O763" s="33">
        <f>IF($L763="","",IF(DAYS360(NOW(),$L763)&gt;=0,DAYS360(NOW(),$L763),""))</f>
        <v/>
      </c>
      <c r="P763" s="34">
        <f>IF(OR(H763="",H763=0,F763="",K763=""),"",I763/H763*VLOOKUP(F763,'Membership Level'!$A$3:$C$15,3,FALSE)+K763)</f>
        <v/>
      </c>
      <c r="Q763" s="36" t="n"/>
    </row>
    <row r="764">
      <c r="C764" s="36" t="n"/>
      <c r="D764" s="36" t="n"/>
      <c r="E764" s="35" t="n"/>
      <c r="F764" s="36" t="n"/>
      <c r="G764" s="36" t="n"/>
      <c r="H764" s="30" t="n"/>
      <c r="I764" s="30" t="n"/>
      <c r="J764" s="31">
        <f>IF(H764="","",H764-I764)</f>
        <v/>
      </c>
      <c r="K764" s="43" t="n"/>
      <c r="L764" s="32">
        <f>IF(OR(K764="",$F764=""),"",DATE(YEAR(K764),MONTH(K764)+VLOOKUP($F764,'Membership Level'!$A$3:$B$15,2,FALSE),DAY(K764)))</f>
        <v/>
      </c>
      <c r="M764" s="36" t="n"/>
      <c r="N764" s="34">
        <f>IF($L764="","",DATE(YEAR($L764),MONTH($L764),DAY($L764)-$M764))</f>
        <v/>
      </c>
      <c r="O764" s="33">
        <f>IF($L764="","",IF(DAYS360(NOW(),$L764)&gt;=0,DAYS360(NOW(),$L764),""))</f>
        <v/>
      </c>
      <c r="P764" s="34">
        <f>IF(OR(H764="",H764=0,F764="",K764=""),"",I764/H764*VLOOKUP(F764,'Membership Level'!$A$3:$C$15,3,FALSE)+K764)</f>
        <v/>
      </c>
      <c r="Q764" s="36" t="n"/>
    </row>
    <row r="765">
      <c r="C765" s="36" t="n"/>
      <c r="D765" s="36" t="n"/>
      <c r="E765" s="35" t="n"/>
      <c r="F765" s="36" t="n"/>
      <c r="G765" s="36" t="n"/>
      <c r="H765" s="30" t="n"/>
      <c r="I765" s="30" t="n"/>
      <c r="J765" s="31">
        <f>IF(H765="","",H765-I765)</f>
        <v/>
      </c>
      <c r="K765" s="43" t="n"/>
      <c r="L765" s="32">
        <f>IF(OR(K765="",$F765=""),"",DATE(YEAR(K765),MONTH(K765)+VLOOKUP($F765,'Membership Level'!$A$3:$B$15,2,FALSE),DAY(K765)))</f>
        <v/>
      </c>
      <c r="M765" s="36" t="n"/>
      <c r="N765" s="34">
        <f>IF($L765="","",DATE(YEAR($L765),MONTH($L765),DAY($L765)-$M765))</f>
        <v/>
      </c>
      <c r="O765" s="33">
        <f>IF($L765="","",IF(DAYS360(NOW(),$L765)&gt;=0,DAYS360(NOW(),$L765),""))</f>
        <v/>
      </c>
      <c r="P765" s="34">
        <f>IF(OR(H765="",H765=0,F765="",K765=""),"",I765/H765*VLOOKUP(F765,'Membership Level'!$A$3:$C$15,3,FALSE)+K765)</f>
        <v/>
      </c>
      <c r="Q765" s="36" t="n"/>
    </row>
    <row r="766">
      <c r="C766" s="36" t="n"/>
      <c r="D766" s="36" t="n"/>
      <c r="E766" s="66" t="n"/>
      <c r="F766" s="36" t="n"/>
      <c r="G766" s="36" t="n"/>
      <c r="H766" s="30" t="n"/>
      <c r="I766" s="30" t="n"/>
      <c r="J766" s="31">
        <f>IF(H766="","",H766-I766)</f>
        <v/>
      </c>
      <c r="K766" s="43" t="n"/>
      <c r="L766" s="32">
        <f>IF(OR(K766="",$F766=""),"",DATE(YEAR(K766),MONTH(K766)+VLOOKUP($F766,'Membership Level'!$A$3:$B$15,2,FALSE),DAY(K766)))</f>
        <v/>
      </c>
      <c r="M766" s="36" t="n"/>
      <c r="N766" s="34">
        <f>IF($L766="","",DATE(YEAR($L766),MONTH($L766),DAY($L766)-$M766))</f>
        <v/>
      </c>
      <c r="O766" s="33">
        <f>IF($L766="","",IF(DAYS360(NOW(),$L766)&gt;=0,DAYS360(NOW(),$L766),""))</f>
        <v/>
      </c>
      <c r="P766" s="34">
        <f>IF(OR(H766="",H766=0,F766="",K766=""),"",I766/H766*VLOOKUP(F766,'Membership Level'!$A$3:$C$15,3,FALSE)+K766)</f>
        <v/>
      </c>
      <c r="Q766" s="36" t="n"/>
    </row>
    <row r="767">
      <c r="C767" s="36" t="n"/>
      <c r="D767" s="36" t="n"/>
      <c r="E767" s="35" t="n"/>
      <c r="F767" s="36" t="n"/>
      <c r="G767" s="36" t="n"/>
      <c r="H767" s="30" t="n"/>
      <c r="I767" s="30" t="n"/>
      <c r="J767" s="31">
        <f>IF(H767="","",H767-I767)</f>
        <v/>
      </c>
      <c r="K767" s="43" t="n"/>
      <c r="L767" s="32">
        <f>IF(OR(K767="",$F767=""),"",DATE(YEAR(K767),MONTH(K767)+VLOOKUP($F767,'Membership Level'!$A$3:$B$15,2,FALSE),DAY(K767)))</f>
        <v/>
      </c>
      <c r="M767" s="36" t="n"/>
      <c r="N767" s="34">
        <f>IF($L767="","",DATE(YEAR($L767),MONTH($L767),DAY($L767)-$M767))</f>
        <v/>
      </c>
      <c r="O767" s="33">
        <f>IF($L767="","",IF(DAYS360(NOW(),$L767)&gt;=0,DAYS360(NOW(),$L767),""))</f>
        <v/>
      </c>
      <c r="P767" s="34">
        <f>IF(OR(H767="",H767=0,F767="",K767=""),"",I767/H767*VLOOKUP(F767,'Membership Level'!$A$3:$C$15,3,FALSE)+K767)</f>
        <v/>
      </c>
      <c r="Q767" s="36" t="n"/>
    </row>
    <row r="768">
      <c r="C768" s="36" t="n"/>
      <c r="D768" s="36" t="n"/>
      <c r="E768" s="35" t="n"/>
      <c r="F768" s="36" t="n"/>
      <c r="G768" s="36" t="n"/>
      <c r="H768" s="30" t="n"/>
      <c r="I768" s="30" t="n"/>
      <c r="J768" s="31">
        <f>IF(H768="","",H768-I768)</f>
        <v/>
      </c>
      <c r="K768" s="43" t="n"/>
      <c r="L768" s="32">
        <f>IF(OR(K768="",$F768=""),"",DATE(YEAR(K768),MONTH(K768)+VLOOKUP($F768,'Membership Level'!$A$3:$B$15,2,FALSE),DAY(K768)))</f>
        <v/>
      </c>
      <c r="M768" s="36" t="n"/>
      <c r="N768" s="34">
        <f>IF($L768="","",DATE(YEAR($L768),MONTH($L768),DAY($L768)-$M768))</f>
        <v/>
      </c>
      <c r="O768" s="33">
        <f>IF($L768="","",IF(DAYS360(NOW(),$L768)&gt;=0,DAYS360(NOW(),$L768),""))</f>
        <v/>
      </c>
      <c r="P768" s="34">
        <f>IF(OR(H768="",H768=0,F768="",K768=""),"",I768/H768*VLOOKUP(F768,'Membership Level'!$A$3:$C$15,3,FALSE)+K768)</f>
        <v/>
      </c>
      <c r="Q768" s="36" t="n"/>
    </row>
    <row r="769">
      <c r="C769" s="36" t="n"/>
      <c r="D769" s="36" t="n"/>
      <c r="E769" s="35" t="n"/>
      <c r="F769" s="36" t="n"/>
      <c r="G769" s="36" t="n"/>
      <c r="H769" s="30" t="n"/>
      <c r="I769" s="30" t="n"/>
      <c r="J769" s="31">
        <f>IF(H769="","",H769-I769)</f>
        <v/>
      </c>
      <c r="K769" s="43" t="n"/>
      <c r="L769" s="32">
        <f>IF(OR(K769="",$F769=""),"",DATE(YEAR(K769),MONTH(K769)+VLOOKUP($F769,'Membership Level'!$A$3:$B$15,2,FALSE),DAY(K769)))</f>
        <v/>
      </c>
      <c r="M769" s="36" t="n"/>
      <c r="N769" s="34">
        <f>IF($L769="","",DATE(YEAR($L769),MONTH($L769),DAY($L769)-$M769))</f>
        <v/>
      </c>
      <c r="O769" s="33">
        <f>IF($L769="","",IF(DAYS360(NOW(),$L769)&gt;=0,DAYS360(NOW(),$L769),""))</f>
        <v/>
      </c>
      <c r="P769" s="34">
        <f>IF(OR(H769="",H769=0,F769="",K769=""),"",I769/H769*VLOOKUP(F769,'Membership Level'!$A$3:$C$15,3,FALSE)+K769)</f>
        <v/>
      </c>
      <c r="Q769" s="36" t="n"/>
    </row>
    <row r="770">
      <c r="C770" s="36" t="n"/>
      <c r="D770" s="36" t="n"/>
      <c r="E770" s="66" t="n"/>
      <c r="F770" s="36" t="n"/>
      <c r="G770" s="36" t="n"/>
      <c r="H770" s="30" t="n"/>
      <c r="I770" s="30" t="n"/>
      <c r="J770" s="31">
        <f>IF(H770="","",H770-I770)</f>
        <v/>
      </c>
      <c r="K770" s="43" t="n"/>
      <c r="L770" s="32">
        <f>IF(OR(K770="",$F770=""),"",DATE(YEAR(K770),MONTH(K770)+VLOOKUP($F770,'Membership Level'!$A$3:$B$15,2,FALSE),DAY(K770)))</f>
        <v/>
      </c>
      <c r="M770" s="36" t="n"/>
      <c r="N770" s="34">
        <f>IF($L770="","",DATE(YEAR($L770),MONTH($L770),DAY($L770)-$M770))</f>
        <v/>
      </c>
      <c r="O770" s="33">
        <f>IF($L770="","",IF(DAYS360(NOW(),$L770)&gt;=0,DAYS360(NOW(),$L770),""))</f>
        <v/>
      </c>
      <c r="P770" s="34">
        <f>IF(OR(H770="",H770=0,F770="",K770=""),"",I770/H770*VLOOKUP(F770,'Membership Level'!$A$3:$C$15,3,FALSE)+K770)</f>
        <v/>
      </c>
      <c r="Q770" s="36" t="n"/>
    </row>
    <row r="771">
      <c r="C771" s="36" t="n"/>
      <c r="D771" s="36" t="n"/>
      <c r="E771" s="35" t="n"/>
      <c r="F771" s="36" t="n"/>
      <c r="G771" s="36" t="n"/>
      <c r="H771" s="30" t="n"/>
      <c r="I771" s="30" t="n"/>
      <c r="J771" s="31">
        <f>IF(H771="","",H771-I771)</f>
        <v/>
      </c>
      <c r="K771" s="43" t="n"/>
      <c r="L771" s="32">
        <f>IF(OR(K771="",$F771=""),"",DATE(YEAR(K771),MONTH(K771)+VLOOKUP($F771,'Membership Level'!$A$3:$B$15,2,FALSE),DAY(K771)))</f>
        <v/>
      </c>
      <c r="M771" s="36" t="n"/>
      <c r="N771" s="34">
        <f>IF($L771="","",DATE(YEAR($L771),MONTH($L771),DAY($L771)-$M771))</f>
        <v/>
      </c>
      <c r="O771" s="33">
        <f>IF($L771="","",IF(DAYS360(NOW(),$L771)&gt;=0,DAYS360(NOW(),$L771),""))</f>
        <v/>
      </c>
      <c r="P771" s="34">
        <f>IF(OR(H771="",H771=0,F771="",K771=""),"",I771/H771*VLOOKUP(F771,'Membership Level'!$A$3:$C$15,3,FALSE)+K771)</f>
        <v/>
      </c>
      <c r="Q771" s="36" t="n"/>
    </row>
    <row r="772">
      <c r="C772" s="36" t="n"/>
      <c r="D772" s="36" t="n"/>
      <c r="E772" s="35" t="n"/>
      <c r="F772" s="36" t="n"/>
      <c r="G772" s="36" t="n"/>
      <c r="H772" s="30" t="n"/>
      <c r="I772" s="30" t="n"/>
      <c r="J772" s="31">
        <f>IF(H772="","",H772-I772)</f>
        <v/>
      </c>
      <c r="K772" s="43" t="n"/>
      <c r="L772" s="32">
        <f>IF(OR(K772="",$F772=""),"",DATE(YEAR(K772),MONTH(K772)+VLOOKUP($F772,'Membership Level'!$A$3:$B$15,2,FALSE),DAY(K772)))</f>
        <v/>
      </c>
      <c r="M772" s="36" t="n"/>
      <c r="N772" s="34">
        <f>IF($L772="","",DATE(YEAR($L772),MONTH($L772),DAY($L772)-$M772))</f>
        <v/>
      </c>
      <c r="O772" s="33">
        <f>IF($L772="","",IF(DAYS360(NOW(),$L772)&gt;=0,DAYS360(NOW(),$L772),""))</f>
        <v/>
      </c>
      <c r="P772" s="34">
        <f>IF(OR(H772="",H772=0,F772="",K772=""),"",I772/H772*VLOOKUP(F772,'Membership Level'!$A$3:$C$15,3,FALSE)+K772)</f>
        <v/>
      </c>
      <c r="Q772" s="36" t="n"/>
    </row>
    <row r="773">
      <c r="C773" s="36" t="n"/>
      <c r="D773" s="36" t="n"/>
      <c r="E773" s="66" t="n"/>
      <c r="F773" s="33" t="n"/>
      <c r="G773" s="36" t="n"/>
      <c r="H773" s="30" t="n"/>
      <c r="I773" s="30" t="n"/>
      <c r="J773" s="31">
        <f>IF(H773="","",H773-I773)</f>
        <v/>
      </c>
      <c r="K773" s="43" t="n"/>
      <c r="L773" s="32">
        <f>IF(OR(K773="",$F773=""),"",DATE(YEAR(K773),MONTH(K773)+VLOOKUP($F773,'Membership Level'!$A$3:$B$15,2,FALSE),DAY(K773)))</f>
        <v/>
      </c>
      <c r="M773" s="36" t="n"/>
      <c r="N773" s="34">
        <f>IF($L773="","",DATE(YEAR($L773),MONTH($L773),DAY($L773)-$M773))</f>
        <v/>
      </c>
      <c r="O773" s="33">
        <f>IF($L773="","",IF(DAYS360(NOW(),$L773)&gt;=0,DAYS360(NOW(),$L773),""))</f>
        <v/>
      </c>
      <c r="P773" s="34">
        <f>IF(OR(H773="",H773=0,F773="",K773=""),"",I773/H773*VLOOKUP(F773,'Membership Level'!$A$3:$C$15,3,FALSE)+K773)</f>
        <v/>
      </c>
      <c r="Q773" s="36" t="n"/>
    </row>
    <row r="774">
      <c r="C774" s="36" t="n"/>
      <c r="D774" s="36" t="n"/>
      <c r="E774" s="66" t="n"/>
      <c r="F774" s="36" t="n"/>
      <c r="G774" s="36" t="n"/>
      <c r="H774" s="30" t="n"/>
      <c r="I774" s="30" t="n"/>
      <c r="J774" s="31">
        <f>IF(H774="","",H774-I774)</f>
        <v/>
      </c>
      <c r="K774" s="43" t="n"/>
      <c r="L774" s="32">
        <f>IF(OR(K774="",$F774=""),"",DATE(YEAR(K774),MONTH(K774)+VLOOKUP($F774,'Membership Level'!$A$3:$B$15,2,FALSE),DAY(K774)))</f>
        <v/>
      </c>
      <c r="M774" s="36" t="n"/>
      <c r="N774" s="34">
        <f>IF($L774="","",DATE(YEAR($L774),MONTH($L774),DAY($L774)-$M774))</f>
        <v/>
      </c>
      <c r="O774" s="33">
        <f>IF($L774="","",IF(DAYS360(NOW(),$L774)&gt;=0,DAYS360(NOW(),$L774),""))</f>
        <v/>
      </c>
      <c r="P774" s="34">
        <f>IF(OR(H774="",H774=0,F774="",K774=""),"",I774/H774*VLOOKUP(F774,'Membership Level'!$A$3:$C$15,3,FALSE)+K774)</f>
        <v/>
      </c>
      <c r="Q774" s="36" t="n"/>
    </row>
    <row r="775" customFormat="1" s="22">
      <c r="C775" s="33" t="n"/>
      <c r="D775" s="33" t="n"/>
      <c r="E775" s="66" t="n"/>
      <c r="F775" s="36" t="n"/>
      <c r="G775" s="33" t="n"/>
      <c r="H775" s="44" t="n"/>
      <c r="I775" s="44" t="n"/>
      <c r="J775" s="31">
        <f>IF(H775="","",H775-I775)</f>
        <v/>
      </c>
      <c r="K775" s="32" t="n"/>
      <c r="L775" s="32">
        <f>IF(OR(K775="",$F775=""),"",DATE(YEAR(K775),MONTH(K775)+VLOOKUP($F775,'Membership Level'!$A$3:$B$15,2,FALSE),DAY(K775)))</f>
        <v/>
      </c>
      <c r="M775" s="33" t="n"/>
      <c r="N775" s="34">
        <f>IF($L775="","",DATE(YEAR($L775),MONTH($L775),DAY($L775)-$M775))</f>
        <v/>
      </c>
      <c r="O775" s="33">
        <f>IF($L775="","",IF(DAYS360(NOW(),$L775)&gt;=0,DAYS360(NOW(),$L775),""))</f>
        <v/>
      </c>
      <c r="P775" s="34">
        <f>IF(OR(H775="",H775=0,F775="",K775=""),"",I775/H775*VLOOKUP(F775,'Membership Level'!$A$3:$C$15,3,FALSE)+K775)</f>
        <v/>
      </c>
      <c r="Q775" s="33" t="n"/>
    </row>
    <row r="776">
      <c r="C776" s="36" t="n"/>
      <c r="D776" s="36" t="n"/>
      <c r="E776" s="35" t="n"/>
      <c r="F776" s="36" t="n"/>
      <c r="G776" s="36" t="n"/>
      <c r="H776" s="30" t="n"/>
      <c r="I776" s="30" t="n"/>
      <c r="J776" s="31">
        <f>IF(H776="","",H776-I776)</f>
        <v/>
      </c>
      <c r="K776" s="43" t="n"/>
      <c r="L776" s="32">
        <f>IF(OR(K776="",$F776=""),"",DATE(YEAR(K776),MONTH(K776)+VLOOKUP($F776,'Membership Level'!$A$3:$B$15,2,FALSE),DAY(K776)))</f>
        <v/>
      </c>
      <c r="M776" s="36" t="n"/>
      <c r="N776" s="34">
        <f>IF($L776="","",DATE(YEAR($L776),MONTH($L776),DAY($L776)-$M776))</f>
        <v/>
      </c>
      <c r="O776" s="33">
        <f>IF($L776="","",IF(DAYS360(NOW(),$L776)&gt;=0,DAYS360(NOW(),$L776),""))</f>
        <v/>
      </c>
      <c r="P776" s="34">
        <f>IF(OR(H776="",H776=0,F776="",K776=""),"",I776/H776*VLOOKUP(F776,'Membership Level'!$A$3:$C$15,3,FALSE)+K776)</f>
        <v/>
      </c>
      <c r="Q776" s="36" t="n"/>
    </row>
    <row r="777">
      <c r="C777" s="36" t="n"/>
      <c r="D777" s="36" t="n"/>
      <c r="E777" s="35" t="n"/>
      <c r="F777" s="36" t="n"/>
      <c r="G777" s="36" t="n"/>
      <c r="H777" s="30" t="n"/>
      <c r="I777" s="30" t="n"/>
      <c r="J777" s="31">
        <f>IF(H777="","",H777-I777)</f>
        <v/>
      </c>
      <c r="K777" s="43" t="n"/>
      <c r="L777" s="32">
        <f>IF(OR(K777="",$F777=""),"",DATE(YEAR(K777),MONTH(K777)+VLOOKUP($F777,'Membership Level'!$A$3:$B$15,2,FALSE),DAY(K777)))</f>
        <v/>
      </c>
      <c r="M777" s="36" t="n"/>
      <c r="N777" s="34">
        <f>IF($L777="","",DATE(YEAR($L777),MONTH($L777),DAY($L777)-$M777))</f>
        <v/>
      </c>
      <c r="O777" s="33">
        <f>IF($L777="","",IF(DAYS360(NOW(),$L777)&gt;=0,DAYS360(NOW(),$L777),""))</f>
        <v/>
      </c>
      <c r="P777" s="34">
        <f>IF(OR(H777="",H777=0,F777="",K777=""),"",I777/H777*VLOOKUP(F777,'Membership Level'!$A$3:$C$15,3,FALSE)+K777)</f>
        <v/>
      </c>
      <c r="Q777" s="36" t="n"/>
    </row>
    <row r="778">
      <c r="C778" s="36" t="n"/>
      <c r="D778" s="36" t="n"/>
      <c r="E778" s="35" t="n"/>
      <c r="F778" s="36" t="n"/>
      <c r="G778" s="36" t="n"/>
      <c r="H778" s="30" t="n"/>
      <c r="I778" s="30" t="n"/>
      <c r="J778" s="31">
        <f>IF(H778="","",H778-I778)</f>
        <v/>
      </c>
      <c r="K778" s="43" t="n"/>
      <c r="L778" s="32">
        <f>IF(OR(K778="",$F778=""),"",DATE(YEAR(K778),MONTH(K778)+VLOOKUP($F778,'Membership Level'!$A$3:$B$15,2,FALSE),DAY(K778)))</f>
        <v/>
      </c>
      <c r="M778" s="36" t="n"/>
      <c r="N778" s="34">
        <f>IF($L778="","",DATE(YEAR($L778),MONTH($L778),DAY($L778)-$M778))</f>
        <v/>
      </c>
      <c r="O778" s="33">
        <f>IF($L778="","",IF(DAYS360(NOW(),$L778)&gt;=0,DAYS360(NOW(),$L778),""))</f>
        <v/>
      </c>
      <c r="P778" s="34">
        <f>IF(OR(H778="",H778=0,F778="",K778=""),"",I778/H778*VLOOKUP(F778,'Membership Level'!$A$3:$C$15,3,FALSE)+K778)</f>
        <v/>
      </c>
      <c r="Q778" s="36" t="n"/>
    </row>
    <row r="779">
      <c r="C779" s="36" t="n"/>
      <c r="D779" s="36" t="n"/>
      <c r="E779" s="35" t="n"/>
      <c r="F779" s="36" t="n"/>
      <c r="G779" s="36" t="n"/>
      <c r="H779" s="30" t="n"/>
      <c r="I779" s="30" t="n"/>
      <c r="J779" s="31">
        <f>IF(H779="","",H779-I779)</f>
        <v/>
      </c>
      <c r="K779" s="43" t="n"/>
      <c r="L779" s="32">
        <f>IF(OR(K779="",$F779=""),"",DATE(YEAR(K779),MONTH(K779)+VLOOKUP($F779,'Membership Level'!$A$3:$B$15,2,FALSE),DAY(K779)))</f>
        <v/>
      </c>
      <c r="M779" s="36" t="n"/>
      <c r="N779" s="34">
        <f>IF($L779="","",DATE(YEAR($L779),MONTH($L779),DAY($L779)-$M779))</f>
        <v/>
      </c>
      <c r="O779" s="33">
        <f>IF($L779="","",IF(DAYS360(NOW(),$L779)&gt;=0,DAYS360(NOW(),$L779),""))</f>
        <v/>
      </c>
      <c r="P779" s="34">
        <f>IF(OR(H779="",H779=0,F779="",K779=""),"",I779/H779*VLOOKUP(F779,'Membership Level'!$A$3:$C$15,3,FALSE)+K779)</f>
        <v/>
      </c>
      <c r="Q779" s="36" t="n"/>
    </row>
    <row r="780">
      <c r="C780" s="36" t="n"/>
      <c r="D780" s="36" t="n"/>
      <c r="E780" s="66" t="n"/>
      <c r="F780" s="36" t="n"/>
      <c r="G780" s="36" t="n"/>
      <c r="H780" s="30" t="n"/>
      <c r="I780" s="30" t="n"/>
      <c r="J780" s="31">
        <f>IF(H780="","",H780-I780)</f>
        <v/>
      </c>
      <c r="K780" s="43" t="n"/>
      <c r="L780" s="32">
        <f>IF(OR(K780="",$F780=""),"",DATE(YEAR(K780),MONTH(K780)+VLOOKUP($F780,'Membership Level'!$A$3:$B$15,2,FALSE),DAY(K780)))</f>
        <v/>
      </c>
      <c r="M780" s="36" t="n"/>
      <c r="N780" s="34">
        <f>IF($L780="","",DATE(YEAR($L780),MONTH($L780),DAY($L780)-$M780))</f>
        <v/>
      </c>
      <c r="O780" s="33">
        <f>IF($L780="","",IF(DAYS360(NOW(),$L780)&gt;=0,DAYS360(NOW(),$L780),""))</f>
        <v/>
      </c>
      <c r="P780" s="34">
        <f>IF(OR(H780="",H780=0,F780="",K780=""),"",I780/H780*VLOOKUP(F780,'Membership Level'!$A$3:$C$15,3,FALSE)+K780)</f>
        <v/>
      </c>
      <c r="Q780" s="36" t="n"/>
    </row>
    <row r="781">
      <c r="C781" s="36" t="n"/>
      <c r="D781" s="36" t="n"/>
      <c r="E781" s="35" t="n"/>
      <c r="F781" s="36" t="n"/>
      <c r="G781" s="36" t="n"/>
      <c r="H781" s="30" t="n"/>
      <c r="I781" s="30" t="n"/>
      <c r="J781" s="31">
        <f>IF(H781="","",H781-I781)</f>
        <v/>
      </c>
      <c r="K781" s="43" t="n"/>
      <c r="L781" s="32">
        <f>IF(OR(K781="",$F781=""),"",DATE(YEAR(K781),MONTH(K781)+VLOOKUP($F781,'Membership Level'!$A$3:$B$15,2,FALSE),DAY(K781)))</f>
        <v/>
      </c>
      <c r="M781" s="36" t="n"/>
      <c r="N781" s="34">
        <f>IF($L781="","",DATE(YEAR($L781),MONTH($L781),DAY($L781)-$M781))</f>
        <v/>
      </c>
      <c r="O781" s="33">
        <f>IF($L781="","",IF(DAYS360(NOW(),$L781)&gt;=0,DAYS360(NOW(),$L781),""))</f>
        <v/>
      </c>
      <c r="P781" s="34">
        <f>IF(OR(H781="",H781=0,F781="",K781=""),"",I781/H781*VLOOKUP(F781,'Membership Level'!$A$3:$C$15,3,FALSE)+K781)</f>
        <v/>
      </c>
      <c r="Q781" s="36" t="n"/>
    </row>
    <row r="782">
      <c r="C782" s="36" t="n"/>
      <c r="D782" s="36" t="n"/>
      <c r="E782" s="66" t="n"/>
      <c r="F782" s="36" t="n"/>
      <c r="G782" s="36" t="n"/>
      <c r="H782" s="30" t="n"/>
      <c r="I782" s="30" t="n"/>
      <c r="J782" s="31">
        <f>IF(H782="","",H782-I782)</f>
        <v/>
      </c>
      <c r="K782" s="43" t="n"/>
      <c r="L782" s="32">
        <f>IF(OR(K782="",$F782=""),"",DATE(YEAR(K782),MONTH(K782)+VLOOKUP($F782,'Membership Level'!$A$3:$B$15,2,FALSE),DAY(K782)))</f>
        <v/>
      </c>
      <c r="M782" s="36" t="n"/>
      <c r="N782" s="34">
        <f>IF($L782="","",DATE(YEAR($L782),MONTH($L782),DAY($L782)-$M782))</f>
        <v/>
      </c>
      <c r="O782" s="33">
        <f>IF($L782="","",IF(DAYS360(NOW(),$L782)&gt;=0,DAYS360(NOW(),$L782),""))</f>
        <v/>
      </c>
      <c r="P782" s="34">
        <f>IF(OR(H782="",H782=0,F782="",K782=""),"",I782/H782*VLOOKUP(F782,'Membership Level'!$A$3:$C$15,3,FALSE)+K782)</f>
        <v/>
      </c>
      <c r="Q782" s="36" t="n"/>
    </row>
    <row r="783">
      <c r="C783" s="36" t="n"/>
      <c r="D783" s="36" t="n"/>
      <c r="E783" s="35" t="n"/>
      <c r="F783" s="74" t="n"/>
      <c r="G783" s="36" t="n"/>
      <c r="H783" s="30" t="n"/>
      <c r="I783" s="30" t="n"/>
      <c r="J783" s="31">
        <f>IF(H783="","",H783-I783)</f>
        <v/>
      </c>
      <c r="K783" s="43" t="n"/>
      <c r="L783" s="32">
        <f>IF(OR(K783="",$F783=""),"",DATE(YEAR(K783),MONTH(K783)+VLOOKUP($F783,'Membership Level'!$A$3:$B$15,2,FALSE),DAY(K783)))</f>
        <v/>
      </c>
      <c r="M783" s="36" t="n"/>
      <c r="N783" s="34">
        <f>IF($L783="","",DATE(YEAR($L783),MONTH($L783),DAY($L783)-$M783))</f>
        <v/>
      </c>
      <c r="O783" s="33">
        <f>IF($L783="","",IF(DAYS360(NOW(),$L783)&gt;=0,DAYS360(NOW(),$L783),""))</f>
        <v/>
      </c>
      <c r="P783" s="34">
        <f>IF(OR(H783="",H783=0,F783="",K783=""),"",I783/H783*VLOOKUP(F783,'Membership Level'!$A$3:$C$15,3,FALSE)+K783)</f>
        <v/>
      </c>
      <c r="Q783" s="36" t="n"/>
    </row>
    <row r="784">
      <c r="C784" s="36" t="n"/>
      <c r="D784" s="36" t="n"/>
      <c r="E784" s="75" t="n"/>
      <c r="F784" s="36" t="n"/>
      <c r="G784" s="36" t="n"/>
      <c r="H784" s="30" t="n"/>
      <c r="I784" s="30" t="n"/>
      <c r="J784" s="31">
        <f>IF(H784="","",H784-I784)</f>
        <v/>
      </c>
      <c r="K784" s="43" t="n"/>
      <c r="L784" s="32">
        <f>IF(OR(K784="",$F784=""),"",DATE(YEAR(K784),MONTH(K784)+VLOOKUP($F784,'Membership Level'!$A$3:$B$15,2,FALSE),DAY(K784)))</f>
        <v/>
      </c>
      <c r="M784" s="36" t="n"/>
      <c r="N784" s="34">
        <f>IF($L784="","",DATE(YEAR($L784),MONTH($L784),DAY($L784)-$M784))</f>
        <v/>
      </c>
      <c r="O784" s="33">
        <f>IF($L784="","",IF(DAYS360(NOW(),$L784)&gt;=0,DAYS360(NOW(),$L784),""))</f>
        <v/>
      </c>
      <c r="P784" s="34">
        <f>IF(OR(H784="",H784=0,F784="",K784=""),"",I784/H784*VLOOKUP(F784,'Membership Level'!$A$3:$C$15,3,FALSE)+K784)</f>
        <v/>
      </c>
      <c r="Q784" s="36" t="n"/>
    </row>
    <row r="785" customFormat="1" s="56">
      <c r="C785" s="74" t="n"/>
      <c r="D785" s="74" t="n"/>
      <c r="E785" s="35" t="n"/>
      <c r="F785" s="36" t="n"/>
      <c r="G785" s="74" t="n"/>
      <c r="H785" s="76" t="n"/>
      <c r="I785" s="76" t="n"/>
      <c r="J785" s="77">
        <f>IF(H785="","",H785-I785)</f>
        <v/>
      </c>
      <c r="K785" s="78" t="n"/>
      <c r="L785" s="78">
        <f>IF(OR(K785="",$F785=""),"",DATE(YEAR(K785),MONTH(K785)+VLOOKUP($F785,'Membership Level'!$A$3:$B$15,2,FALSE),DAY(K785)))</f>
        <v/>
      </c>
      <c r="M785" s="74" t="n"/>
      <c r="N785" s="34">
        <f>IF($L785="","",DATE(YEAR($L785),MONTH($L785),DAY($L785)-$M785))</f>
        <v/>
      </c>
      <c r="O785" s="33">
        <f>IF($L785="","",IF(DAYS360(NOW(),$L785)&gt;=0,DAYS360(NOW(),$L785),""))</f>
        <v/>
      </c>
      <c r="P785" s="34">
        <f>IF(OR(H785="",H785=0,F785="",K785=""),"",I785/H785*VLOOKUP(F785,'Membership Level'!$A$3:$C$15,3,FALSE)+K785)</f>
        <v/>
      </c>
      <c r="Q785" s="74" t="n"/>
    </row>
    <row r="786">
      <c r="C786" s="36" t="n"/>
      <c r="D786" s="36" t="n"/>
      <c r="E786" s="66" t="n"/>
      <c r="F786" s="36" t="n"/>
      <c r="G786" s="36" t="n"/>
      <c r="H786" s="30" t="n"/>
      <c r="I786" s="30" t="n"/>
      <c r="J786" s="31">
        <f>IF(H786="","",H786-I786)</f>
        <v/>
      </c>
      <c r="K786" s="43" t="n"/>
      <c r="L786" s="32">
        <f>IF(OR(K786="",$F786=""),"",DATE(YEAR(K786),MONTH(K786)+VLOOKUP($F786,'Membership Level'!$A$3:$B$15,2,FALSE),DAY(K786)))</f>
        <v/>
      </c>
      <c r="M786" s="36" t="n"/>
      <c r="N786" s="34">
        <f>IF($L786="","",DATE(YEAR($L786),MONTH($L786),DAY($L786)-$M786))</f>
        <v/>
      </c>
      <c r="O786" s="33">
        <f>IF($L786="","",IF(DAYS360(NOW(),$L786)&gt;=0,DAYS360(NOW(),$L786),""))</f>
        <v/>
      </c>
      <c r="P786" s="34">
        <f>IF(OR(H786="",H786=0,F786="",K786=""),"",I786/H786*VLOOKUP(F786,'Membership Level'!$A$3:$C$15,3,FALSE)+K786)</f>
        <v/>
      </c>
      <c r="Q786" s="36" t="inlineStr">
        <is>
          <t>next mionths</t>
        </is>
      </c>
    </row>
    <row r="787">
      <c r="C787" s="36" t="n"/>
      <c r="D787" s="36" t="n"/>
      <c r="E787" s="66" t="n"/>
      <c r="F787" s="36" t="n"/>
      <c r="G787" s="36" t="n"/>
      <c r="H787" s="30" t="n"/>
      <c r="I787" s="30" t="n"/>
      <c r="J787" s="31">
        <f>IF(H787="","",H787-I787)</f>
        <v/>
      </c>
      <c r="K787" s="43" t="n"/>
      <c r="L787" s="32">
        <f>IF(OR(K787="",$F787=""),"",DATE(YEAR(K787),MONTH(K787)+VLOOKUP($F787,'Membership Level'!$A$3:$B$15,2,FALSE),DAY(K787)))</f>
        <v/>
      </c>
      <c r="M787" s="36" t="n"/>
      <c r="N787" s="34">
        <f>IF($L787="","",DATE(YEAR($L787),MONTH($L787),DAY($L787)-$M787))</f>
        <v/>
      </c>
      <c r="O787" s="33">
        <f>IF($L787="","",IF(DAYS360(NOW(),$L787)&gt;=0,DAYS360(NOW(),$L787),""))</f>
        <v/>
      </c>
      <c r="P787" s="34">
        <f>IF(OR(H787="",H787=0,F787="",K787=""),"",I787/H787*VLOOKUP(F787,'Membership Level'!$A$3:$C$15,3,FALSE)+K787)</f>
        <v/>
      </c>
      <c r="Q787" s="36" t="n"/>
    </row>
    <row r="788">
      <c r="C788" s="36" t="n"/>
      <c r="D788" s="36" t="n"/>
      <c r="E788" s="66" t="n"/>
      <c r="F788" s="74" t="n"/>
      <c r="G788" s="36" t="n"/>
      <c r="H788" s="30" t="n"/>
      <c r="I788" s="30" t="n"/>
      <c r="J788" s="31">
        <f>IF(H788="","",H788-I788)</f>
        <v/>
      </c>
      <c r="K788" s="43" t="n"/>
      <c r="L788" s="32">
        <f>IF(OR(K788="",$F788=""),"",DATE(YEAR(K788),MONTH(K788)+VLOOKUP($F788,'Membership Level'!$A$3:$B$15,2,FALSE),DAY(K788)))</f>
        <v/>
      </c>
      <c r="M788" s="36" t="n"/>
      <c r="N788" s="34">
        <f>IF($L788="","",DATE(YEAR($L788),MONTH($L788),DAY($L788)-$M788))</f>
        <v/>
      </c>
      <c r="O788" s="33">
        <f>IF($L788="","",IF(DAYS360(NOW(),$L788)&gt;=0,DAYS360(NOW(),$L788),""))</f>
        <v/>
      </c>
      <c r="P788" s="34">
        <f>IF(OR(H788="",H788=0,F788="",K788=""),"",I788/H788*VLOOKUP(F788,'Membership Level'!$A$3:$C$15,3,FALSE)+K788)</f>
        <v/>
      </c>
      <c r="Q788" s="36" t="n"/>
    </row>
    <row r="789">
      <c r="C789" s="36" t="n"/>
      <c r="D789" s="36" t="n"/>
      <c r="E789" s="75" t="n"/>
      <c r="F789" s="36" t="n"/>
      <c r="G789" s="36" t="n"/>
      <c r="H789" s="30" t="n"/>
      <c r="I789" s="30" t="n"/>
      <c r="J789" s="31">
        <f>IF(H789="","",H789-I789)</f>
        <v/>
      </c>
      <c r="K789" s="43" t="n"/>
      <c r="L789" s="32">
        <f>IF(OR(K789="",$F789=""),"",DATE(YEAR(K789),MONTH(K789)+VLOOKUP($F789,'Membership Level'!$A$3:$B$15,2,FALSE),DAY(K789)))</f>
        <v/>
      </c>
      <c r="M789" s="36" t="n"/>
      <c r="N789" s="34">
        <f>IF($L789="","",DATE(YEAR($L789),MONTH($L789),DAY($L789)-$M789))</f>
        <v/>
      </c>
      <c r="O789" s="33">
        <f>IF($L789="","",IF(DAYS360(NOW(),$L789)&gt;=0,DAYS360(NOW(),$L789),""))</f>
        <v/>
      </c>
      <c r="P789" s="34">
        <f>IF(OR(H789="",H789=0,F789="",K789=""),"",I789/H789*VLOOKUP(F789,'Membership Level'!$A$3:$C$15,3,FALSE)+K789)</f>
        <v/>
      </c>
      <c r="Q789" s="36" t="n"/>
    </row>
    <row r="790" customFormat="1" s="56">
      <c r="C790" s="74" t="n"/>
      <c r="D790" s="74" t="n"/>
      <c r="E790" s="66" t="n"/>
      <c r="F790" s="33" t="n"/>
      <c r="G790" s="74" t="n"/>
      <c r="H790" s="76" t="n"/>
      <c r="I790" s="76" t="n"/>
      <c r="J790" s="77">
        <f>IF(H790="","",H790-I790)</f>
        <v/>
      </c>
      <c r="K790" s="78" t="n"/>
      <c r="L790" s="78">
        <f>IF(OR(K790="",$F790=""),"",DATE(YEAR(K790),MONTH(K790)+VLOOKUP($F790,'Membership Level'!$A$3:$B$15,2,FALSE),DAY(K790)))</f>
        <v/>
      </c>
      <c r="M790" s="74" t="n"/>
      <c r="N790" s="34">
        <f>IF($L790="","",DATE(YEAR($L790),MONTH($L790),DAY($L790)-$M790))</f>
        <v/>
      </c>
      <c r="O790" s="33">
        <f>IF($L790="","",IF(DAYS360(NOW(),$L790)&gt;=0,DAYS360(NOW(),$L790),""))</f>
        <v/>
      </c>
      <c r="P790" s="34">
        <f>IF(OR(H790="",H790=0,F790="",K790=""),"",I790/H790*VLOOKUP(F790,'Membership Level'!$A$3:$C$15,3,FALSE)+K790)</f>
        <v/>
      </c>
      <c r="Q790" s="74" t="n"/>
    </row>
    <row r="791">
      <c r="C791" s="36" t="n"/>
      <c r="D791" s="36" t="n"/>
      <c r="E791" s="33" t="n"/>
      <c r="F791" s="33" t="n"/>
      <c r="G791" s="36" t="n"/>
      <c r="H791" s="30" t="n"/>
      <c r="I791" s="30" t="n"/>
      <c r="J791" s="31">
        <f>IF(H791="","",H791-I791)</f>
        <v/>
      </c>
      <c r="K791" s="43" t="n"/>
      <c r="L791" s="32">
        <f>IF(OR(K791="",$F791=""),"",DATE(YEAR(K791),MONTH(K791)+VLOOKUP($F791,'Membership Level'!$A$3:$B$15,2,FALSE),DAY(K791)))</f>
        <v/>
      </c>
      <c r="M791" s="36" t="n"/>
      <c r="N791" s="34">
        <f>IF($L791="","",DATE(YEAR($L791),MONTH($L791),DAY($L791)-$M791))</f>
        <v/>
      </c>
      <c r="O791" s="33">
        <f>IF($L791="","",IF(DAYS360(NOW(),$L791)&gt;=0,DAYS360(NOW(),$L791),""))</f>
        <v/>
      </c>
      <c r="P791" s="34">
        <f>IF(OR(H791="",H791=0,F791="",K791=""),"",I791/H791*VLOOKUP(F791,'Membership Level'!$A$3:$C$15,3,FALSE)+K791)</f>
        <v/>
      </c>
      <c r="Q791" s="36" t="n"/>
    </row>
    <row r="792" customFormat="1" s="22">
      <c r="C792" s="33" t="n"/>
      <c r="D792" s="33" t="n"/>
      <c r="E792" s="33" t="n"/>
      <c r="F792" s="33" t="n"/>
      <c r="G792" s="33" t="n"/>
      <c r="H792" s="44" t="n"/>
      <c r="I792" s="44" t="n"/>
      <c r="J792" s="31">
        <f>IF(H792="","",H792-I792)</f>
        <v/>
      </c>
      <c r="K792" s="32" t="n"/>
      <c r="L792" s="32">
        <f>IF(OR(K792="",$F792=""),"",DATE(YEAR(K792),MONTH(K792)+VLOOKUP($F792,'Membership Level'!$A$3:$B$15,2,FALSE),DAY(K792)))</f>
        <v/>
      </c>
      <c r="M792" s="33" t="n"/>
      <c r="N792" s="34">
        <f>IF($L792="","",DATE(YEAR($L792),MONTH($L792),DAY($L792)-$M792))</f>
        <v/>
      </c>
      <c r="O792" s="33">
        <f>IF($L792="","",IF(DAYS360(NOW(),$L792)&gt;=0,DAYS360(NOW(),$L792),""))</f>
        <v/>
      </c>
      <c r="P792" s="34">
        <f>IF(OR(H792="",H792=0,F792="",K792=""),"",I792/H792*VLOOKUP(F792,'Membership Level'!$A$3:$C$15,3,FALSE)+K792)</f>
        <v/>
      </c>
      <c r="Q792" s="33" t="n"/>
    </row>
    <row r="793" customFormat="1" s="22">
      <c r="C793" s="33" t="n"/>
      <c r="D793" s="33" t="n"/>
      <c r="E793" s="33" t="n"/>
      <c r="F793" s="36" t="n"/>
      <c r="G793" s="33" t="n"/>
      <c r="H793" s="44" t="n"/>
      <c r="I793" s="44" t="n"/>
      <c r="J793" s="31">
        <f>IF(H793="","",H793-I793)</f>
        <v/>
      </c>
      <c r="K793" s="32" t="n"/>
      <c r="L793" s="32">
        <f>IF(OR(K793="",$F793=""),"",DATE(YEAR(K793),MONTH(K793)+VLOOKUP($F793,'Membership Level'!$A$3:$B$15,2,FALSE),DAY(K793)))</f>
        <v/>
      </c>
      <c r="M793" s="33" t="n"/>
      <c r="N793" s="34">
        <f>IF($L793="","",DATE(YEAR($L793),MONTH($L793),DAY($L793)-$M793))</f>
        <v/>
      </c>
      <c r="O793" s="33">
        <f>IF($L793="","",IF(DAYS360(NOW(),$L793)&gt;=0,DAYS360(NOW(),$L793),""))</f>
        <v/>
      </c>
      <c r="P793" s="34">
        <f>IF(OR(H793="",H793=0,F793="",K793=""),"",I793/H793*VLOOKUP(F793,'Membership Level'!$A$3:$C$15,3,FALSE)+K793)</f>
        <v/>
      </c>
      <c r="Q793" s="33" t="n"/>
    </row>
    <row r="794" customFormat="1" s="22">
      <c r="C794" s="33" t="n"/>
      <c r="D794" s="33" t="n"/>
      <c r="E794" s="35" t="n"/>
      <c r="F794" s="36" t="n"/>
      <c r="G794" s="33" t="n"/>
      <c r="H794" s="44" t="n"/>
      <c r="I794" s="44" t="n"/>
      <c r="J794" s="31">
        <f>IF(H794="","",H794-I794)</f>
        <v/>
      </c>
      <c r="K794" s="32" t="n"/>
      <c r="L794" s="32">
        <f>IF(OR(K794="",$F794=""),"",DATE(YEAR(K794),MONTH(K794)+VLOOKUP($F794,'Membership Level'!$A$3:$B$15,2,FALSE),DAY(K794)))</f>
        <v/>
      </c>
      <c r="M794" s="33" t="n"/>
      <c r="N794" s="34">
        <f>IF($L794="","",DATE(YEAR($L794),MONTH($L794),DAY($L794)-$M794))</f>
        <v/>
      </c>
      <c r="O794" s="33">
        <f>IF($L794="","",IF(DAYS360(NOW(),$L794)&gt;=0,DAYS360(NOW(),$L794),""))</f>
        <v/>
      </c>
      <c r="P794" s="34">
        <f>IF(OR(H794="",H794=0,F794="",K794=""),"",I794/H794*VLOOKUP(F794,'Membership Level'!$A$3:$C$15,3,FALSE)+K794)</f>
        <v/>
      </c>
      <c r="Q794" s="33" t="n"/>
    </row>
    <row r="795">
      <c r="C795" s="36" t="n"/>
      <c r="D795" s="36" t="n"/>
      <c r="E795" s="36" t="n"/>
      <c r="F795" s="36" t="n"/>
      <c r="G795" s="36" t="n"/>
      <c r="H795" s="30" t="n"/>
      <c r="I795" s="30" t="n"/>
      <c r="J795" s="31">
        <f>IF(H795="","",H795-I795)</f>
        <v/>
      </c>
      <c r="K795" s="43" t="n"/>
      <c r="L795" s="32">
        <f>IF(OR(K795="",$F795=""),"",DATE(YEAR(K795),MONTH(K795)+VLOOKUP($F795,'Membership Level'!$A$3:$B$15,2,FALSE),DAY(K795)))</f>
        <v/>
      </c>
      <c r="M795" s="36" t="n"/>
      <c r="N795" s="34">
        <f>IF($L795="","",DATE(YEAR($L795),MONTH($L795),DAY($L795)-$M795))</f>
        <v/>
      </c>
      <c r="O795" s="33">
        <f>IF($L795="","",IF(DAYS360(NOW(),$L795)&gt;=0,DAYS360(NOW(),$L795),""))</f>
        <v/>
      </c>
      <c r="P795" s="34">
        <f>IF(OR(H795="",H795=0,F795="",K795=""),"",I795/H795*VLOOKUP(F795,'Membership Level'!$A$3:$C$15,3,FALSE)+K795)</f>
        <v/>
      </c>
      <c r="Q795" s="36" t="n"/>
    </row>
    <row r="796">
      <c r="C796" s="36" t="n"/>
      <c r="D796" s="36" t="n"/>
      <c r="E796" s="36" t="n"/>
      <c r="F796" s="36" t="n"/>
      <c r="G796" s="36" t="n"/>
      <c r="H796" s="30" t="n"/>
      <c r="I796" s="30" t="n"/>
      <c r="J796" s="31">
        <f>IF(H796="","",H796-I796)</f>
        <v/>
      </c>
      <c r="K796" s="43" t="n"/>
      <c r="L796" s="32">
        <f>IF(OR(K796="",$F796=""),"",DATE(YEAR(K796),MONTH(K796)+VLOOKUP($F796,'Membership Level'!$A$3:$B$15,2,FALSE),DAY(K796)))</f>
        <v/>
      </c>
      <c r="M796" s="36" t="n"/>
      <c r="N796" s="34">
        <f>IF($L796="","",DATE(YEAR($L796),MONTH($L796),DAY($L796)-$M796))</f>
        <v/>
      </c>
      <c r="O796" s="33">
        <f>IF($L796="","",IF(DAYS360(NOW(),$L796)&gt;=0,DAYS360(NOW(),$L796),""))</f>
        <v/>
      </c>
      <c r="P796" s="34">
        <f>IF(OR(H796="",H796=0,F796="",K796=""),"",I796/H796*VLOOKUP(F796,'Membership Level'!$A$3:$C$15,3,FALSE)+K796)</f>
        <v/>
      </c>
      <c r="Q796" s="36" t="n"/>
    </row>
    <row r="797">
      <c r="C797" s="36" t="n"/>
      <c r="D797" s="36" t="n"/>
      <c r="E797" s="35" t="n"/>
      <c r="F797" s="36" t="n"/>
      <c r="G797" s="36" t="n"/>
      <c r="H797" s="30" t="n"/>
      <c r="I797" s="30" t="n"/>
      <c r="J797" s="31">
        <f>IF(H797="","",H797-I797)</f>
        <v/>
      </c>
      <c r="K797" s="43" t="n"/>
      <c r="L797" s="32">
        <f>IF(OR(K797="",$F797=""),"",DATE(YEAR(K797),MONTH(K797)+VLOOKUP($F797,'Membership Level'!$A$3:$B$15,2,FALSE),DAY(K797)))</f>
        <v/>
      </c>
      <c r="M797" s="36" t="n"/>
      <c r="N797" s="34">
        <f>IF($L797="","",DATE(YEAR($L797),MONTH($L797),DAY($L797)-$M797))</f>
        <v/>
      </c>
      <c r="O797" s="33">
        <f>IF($L797="","",IF(DAYS360(NOW(),$L797)&gt;=0,DAYS360(NOW(),$L797),""))</f>
        <v/>
      </c>
      <c r="P797" s="34">
        <f>IF(OR(H797="",H797=0,F797="",K797=""),"",I797/H797*VLOOKUP(F797,'Membership Level'!$A$3:$C$15,3,FALSE)+K797)</f>
        <v/>
      </c>
      <c r="Q797" s="36" t="n"/>
    </row>
    <row r="798">
      <c r="C798" s="36" t="n"/>
      <c r="D798" s="36" t="n"/>
      <c r="E798" s="35" t="n"/>
      <c r="F798" s="36" t="n"/>
      <c r="G798" s="36" t="n"/>
      <c r="H798" s="30" t="n"/>
      <c r="I798" s="30" t="n"/>
      <c r="J798" s="31">
        <f>IF(H798="","",H798-I798)</f>
        <v/>
      </c>
      <c r="K798" s="43" t="n"/>
      <c r="L798" s="32">
        <f>IF(OR(K798="",$F798=""),"",DATE(YEAR(K798),MONTH(K798)+VLOOKUP($F798,'Membership Level'!$A$3:$B$15,2,FALSE),DAY(K798)))</f>
        <v/>
      </c>
      <c r="M798" s="36" t="n"/>
      <c r="N798" s="34">
        <f>IF($L798="","",DATE(YEAR($L798),MONTH($L798),DAY($L798)-$M798))</f>
        <v/>
      </c>
      <c r="O798" s="33">
        <f>IF($L798="","",IF(DAYS360(NOW(),$L798)&gt;=0,DAYS360(NOW(),$L798),""))</f>
        <v/>
      </c>
      <c r="P798" s="34">
        <f>IF(OR(H798="",H798=0,F798="",K798=""),"",I798/H798*VLOOKUP(F798,'Membership Level'!$A$3:$C$15,3,FALSE)+K798)</f>
        <v/>
      </c>
      <c r="Q798" s="36" t="n"/>
    </row>
    <row r="799">
      <c r="C799" s="36" t="n"/>
      <c r="D799" s="36" t="n"/>
      <c r="E799" s="36" t="n"/>
      <c r="F799" s="36" t="n"/>
      <c r="G799" s="36" t="n"/>
      <c r="H799" s="30" t="n"/>
      <c r="I799" s="30" t="n"/>
      <c r="J799" s="31">
        <f>IF(H799="","",H799-I799)</f>
        <v/>
      </c>
      <c r="K799" s="43" t="n"/>
      <c r="L799" s="32">
        <f>IF(OR(K799="",$F799=""),"",DATE(YEAR(K799),MONTH(K799)+VLOOKUP($F799,'Membership Level'!$A$3:$B$15,2,FALSE),DAY(K799)))</f>
        <v/>
      </c>
      <c r="M799" s="36" t="n"/>
      <c r="N799" s="34">
        <f>IF($L799="","",DATE(YEAR($L799),MONTH($L799),DAY($L799)-$M799))</f>
        <v/>
      </c>
      <c r="O799" s="33">
        <f>IF($L799="","",IF(DAYS360(NOW(),$L799)&gt;=0,DAYS360(NOW(),$L799),""))</f>
        <v/>
      </c>
      <c r="P799" s="34">
        <f>IF(OR(H799="",H799=0,F799="",K799=""),"",I799/H799*VLOOKUP(F799,'Membership Level'!$A$3:$C$15,3,FALSE)+K799)</f>
        <v/>
      </c>
      <c r="Q799" s="36" t="n"/>
    </row>
    <row r="800">
      <c r="C800" s="36" t="n"/>
      <c r="D800" s="36" t="n"/>
      <c r="E800" s="66" t="n"/>
      <c r="F800" s="36" t="n"/>
      <c r="G800" s="36" t="n"/>
      <c r="H800" s="30" t="n"/>
      <c r="I800" s="30" t="n"/>
      <c r="J800" s="31">
        <f>IF(H800="","",H800-I800)</f>
        <v/>
      </c>
      <c r="K800" s="43" t="n"/>
      <c r="L800" s="32">
        <f>IF(OR(K800="",$F800=""),"",DATE(YEAR(K800),MONTH(K800)+VLOOKUP($F800,'Membership Level'!$A$3:$B$15,2,FALSE),DAY(K800)))</f>
        <v/>
      </c>
      <c r="M800" s="36" t="n"/>
      <c r="N800" s="34">
        <f>IF($L800="","",DATE(YEAR($L800),MONTH($L800),DAY($L800)-$M800))</f>
        <v/>
      </c>
      <c r="O800" s="33">
        <f>IF($L800="","",IF(DAYS360(NOW(),$L800)&gt;=0,DAYS360(NOW(),$L800),""))</f>
        <v/>
      </c>
      <c r="P800" s="34">
        <f>IF(OR(H800="",H800=0,F800="",K800=""),"",I800/H800*VLOOKUP(F800,'Membership Level'!$A$3:$C$15,3,FALSE)+K800)</f>
        <v/>
      </c>
      <c r="Q800" s="36" t="n"/>
    </row>
    <row r="801">
      <c r="C801" s="36" t="n"/>
      <c r="D801" s="36" t="n"/>
      <c r="E801" s="66" t="n"/>
      <c r="F801" s="36" t="n"/>
      <c r="G801" s="36" t="n"/>
      <c r="H801" s="30" t="n"/>
      <c r="I801" s="30" t="n"/>
      <c r="J801" s="31">
        <f>IF(H801="","",H801-I801)</f>
        <v/>
      </c>
      <c r="K801" s="43" t="n"/>
      <c r="L801" s="32">
        <f>IF(OR(K801="",$F801=""),"",DATE(YEAR(K801),MONTH(K801)+VLOOKUP($F801,'Membership Level'!$A$3:$B$15,2,FALSE),DAY(K801)))</f>
        <v/>
      </c>
      <c r="M801" s="36" t="n"/>
      <c r="N801" s="34">
        <f>IF($L801="","",DATE(YEAR($L801),MONTH($L801),DAY($L801)-$M801))</f>
        <v/>
      </c>
      <c r="O801" s="33">
        <f>IF($L801="","",IF(DAYS360(NOW(),$L801)&gt;=0,DAYS360(NOW(),$L801),""))</f>
        <v/>
      </c>
      <c r="P801" s="34">
        <f>IF(OR(H801="",H801=0,F801="",K801=""),"",I801/H801*VLOOKUP(F801,'Membership Level'!$A$3:$C$15,3,FALSE)+K801)</f>
        <v/>
      </c>
      <c r="Q801" s="36" t="n"/>
    </row>
    <row r="802">
      <c r="C802" s="36" t="n"/>
      <c r="D802" s="36" t="n"/>
      <c r="E802" s="36" t="n"/>
      <c r="F802" s="36" t="n"/>
      <c r="G802" s="36" t="n"/>
      <c r="H802" s="30" t="n"/>
      <c r="I802" s="30" t="n"/>
      <c r="J802" s="31">
        <f>IF(H802="","",H802-I802)</f>
        <v/>
      </c>
      <c r="K802" s="43" t="n"/>
      <c r="L802" s="32">
        <f>IF(OR(K802="",$F802=""),"",DATE(YEAR(K802),MONTH(K802)+VLOOKUP($F802,'Membership Level'!$A$3:$B$15,2,FALSE),DAY(K802)))</f>
        <v/>
      </c>
      <c r="M802" s="36" t="n"/>
      <c r="N802" s="34">
        <f>IF($L802="","",DATE(YEAR($L802),MONTH($L802),DAY($L802)-$M802))</f>
        <v/>
      </c>
      <c r="O802" s="33">
        <f>IF($L802="","",IF(DAYS360(NOW(),$L802)&gt;=0,DAYS360(NOW(),$L802),""))</f>
        <v/>
      </c>
      <c r="P802" s="34">
        <f>IF(OR(H802="",H802=0,F802="",K802=""),"",I802/H802*VLOOKUP(F802,'Membership Level'!$A$3:$C$15,3,FALSE)+K802)</f>
        <v/>
      </c>
      <c r="Q802" s="36" t="n"/>
    </row>
    <row r="803">
      <c r="C803" s="36" t="n"/>
      <c r="D803" s="36" t="n"/>
      <c r="E803" s="36" t="n"/>
      <c r="F803" s="36" t="n"/>
      <c r="G803" s="36" t="n"/>
      <c r="H803" s="30" t="n"/>
      <c r="I803" s="30" t="n"/>
      <c r="J803" s="31">
        <f>IF(H803="","",H803-I803)</f>
        <v/>
      </c>
      <c r="K803" s="43" t="n"/>
      <c r="L803" s="32">
        <f>IF(OR(K803="",$F803=""),"",DATE(YEAR(K803),MONTH(K803)+VLOOKUP($F803,'Membership Level'!$A$3:$B$15,2,FALSE),DAY(K803)))</f>
        <v/>
      </c>
      <c r="M803" s="36" t="n"/>
      <c r="N803" s="34">
        <f>IF($L803="","",DATE(YEAR($L803),MONTH($L803),DAY($L803)-$M803))</f>
        <v/>
      </c>
      <c r="O803" s="33">
        <f>IF($L803="","",IF(DAYS360(NOW(),$L803)&gt;=0,DAYS360(NOW(),$L803),""))</f>
        <v/>
      </c>
      <c r="P803" s="34">
        <f>IF(OR(H803="",H803=0,F803="",K803=""),"",I803/H803*VLOOKUP(F803,'Membership Level'!$A$3:$C$15,3,FALSE)+K803)</f>
        <v/>
      </c>
      <c r="Q803" s="36" t="n"/>
    </row>
    <row r="804">
      <c r="C804" s="36" t="n"/>
      <c r="D804" s="36" t="n"/>
      <c r="E804" s="66" t="n"/>
      <c r="F804" s="36" t="n"/>
      <c r="G804" s="36" t="n"/>
      <c r="H804" s="30" t="n"/>
      <c r="I804" s="30" t="n"/>
      <c r="J804" s="31">
        <f>IF(H804="","",H804-I804)</f>
        <v/>
      </c>
      <c r="K804" s="43" t="n"/>
      <c r="L804" s="32">
        <f>IF(OR(K804="",$F804=""),"",DATE(YEAR(K804),MONTH(K804)+VLOOKUP($F804,'Membership Level'!$A$3:$B$15,2,FALSE),DAY(K804)))</f>
        <v/>
      </c>
      <c r="M804" s="36" t="n"/>
      <c r="N804" s="34">
        <f>IF($L804="","",DATE(YEAR($L804),MONTH($L804),DAY($L804)-$M804))</f>
        <v/>
      </c>
      <c r="O804" s="33">
        <f>IF($L804="","",IF(DAYS360(NOW(),$L804)&gt;=0,DAYS360(NOW(),$L804),""))</f>
        <v/>
      </c>
      <c r="P804" s="34">
        <f>IF(OR(H804="",H804=0,F804="",K804=""),"",I804/H804*VLOOKUP(F804,'Membership Level'!$A$3:$C$15,3,FALSE)+K804)</f>
        <v/>
      </c>
      <c r="Q804" s="36" t="n"/>
    </row>
    <row r="805">
      <c r="C805" s="36" t="n"/>
      <c r="D805" s="36" t="n"/>
      <c r="E805" s="35" t="n"/>
      <c r="F805" s="36" t="n"/>
      <c r="G805" s="36" t="n"/>
      <c r="H805" s="30" t="n"/>
      <c r="I805" s="30" t="n"/>
      <c r="J805" s="31">
        <f>IF(H805="","",H805-I805)</f>
        <v/>
      </c>
      <c r="K805" s="43" t="n"/>
      <c r="L805" s="32">
        <f>IF(OR(K805="",$F805=""),"",DATE(YEAR(K805),MONTH(K805)+VLOOKUP($F805,'Membership Level'!$A$3:$B$15,2,FALSE),DAY(K805)))</f>
        <v/>
      </c>
      <c r="M805" s="36" t="n"/>
      <c r="N805" s="34">
        <f>IF($L805="","",DATE(YEAR($L805),MONTH($L805),DAY($L805)-$M805))</f>
        <v/>
      </c>
      <c r="O805" s="33">
        <f>IF($L805="","",IF(DAYS360(NOW(),$L805)&gt;=0,DAYS360(NOW(),$L805),""))</f>
        <v/>
      </c>
      <c r="P805" s="34">
        <f>IF(OR(H805="",H805=0,F805="",K805=""),"",I805/H805*VLOOKUP(F805,'Membership Level'!$A$3:$C$15,3,FALSE)+K805)</f>
        <v/>
      </c>
      <c r="Q805" s="36" t="n"/>
    </row>
    <row r="806">
      <c r="C806" s="36" t="n"/>
      <c r="D806" s="36" t="n"/>
      <c r="E806" s="35" t="n"/>
      <c r="F806" s="36" t="n"/>
      <c r="G806" s="36" t="n"/>
      <c r="H806" s="30" t="n"/>
      <c r="I806" s="30" t="n"/>
      <c r="J806" s="31">
        <f>IF(H806="","",H806-I806)</f>
        <v/>
      </c>
      <c r="K806" s="43" t="n"/>
      <c r="L806" s="32">
        <f>IF(OR(K806="",$F806=""),"",DATE(YEAR(K806),MONTH(K806)+VLOOKUP($F806,'Membership Level'!$A$3:$B$15,2,FALSE),DAY(K806)))</f>
        <v/>
      </c>
      <c r="M806" s="36" t="n"/>
      <c r="N806" s="34">
        <f>IF($L806="","",DATE(YEAR($L806),MONTH($L806),DAY($L806)-$M806))</f>
        <v/>
      </c>
      <c r="O806" s="33">
        <f>IF($L806="","",IF(DAYS360(NOW(),$L806)&gt;=0,DAYS360(NOW(),$L806),""))</f>
        <v/>
      </c>
      <c r="P806" s="34">
        <f>IF(OR(H806="",H806=0,F806="",K806=""),"",I806/H806*VLOOKUP(F806,'Membership Level'!$A$3:$C$15,3,FALSE)+K806)</f>
        <v/>
      </c>
      <c r="Q806" s="36" t="n"/>
    </row>
    <row r="807">
      <c r="C807" s="36" t="n"/>
      <c r="D807" s="36" t="n"/>
      <c r="E807" s="35" t="n"/>
      <c r="F807" s="36" t="n"/>
      <c r="G807" s="36" t="n"/>
      <c r="H807" s="30" t="n"/>
      <c r="I807" s="30" t="n"/>
      <c r="J807" s="31">
        <f>IF(H807="","",H807-I807)</f>
        <v/>
      </c>
      <c r="K807" s="43" t="n"/>
      <c r="L807" s="32">
        <f>IF(OR(K807="",$F807=""),"",DATE(YEAR(K807),MONTH(K807)+VLOOKUP($F807,'Membership Level'!$A$3:$B$15,2,FALSE),DAY(K807)))</f>
        <v/>
      </c>
      <c r="M807" s="36" t="n"/>
      <c r="N807" s="34">
        <f>IF($L807="","",DATE(YEAR($L807),MONTH($L807),DAY($L807)-$M807))</f>
        <v/>
      </c>
      <c r="O807" s="33">
        <f>IF($L807="","",IF(DAYS360(NOW(),$L807)&gt;=0,DAYS360(NOW(),$L807),""))</f>
        <v/>
      </c>
      <c r="P807" s="34">
        <f>IF(OR(H807="",H807=0,F807="",K807=""),"",I807/H807*VLOOKUP(F807,'Membership Level'!$A$3:$C$15,3,FALSE)+K807)</f>
        <v/>
      </c>
      <c r="Q807" s="36" t="n"/>
    </row>
    <row r="808">
      <c r="C808" s="36" t="n"/>
      <c r="D808" s="36" t="n"/>
      <c r="E808" s="35" t="n"/>
      <c r="F808" s="36" t="n"/>
      <c r="G808" s="36" t="n"/>
      <c r="H808" s="30" t="n"/>
      <c r="I808" s="30" t="n"/>
      <c r="J808" s="31">
        <f>IF(H808="","",H808-I808)</f>
        <v/>
      </c>
      <c r="K808" s="43" t="n"/>
      <c r="L808" s="32">
        <f>IF(OR(K808="",$F808=""),"",DATE(YEAR(K808),MONTH(K808)+VLOOKUP($F808,'Membership Level'!$A$3:$B$15,2,FALSE),DAY(K808)))</f>
        <v/>
      </c>
      <c r="M808" s="36" t="n"/>
      <c r="N808" s="34">
        <f>IF($L808="","",DATE(YEAR($L808),MONTH($L808),DAY($L808)-$M808))</f>
        <v/>
      </c>
      <c r="O808" s="33">
        <f>IF($L808="","",IF(DAYS360(NOW(),$L808)&gt;=0,DAYS360(NOW(),$L808),""))</f>
        <v/>
      </c>
      <c r="P808" s="34">
        <f>IF(OR(H808="",H808=0,F808="",K808=""),"",I808/H808*VLOOKUP(F808,'Membership Level'!$A$3:$C$15,3,FALSE)+K808)</f>
        <v/>
      </c>
      <c r="Q808" s="36" t="n"/>
    </row>
    <row r="809" customFormat="1" s="63">
      <c r="C809" s="36" t="n"/>
      <c r="D809" s="36" t="n"/>
      <c r="E809" s="36" t="n"/>
      <c r="F809" s="36" t="n"/>
      <c r="G809" s="36" t="n"/>
      <c r="H809" s="30" t="n"/>
      <c r="I809" s="30" t="n"/>
      <c r="J809" s="31">
        <f>IF(H809="","",H809-I809)</f>
        <v/>
      </c>
      <c r="K809" s="43" t="n"/>
      <c r="L809" s="32">
        <f>IF(OR(K809="",$F809=""),"",DATE(YEAR(K809),MONTH(K809)+VLOOKUP($F809,'Membership Level'!$A$3:$B$15,2,FALSE),DAY(K809)))</f>
        <v/>
      </c>
      <c r="M809" s="36" t="n"/>
      <c r="N809" s="34">
        <f>IF($L809="","",DATE(YEAR($L809),MONTH($L809),DAY($L809)-$M809))</f>
        <v/>
      </c>
      <c r="O809" s="33">
        <f>IF($L809="","",IF(DAYS360(NOW(),$L809)&gt;=0,DAYS360(NOW(),$L809),""))</f>
        <v/>
      </c>
      <c r="P809" s="34">
        <f>IF(OR(H809="",H809=0,F809="",K809=""),"",I809/H809*VLOOKUP(F809,'Membership Level'!$A$3:$C$15,3,FALSE)+K809)</f>
        <v/>
      </c>
      <c r="Q809" s="36" t="n"/>
    </row>
    <row r="810" customFormat="1" s="63">
      <c r="C810" s="36" t="n"/>
      <c r="D810" s="36" t="n"/>
      <c r="E810" s="66" t="n"/>
      <c r="F810" s="36" t="n"/>
      <c r="G810" s="36" t="n"/>
      <c r="H810" s="30" t="n"/>
      <c r="I810" s="30" t="n"/>
      <c r="J810" s="31">
        <f>IF(H810="","",H810-I810)</f>
        <v/>
      </c>
      <c r="K810" s="43" t="n"/>
      <c r="L810" s="32">
        <f>IF(OR(K810="",$F810=""),"",DATE(YEAR(K810),MONTH(K810)+VLOOKUP($F810,'Membership Level'!$A$3:$B$15,2,FALSE),DAY(K810)))</f>
        <v/>
      </c>
      <c r="M810" s="36" t="n"/>
      <c r="N810" s="34">
        <f>IF($L810="","",DATE(YEAR($L810),MONTH($L810),DAY($L810)-$M810))</f>
        <v/>
      </c>
      <c r="O810" s="33">
        <f>IF($L810="","",IF(DAYS360(NOW(),$L810)&gt;=0,DAYS360(NOW(),$L810),""))</f>
        <v/>
      </c>
      <c r="P810" s="34">
        <f>IF(OR(H810="",H810=0,F810="",K810=""),"",I810/H810*VLOOKUP(F810,'Membership Level'!$A$3:$C$15,3,FALSE)+K810)</f>
        <v/>
      </c>
      <c r="Q810" s="36" t="n"/>
    </row>
    <row r="811" customFormat="1" s="63">
      <c r="C811" s="36" t="n"/>
      <c r="D811" s="36" t="n"/>
      <c r="E811" s="36" t="n"/>
      <c r="F811" s="36" t="n"/>
      <c r="G811" s="36" t="n"/>
      <c r="H811" s="30" t="n"/>
      <c r="I811" s="30" t="n"/>
      <c r="J811" s="31">
        <f>IF(H811="","",H811-I811)</f>
        <v/>
      </c>
      <c r="K811" s="43" t="n"/>
      <c r="L811" s="32">
        <f>IF(OR(K811="",$F811=""),"",DATE(YEAR(K811),MONTH(K811)+VLOOKUP($F811,'Membership Level'!$A$3:$B$15,2,FALSE),DAY(K811)))</f>
        <v/>
      </c>
      <c r="M811" s="36" t="n"/>
      <c r="N811" s="34">
        <f>IF($L811="","",DATE(YEAR($L811),MONTH($L811),DAY($L811)-$M811))</f>
        <v/>
      </c>
      <c r="O811" s="33">
        <f>IF($L811="","",IF(DAYS360(NOW(),$L811)&gt;=0,DAYS360(NOW(),$L811),""))</f>
        <v/>
      </c>
      <c r="P811" s="34">
        <f>IF(OR(H811="",H811=0,F811="",K811=""),"",I811/H811*VLOOKUP(F811,'Membership Level'!$A$3:$C$15,3,FALSE)+K811)</f>
        <v/>
      </c>
      <c r="Q811" s="36" t="n"/>
    </row>
    <row r="812" customFormat="1" s="63">
      <c r="C812" s="36" t="n"/>
      <c r="D812" s="36" t="n"/>
      <c r="E812" s="35" t="n"/>
      <c r="F812" s="36" t="n"/>
      <c r="G812" s="36" t="n"/>
      <c r="H812" s="30" t="n"/>
      <c r="I812" s="30" t="n"/>
      <c r="J812" s="31">
        <f>IF(H812="","",H812-I812)</f>
        <v/>
      </c>
      <c r="K812" s="43" t="n"/>
      <c r="L812" s="32">
        <f>IF(OR(K812="",$F812=""),"",DATE(YEAR(K812),MONTH(K812)+VLOOKUP($F812,'Membership Level'!$A$3:$B$15,2,FALSE),DAY(K812)))</f>
        <v/>
      </c>
      <c r="M812" s="36" t="n"/>
      <c r="N812" s="34">
        <f>IF($L812="","",DATE(YEAR($L812),MONTH($L812),DAY($L812)-$M812))</f>
        <v/>
      </c>
      <c r="O812" s="33">
        <f>IF($L812="","",IF(DAYS360(NOW(),$L812)&gt;=0,DAYS360(NOW(),$L812),""))</f>
        <v/>
      </c>
      <c r="P812" s="34">
        <f>IF(OR(H812="",H812=0,F812="",K812=""),"",I812/H812*VLOOKUP(F812,'Membership Level'!$A$3:$C$15,3,FALSE)+K812)</f>
        <v/>
      </c>
      <c r="Q812" s="36" t="n"/>
    </row>
    <row r="813">
      <c r="C813" s="36" t="n"/>
      <c r="D813" s="36" t="n"/>
      <c r="E813" s="35" t="n"/>
      <c r="F813" s="36" t="n"/>
      <c r="G813" s="36" t="n"/>
      <c r="H813" s="30" t="n"/>
      <c r="I813" s="30" t="n"/>
      <c r="J813" s="31">
        <f>IF(H813="","",H813-I813)</f>
        <v/>
      </c>
      <c r="K813" s="43" t="n"/>
      <c r="L813" s="32">
        <f>IF(OR(K813="",$F813=""),"",DATE(YEAR(K813),MONTH(K813)+VLOOKUP($F813,'Membership Level'!$A$3:$B$15,2,FALSE),DAY(K813)))</f>
        <v/>
      </c>
      <c r="M813" s="36" t="n"/>
      <c r="N813" s="34">
        <f>IF($L813="","",DATE(YEAR($L813),MONTH($L813),DAY($L813)-$M813))</f>
        <v/>
      </c>
      <c r="O813" s="33">
        <f>IF($L813="","",IF(DAYS360(NOW(),$L813)&gt;=0,DAYS360(NOW(),$L813),""))</f>
        <v/>
      </c>
      <c r="P813" s="34">
        <f>IF(OR(H813="",H813=0,F813="",K813=""),"",I813/H813*VLOOKUP(F813,'Membership Level'!$A$3:$C$15,3,FALSE)+K813)</f>
        <v/>
      </c>
      <c r="Q813" s="36" t="n"/>
    </row>
    <row r="814">
      <c r="C814" s="36" t="n"/>
      <c r="D814" s="36" t="n"/>
      <c r="E814" s="35" t="n"/>
      <c r="F814" s="36" t="n"/>
      <c r="G814" s="36" t="n"/>
      <c r="H814" s="30" t="n"/>
      <c r="I814" s="30" t="n"/>
      <c r="J814" s="31">
        <f>IF(H814="","",H814-I814)</f>
        <v/>
      </c>
      <c r="K814" s="43" t="n"/>
      <c r="L814" s="32">
        <f>IF(OR(K814="",$F814=""),"",DATE(YEAR(K814),MONTH(K814)+VLOOKUP($F814,'Membership Level'!$A$3:$B$15,2,FALSE),DAY(K814)))</f>
        <v/>
      </c>
      <c r="M814" s="36" t="n"/>
      <c r="N814" s="34">
        <f>IF($L814="","",DATE(YEAR($L814),MONTH($L814),DAY($L814)-$M814))</f>
        <v/>
      </c>
      <c r="O814" s="33">
        <f>IF($L814="","",IF(DAYS360(NOW(),$L814)&gt;=0,DAYS360(NOW(),$L814),""))</f>
        <v/>
      </c>
      <c r="P814" s="34">
        <f>IF(OR(H814="",H814=0,F814="",K814=""),"",I814/H814*VLOOKUP(F814,'Membership Level'!$A$3:$C$15,3,FALSE)+K814)</f>
        <v/>
      </c>
      <c r="Q814" s="36" t="n"/>
    </row>
    <row r="815">
      <c r="C815" s="36" t="n"/>
      <c r="D815" s="36" t="n"/>
      <c r="E815" s="35" t="n"/>
      <c r="F815" s="36" t="n"/>
      <c r="G815" s="36" t="n"/>
      <c r="H815" s="30" t="n"/>
      <c r="I815" s="30" t="n"/>
      <c r="J815" s="31">
        <f>IF(H815="","",H815-I815)</f>
        <v/>
      </c>
      <c r="K815" s="43" t="n"/>
      <c r="L815" s="32">
        <f>IF(OR(K815="",$F815=""),"",DATE(YEAR(K815),MONTH(K815)+VLOOKUP($F815,'Membership Level'!$A$3:$B$15,2,FALSE),DAY(K815)))</f>
        <v/>
      </c>
      <c r="M815" s="36" t="n"/>
      <c r="N815" s="34">
        <f>IF($L815="","",DATE(YEAR($L815),MONTH($L815),DAY($L815)-$M815))</f>
        <v/>
      </c>
      <c r="O815" s="33">
        <f>IF($L815="","",IF(DAYS360(NOW(),$L815)&gt;=0,DAYS360(NOW(),$L815),""))</f>
        <v/>
      </c>
      <c r="P815" s="34">
        <f>IF(OR(H815="",H815=0,F815="",K815=""),"",I815/H815*VLOOKUP(F815,'Membership Level'!$A$3:$C$15,3,FALSE)+K815)</f>
        <v/>
      </c>
      <c r="Q815" s="36" t="n"/>
    </row>
    <row r="816">
      <c r="C816" s="36" t="n"/>
      <c r="D816" s="36" t="n"/>
      <c r="E816" s="36" t="n"/>
      <c r="F816" s="36" t="n"/>
      <c r="G816" s="36" t="n"/>
      <c r="H816" s="30" t="n"/>
      <c r="I816" s="30" t="n"/>
      <c r="J816" s="31">
        <f>IF(H816="","",H816-I816)</f>
        <v/>
      </c>
      <c r="K816" s="43" t="n"/>
      <c r="L816" s="32">
        <f>IF(OR(K816="",$F816=""),"",DATE(YEAR(K816),MONTH(K816)+VLOOKUP($F816,'Membership Level'!$A$3:$B$15,2,FALSE),DAY(K816)))</f>
        <v/>
      </c>
      <c r="M816" s="36" t="n"/>
      <c r="N816" s="34">
        <f>IF($L816="","",DATE(YEAR($L816),MONTH($L816),DAY($L816)-$M816))</f>
        <v/>
      </c>
      <c r="O816" s="33">
        <f>IF($L816="","",IF(DAYS360(NOW(),$L816)&gt;=0,DAYS360(NOW(),$L816),""))</f>
        <v/>
      </c>
      <c r="P816" s="34">
        <f>IF(OR(H816="",H816=0,F816="",K816=""),"",I816/H816*VLOOKUP(F816,'Membership Level'!$A$3:$C$15,3,FALSE)+K816)</f>
        <v/>
      </c>
      <c r="Q816" s="36" t="n"/>
    </row>
    <row r="817">
      <c r="C817" s="36" t="n"/>
      <c r="D817" s="36" t="n"/>
      <c r="E817" s="36" t="n"/>
      <c r="F817" s="36" t="n"/>
      <c r="G817" s="36" t="n"/>
      <c r="H817" s="30" t="n"/>
      <c r="I817" s="30" t="n"/>
      <c r="J817" s="31">
        <f>IF(H817="","",H817-I817)</f>
        <v/>
      </c>
      <c r="K817" s="43" t="n"/>
      <c r="L817" s="32">
        <f>IF(OR(K817="",$F817=""),"",DATE(YEAR(K817),MONTH(K817)+VLOOKUP($F817,'Membership Level'!$A$3:$B$15,2,FALSE),DAY(K817)))</f>
        <v/>
      </c>
      <c r="M817" s="36" t="n"/>
      <c r="N817" s="34">
        <f>IF($L817="","",DATE(YEAR($L817),MONTH($L817),DAY($L817)-$M817))</f>
        <v/>
      </c>
      <c r="O817" s="33">
        <f>IF($L817="","",IF(DAYS360(NOW(),$L817)&gt;=0,DAYS360(NOW(),$L817),""))</f>
        <v/>
      </c>
      <c r="P817" s="34">
        <f>IF(OR(H817="",H817=0,F817="",K817=""),"",I817/H817*VLOOKUP(F817,'Membership Level'!$A$3:$C$15,3,FALSE)+K817)</f>
        <v/>
      </c>
      <c r="Q817" s="36" t="n"/>
    </row>
    <row r="818">
      <c r="C818" s="36" t="n"/>
      <c r="D818" s="36" t="n"/>
      <c r="E818" s="36" t="n"/>
      <c r="F818" s="36" t="n"/>
      <c r="G818" s="36" t="n"/>
      <c r="H818" s="30" t="n"/>
      <c r="I818" s="30" t="n"/>
      <c r="J818" s="31">
        <f>IF(H818="","",H818-I818)</f>
        <v/>
      </c>
      <c r="K818" s="43" t="n"/>
      <c r="L818" s="32">
        <f>IF(OR(K818="",$F818=""),"",DATE(YEAR(K818),MONTH(K818)+VLOOKUP($F818,'Membership Level'!$A$3:$B$15,2,FALSE),DAY(K818)))</f>
        <v/>
      </c>
      <c r="M818" s="36" t="n"/>
      <c r="N818" s="34">
        <f>IF($L818="","",DATE(YEAR($L818),MONTH($L818),DAY($L818)-$M818))</f>
        <v/>
      </c>
      <c r="O818" s="33">
        <f>IF($L818="","",IF(DAYS360(NOW(),$L818)&gt;=0,DAYS360(NOW(),$L818),""))</f>
        <v/>
      </c>
      <c r="P818" s="34">
        <f>IF(OR(H818="",H818=0,F818="",K818=""),"",I818/H818*VLOOKUP(F818,'Membership Level'!$A$3:$C$15,3,FALSE)+K818)</f>
        <v/>
      </c>
      <c r="Q818" s="36" t="n"/>
    </row>
    <row r="819">
      <c r="C819" s="36" t="n"/>
      <c r="D819" s="36" t="n"/>
      <c r="E819" s="36" t="n"/>
      <c r="F819" s="36" t="n"/>
      <c r="G819" s="36" t="n"/>
      <c r="H819" s="30" t="n"/>
      <c r="I819" s="30" t="n"/>
      <c r="J819" s="31">
        <f>IF(H819="","",H819-I819)</f>
        <v/>
      </c>
      <c r="K819" s="43" t="n"/>
      <c r="L819" s="32">
        <f>IF(OR(K819="",$F819=""),"",DATE(YEAR(K819),MONTH(K819)+VLOOKUP($F819,'Membership Level'!$A$3:$B$15,2,FALSE),DAY(K819)))</f>
        <v/>
      </c>
      <c r="M819" s="36" t="n"/>
      <c r="N819" s="34">
        <f>IF($L819="","",DATE(YEAR($L819),MONTH($L819),DAY($L819)-$M819))</f>
        <v/>
      </c>
      <c r="O819" s="33">
        <f>IF($L819="","",IF(DAYS360(NOW(),$L819)&gt;=0,DAYS360(NOW(),$L819),""))</f>
        <v/>
      </c>
      <c r="P819" s="34">
        <f>IF(OR(H819="",H819=0,F819="",K819=""),"",I819/H819*VLOOKUP(F819,'Membership Level'!$A$3:$C$15,3,FALSE)+K819)</f>
        <v/>
      </c>
      <c r="Q819" s="36" t="n"/>
    </row>
    <row r="820">
      <c r="C820" s="36" t="n"/>
      <c r="D820" s="36" t="n"/>
      <c r="E820" s="35" t="n"/>
      <c r="F820" s="36" t="n"/>
      <c r="G820" s="36" t="n"/>
      <c r="H820" s="30" t="n"/>
      <c r="I820" s="30" t="n"/>
      <c r="J820" s="31">
        <f>IF(H820="","",H820-I820)</f>
        <v/>
      </c>
      <c r="K820" s="43" t="n"/>
      <c r="L820" s="32">
        <f>IF(OR(K820="",$F820=""),"",DATE(YEAR(K820),MONTH(K820)+VLOOKUP($F820,'Membership Level'!$A$3:$B$15,2,FALSE),DAY(K820)))</f>
        <v/>
      </c>
      <c r="M820" s="36" t="n"/>
      <c r="N820" s="34">
        <f>IF($L820="","",DATE(YEAR($L820),MONTH($L820),DAY($L820)-$M820))</f>
        <v/>
      </c>
      <c r="O820" s="33">
        <f>IF($L820="","",IF(DAYS360(NOW(),$L820)&gt;=0,DAYS360(NOW(),$L820),""))</f>
        <v/>
      </c>
      <c r="P820" s="34">
        <f>IF(OR(H820="",H820=0,F820="",K820=""),"",I820/H820*VLOOKUP(F820,'Membership Level'!$A$3:$C$15,3,FALSE)+K820)</f>
        <v/>
      </c>
      <c r="Q820" s="36" t="n"/>
    </row>
    <row r="821">
      <c r="C821" s="36" t="n"/>
      <c r="D821" s="36" t="n"/>
      <c r="E821" s="35" t="n"/>
      <c r="F821" s="36" t="n"/>
      <c r="G821" s="36" t="n"/>
      <c r="H821" s="30" t="n"/>
      <c r="I821" s="30" t="n"/>
      <c r="J821" s="31">
        <f>IF(H821="","",H821-I821)</f>
        <v/>
      </c>
      <c r="K821" s="43" t="n"/>
      <c r="L821" s="32">
        <f>IF(OR(K821="",$F821=""),"",DATE(YEAR(K821),MONTH(K821)+VLOOKUP($F821,'Membership Level'!$A$3:$B$15,2,FALSE),DAY(K821)))</f>
        <v/>
      </c>
      <c r="M821" s="36" t="n"/>
      <c r="N821" s="34">
        <f>IF($L821="","",DATE(YEAR($L821),MONTH($L821),DAY($L821)-$M821))</f>
        <v/>
      </c>
      <c r="O821" s="33">
        <f>IF($L821="","",IF(DAYS360(NOW(),$L821)&gt;=0,DAYS360(NOW(),$L821),""))</f>
        <v/>
      </c>
      <c r="P821" s="34">
        <f>IF(OR(H821="",H821=0,F821="",K821=""),"",I821/H821*VLOOKUP(F821,'Membership Level'!$A$3:$C$15,3,FALSE)+K821)</f>
        <v/>
      </c>
      <c r="Q821" s="36" t="n"/>
    </row>
    <row r="822">
      <c r="C822" s="36" t="n"/>
      <c r="D822" s="36" t="n"/>
      <c r="E822" s="35" t="n"/>
      <c r="F822" s="36" t="n"/>
      <c r="G822" s="36" t="n"/>
      <c r="H822" s="30" t="n"/>
      <c r="I822" s="30" t="n"/>
      <c r="J822" s="31">
        <f>IF(H822="","",H822-I822)</f>
        <v/>
      </c>
      <c r="K822" s="43" t="n"/>
      <c r="L822" s="32">
        <f>IF(OR(K822="",$F822=""),"",DATE(YEAR(K822),MONTH(K822)+VLOOKUP($F822,'Membership Level'!$A$3:$B$15,2,FALSE),DAY(K822)))</f>
        <v/>
      </c>
      <c r="M822" s="36" t="n"/>
      <c r="N822" s="34">
        <f>IF($L822="","",DATE(YEAR($L822),MONTH($L822),DAY($L822)-$M822))</f>
        <v/>
      </c>
      <c r="O822" s="33">
        <f>IF($L822="","",IF(DAYS360(NOW(),$L822)&gt;=0,DAYS360(NOW(),$L822),""))</f>
        <v/>
      </c>
      <c r="P822" s="34">
        <f>IF(OR(H822="",H822=0,F822="",K822=""),"",I822/H822*VLOOKUP(F822,'Membership Level'!$A$3:$C$15,3,FALSE)+K822)</f>
        <v/>
      </c>
      <c r="Q822" s="36" t="n"/>
    </row>
    <row r="823">
      <c r="C823" s="36" t="n"/>
      <c r="D823" s="36" t="n"/>
      <c r="E823" s="35" t="n"/>
      <c r="F823" s="36" t="n"/>
      <c r="G823" s="36" t="n"/>
      <c r="H823" s="30" t="n"/>
      <c r="I823" s="30" t="n"/>
      <c r="J823" s="31">
        <f>IF(H823="","",H823-I823)</f>
        <v/>
      </c>
      <c r="K823" s="43" t="n"/>
      <c r="L823" s="32">
        <f>IF(OR(K823="",$F823=""),"",DATE(YEAR(K823),MONTH(K823)+VLOOKUP($F823,'Membership Level'!$A$3:$B$15,2,FALSE),DAY(K823)))</f>
        <v/>
      </c>
      <c r="M823" s="36" t="n"/>
      <c r="N823" s="34">
        <f>IF($L823="","",DATE(YEAR($L823),MONTH($L823),DAY($L823)-$M823))</f>
        <v/>
      </c>
      <c r="O823" s="33">
        <f>IF($L823="","",IF(DAYS360(NOW(),$L823)&gt;=0,DAYS360(NOW(),$L823),""))</f>
        <v/>
      </c>
      <c r="P823" s="34">
        <f>IF(OR(H823="",H823=0,F823="",K823=""),"",I823/H823*VLOOKUP(F823,'Membership Level'!$A$3:$C$15,3,FALSE)+K823)</f>
        <v/>
      </c>
      <c r="Q823" s="36" t="n"/>
    </row>
    <row r="824">
      <c r="C824" s="36" t="n"/>
      <c r="D824" s="36" t="n"/>
      <c r="E824" s="35" t="n"/>
      <c r="F824" s="36" t="n"/>
      <c r="G824" s="36" t="n"/>
      <c r="H824" s="30" t="n"/>
      <c r="I824" s="30" t="n"/>
      <c r="J824" s="31">
        <f>IF(H824="","",H824-I824)</f>
        <v/>
      </c>
      <c r="K824" s="43" t="n"/>
      <c r="L824" s="32">
        <f>IF(OR(K824="",$F824=""),"",DATE(YEAR(K824),MONTH(K824)+VLOOKUP($F824,'Membership Level'!$A$3:$B$15,2,FALSE),DAY(K824)))</f>
        <v/>
      </c>
      <c r="M824" s="36" t="n"/>
      <c r="N824" s="34">
        <f>IF($L824="","",DATE(YEAR($L824),MONTH($L824),DAY($L824)-$M824))</f>
        <v/>
      </c>
      <c r="O824" s="33">
        <f>IF($L824="","",IF(DAYS360(NOW(),$L824)&gt;=0,DAYS360(NOW(),$L824),""))</f>
        <v/>
      </c>
      <c r="P824" s="34">
        <f>IF(OR(H824="",H824=0,F824="",K824=""),"",I824/H824*VLOOKUP(F824,'Membership Level'!$A$3:$C$15,3,FALSE)+K824)</f>
        <v/>
      </c>
      <c r="Q824" s="36" t="n"/>
    </row>
    <row r="825">
      <c r="C825" s="36" t="n"/>
      <c r="D825" s="36" t="n"/>
      <c r="E825" s="66" t="n"/>
      <c r="F825" s="36" t="n"/>
      <c r="G825" s="36" t="n"/>
      <c r="H825" s="30" t="n"/>
      <c r="I825" s="30" t="n"/>
      <c r="J825" s="31">
        <f>IF(H825="","",H825-I825)</f>
        <v/>
      </c>
      <c r="K825" s="43" t="n"/>
      <c r="L825" s="32">
        <f>IF(OR(K825="",$F825=""),"",DATE(YEAR(K825),MONTH(K825)+VLOOKUP($F825,'Membership Level'!$A$3:$B$15,2,FALSE),DAY(K825)))</f>
        <v/>
      </c>
      <c r="M825" s="36" t="n"/>
      <c r="N825" s="34">
        <f>IF($L825="","",DATE(YEAR($L825),MONTH($L825),DAY($L825)-$M825))</f>
        <v/>
      </c>
      <c r="O825" s="33">
        <f>IF($L825="","",IF(DAYS360(NOW(),$L825)&gt;=0,DAYS360(NOW(),$L825),""))</f>
        <v/>
      </c>
      <c r="P825" s="34">
        <f>IF(OR(H825="",H825=0,F825="",K825=""),"",I825/H825*VLOOKUP(F825,'Membership Level'!$A$3:$C$15,3,FALSE)+K825)</f>
        <v/>
      </c>
      <c r="Q825" s="36" t="n"/>
    </row>
    <row r="826">
      <c r="C826" s="36" t="n"/>
      <c r="D826" s="36" t="n"/>
      <c r="E826" s="36" t="n"/>
      <c r="F826" s="36" t="n"/>
      <c r="G826" s="36" t="n"/>
      <c r="H826" s="30" t="n"/>
      <c r="I826" s="30" t="n"/>
      <c r="J826" s="31">
        <f>IF(H826="","",H826-I826)</f>
        <v/>
      </c>
      <c r="K826" s="43" t="n"/>
      <c r="L826" s="32">
        <f>IF(OR(K826="",$F826=""),"",DATE(YEAR(K826),MONTH(K826)+VLOOKUP($F826,'Membership Level'!$A$3:$B$15,2,FALSE),DAY(K826)))</f>
        <v/>
      </c>
      <c r="M826" s="36" t="n"/>
      <c r="N826" s="34">
        <f>IF($L826="","",DATE(YEAR($L826),MONTH($L826),DAY($L826)-$M826))</f>
        <v/>
      </c>
      <c r="O826" s="33">
        <f>IF($L826="","",IF(DAYS360(NOW(),$L826)&gt;=0,DAYS360(NOW(),$L826),""))</f>
        <v/>
      </c>
      <c r="P826" s="34">
        <f>IF(OR(H826="",H826=0,F826="",K826=""),"",I826/H826*VLOOKUP(F826,'Membership Level'!$A$3:$C$15,3,FALSE)+K826)</f>
        <v/>
      </c>
      <c r="Q826" s="36" t="n"/>
    </row>
    <row r="827">
      <c r="C827" s="36" t="n"/>
      <c r="D827" s="36" t="n"/>
      <c r="E827" s="36" t="n"/>
      <c r="F827" s="36" t="n"/>
      <c r="G827" s="36" t="n"/>
      <c r="H827" s="30" t="n"/>
      <c r="I827" s="30" t="n"/>
      <c r="J827" s="31">
        <f>IF(H827="","",H827-I827)</f>
        <v/>
      </c>
      <c r="K827" s="43" t="n"/>
      <c r="L827" s="32">
        <f>IF(OR(K827="",$F827=""),"",DATE(YEAR(K827),MONTH(K827)+VLOOKUP($F827,'Membership Level'!$A$3:$B$15,2,FALSE),DAY(K827)))</f>
        <v/>
      </c>
      <c r="M827" s="36" t="n"/>
      <c r="N827" s="34">
        <f>IF($L827="","",DATE(YEAR($L827),MONTH($L827),DAY($L827)-$M827))</f>
        <v/>
      </c>
      <c r="O827" s="33">
        <f>IF($L827="","",IF(DAYS360(NOW(),$L827)&gt;=0,DAYS360(NOW(),$L827),""))</f>
        <v/>
      </c>
      <c r="P827" s="34">
        <f>IF(OR(H827="",H827=0,F827="",K827=""),"",I827/H827*VLOOKUP(F827,'Membership Level'!$A$3:$C$15,3,FALSE)+K827)</f>
        <v/>
      </c>
      <c r="Q827" s="36" t="n"/>
    </row>
    <row r="828">
      <c r="C828" s="36" t="n"/>
      <c r="D828" s="36" t="n"/>
      <c r="E828" s="36" t="n"/>
      <c r="F828" s="36" t="n"/>
      <c r="G828" s="36" t="n"/>
      <c r="H828" s="30" t="n"/>
      <c r="I828" s="30" t="n"/>
      <c r="J828" s="31">
        <f>IF(H828="","",H828-I828)</f>
        <v/>
      </c>
      <c r="K828" s="43" t="n"/>
      <c r="L828" s="32">
        <f>IF(OR(K828="",$F828=""),"",DATE(YEAR(K828),MONTH(K828)+VLOOKUP($F828,'Membership Level'!$A$3:$B$15,2,FALSE),DAY(K828)))</f>
        <v/>
      </c>
      <c r="M828" s="36" t="n"/>
      <c r="N828" s="34">
        <f>IF($L828="","",DATE(YEAR($L828),MONTH($L828),DAY($L828)-$M828))</f>
        <v/>
      </c>
      <c r="O828" s="33">
        <f>IF($L828="","",IF(DAYS360(NOW(),$L828)&gt;=0,DAYS360(NOW(),$L828),""))</f>
        <v/>
      </c>
      <c r="P828" s="34">
        <f>IF(OR(H828="",H828=0,F828="",K828=""),"",I828/H828*VLOOKUP(F828,'Membership Level'!$A$3:$C$15,3,FALSE)+K828)</f>
        <v/>
      </c>
      <c r="Q828" s="36" t="n"/>
    </row>
    <row r="829">
      <c r="C829" s="36" t="n"/>
      <c r="D829" s="36" t="n"/>
      <c r="E829" s="36" t="n"/>
      <c r="F829" s="33" t="n"/>
      <c r="G829" s="36" t="n"/>
      <c r="H829" s="30" t="n"/>
      <c r="I829" s="30" t="n"/>
      <c r="J829" s="31">
        <f>IF(H829="","",H829-I829)</f>
        <v/>
      </c>
      <c r="K829" s="43" t="n"/>
      <c r="L829" s="32">
        <f>IF(OR(K829="",$F829=""),"",DATE(YEAR(K829),MONTH(K829)+VLOOKUP($F829,'Membership Level'!$A$3:$B$15,2,FALSE),DAY(K829)))</f>
        <v/>
      </c>
      <c r="M829" s="36" t="n"/>
      <c r="N829" s="34">
        <f>IF($L829="","",DATE(YEAR($L829),MONTH($L829),DAY($L829)-$M829))</f>
        <v/>
      </c>
      <c r="O829" s="33">
        <f>IF($L829="","",IF(DAYS360(NOW(),$L829)&gt;=0,DAYS360(NOW(),$L829),""))</f>
        <v/>
      </c>
      <c r="P829" s="34">
        <f>IF(OR(H829="",H829=0,F829="",K829=""),"",I829/H829*VLOOKUP(F829,'Membership Level'!$A$3:$C$15,3,FALSE)+K829)</f>
        <v/>
      </c>
      <c r="Q829" s="36" t="n"/>
    </row>
    <row r="830">
      <c r="C830" s="36" t="n"/>
      <c r="D830" s="36" t="n"/>
      <c r="E830" s="66" t="n"/>
      <c r="F830" s="33" t="n"/>
      <c r="G830" s="36" t="n"/>
      <c r="H830" s="30" t="n"/>
      <c r="I830" s="30" t="n"/>
      <c r="J830" s="31">
        <f>IF(H830="","",H830-I830)</f>
        <v/>
      </c>
      <c r="K830" s="43" t="n"/>
      <c r="L830" s="32">
        <f>IF(OR(K830="",$F830=""),"",DATE(YEAR(K830),MONTH(K830)+VLOOKUP($F830,'Membership Level'!$A$3:$B$15,2,FALSE),DAY(K830)))</f>
        <v/>
      </c>
      <c r="M830" s="36" t="n"/>
      <c r="N830" s="34">
        <f>IF($L830="","",DATE(YEAR($L830),MONTH($L830),DAY($L830)-$M830))</f>
        <v/>
      </c>
      <c r="O830" s="33">
        <f>IF($L830="","",IF(DAYS360(NOW(),$L830)&gt;=0,DAYS360(NOW(),$L830),""))</f>
        <v/>
      </c>
      <c r="P830" s="34">
        <f>IF(OR(H830="",H830=0,F830="",K830=""),"",I830/H830*VLOOKUP(F830,'Membership Level'!$A$3:$C$15,3,FALSE)+K830)</f>
        <v/>
      </c>
      <c r="Q830" s="36" t="n"/>
    </row>
    <row r="831" customFormat="1" s="22">
      <c r="C831" s="33" t="n"/>
      <c r="D831" s="33" t="n"/>
      <c r="E831" s="66" t="n"/>
      <c r="F831" s="33" t="n"/>
      <c r="G831" s="33" t="n"/>
      <c r="H831" s="44" t="n"/>
      <c r="I831" s="44" t="n"/>
      <c r="J831" s="31">
        <f>IF(H831="","",H831-I831)</f>
        <v/>
      </c>
      <c r="K831" s="32" t="n"/>
      <c r="L831" s="32">
        <f>IF(OR(K831="",$F831=""),"",DATE(YEAR(K831),MONTH(K831)+VLOOKUP($F831,'Membership Level'!$A$3:$B$15,2,FALSE),DAY(K831)))</f>
        <v/>
      </c>
      <c r="M831" s="33" t="n"/>
      <c r="N831" s="34">
        <f>IF($L831="","",DATE(YEAR($L831),MONTH($L831),DAY($L831)-$M831))</f>
        <v/>
      </c>
      <c r="O831" s="33">
        <f>IF($L831="","",IF(DAYS360(NOW(),$L831)&gt;=0,DAYS360(NOW(),$L831),""))</f>
        <v/>
      </c>
      <c r="P831" s="34">
        <f>IF(OR(H831="",H831=0,F831="",K831=""),"",I831/H831*VLOOKUP(F831,'Membership Level'!$A$3:$C$15,3,FALSE)+K831)</f>
        <v/>
      </c>
      <c r="Q831" s="33" t="n"/>
    </row>
    <row r="832" customFormat="1" s="22">
      <c r="C832" s="33" t="n"/>
      <c r="D832" s="33" t="n"/>
      <c r="E832" s="66" t="n"/>
      <c r="F832" s="36" t="n"/>
      <c r="G832" s="33" t="n"/>
      <c r="H832" s="44" t="n"/>
      <c r="I832" s="44" t="n"/>
      <c r="J832" s="31">
        <f>IF(H832="","",H832-I832)</f>
        <v/>
      </c>
      <c r="K832" s="32" t="n"/>
      <c r="L832" s="32">
        <f>IF(OR(K832="",$F832=""),"",DATE(YEAR(K832),MONTH(K832)+VLOOKUP($F832,'Membership Level'!$A$3:$B$15,2,FALSE),DAY(K832)))</f>
        <v/>
      </c>
      <c r="M832" s="33" t="n"/>
      <c r="N832" s="34">
        <f>IF($L832="","",DATE(YEAR($L832),MONTH($L832),DAY($L832)-$M832))</f>
        <v/>
      </c>
      <c r="O832" s="33">
        <f>IF($L832="","",IF(DAYS360(NOW(),$L832)&gt;=0,DAYS360(NOW(),$L832),""))</f>
        <v/>
      </c>
      <c r="P832" s="34">
        <f>IF(OR(H832="",H832=0,F832="",K832=""),"",I832/H832*VLOOKUP(F832,'Membership Level'!$A$3:$C$15,3,FALSE)+K832)</f>
        <v/>
      </c>
      <c r="Q832" s="33" t="n"/>
    </row>
    <row r="833" customFormat="1" s="22">
      <c r="C833" s="33" t="n"/>
      <c r="D833" s="33" t="n"/>
      <c r="E833" s="35" t="n"/>
      <c r="F833" s="36" t="n"/>
      <c r="G833" s="33" t="n"/>
      <c r="H833" s="44" t="n"/>
      <c r="I833" s="30" t="n"/>
      <c r="J833" s="31">
        <f>IF(H833="","",H833-I833)</f>
        <v/>
      </c>
      <c r="K833" s="32" t="n"/>
      <c r="L833" s="32">
        <f>IF(OR(K833="",$F833=""),"",DATE(YEAR(K833),MONTH(K833)+VLOOKUP($F833,'Membership Level'!$A$3:$B$15,2,FALSE),DAY(K833)))</f>
        <v/>
      </c>
      <c r="M833" s="36" t="n"/>
      <c r="N833" s="34">
        <f>IF($L833="","",DATE(YEAR($L833),MONTH($L833),DAY($L833)-$M833))</f>
        <v/>
      </c>
      <c r="O833" s="33">
        <f>IF($L833="","",IF(DAYS360(NOW(),$L833)&gt;=0,DAYS360(NOW(),$L833),""))</f>
        <v/>
      </c>
      <c r="P833" s="34">
        <f>IF(OR(H833="",H833=0,F833="",K833=""),"",I833/H833*VLOOKUP(F833,'Membership Level'!$A$3:$C$15,3,FALSE)+K833)</f>
        <v/>
      </c>
      <c r="Q833" s="33" t="n"/>
    </row>
    <row r="834">
      <c r="C834" s="36" t="n"/>
      <c r="D834" s="36" t="n"/>
      <c r="E834" s="66" t="n"/>
      <c r="F834" s="36" t="n"/>
      <c r="G834" s="36" t="n"/>
      <c r="H834" s="30" t="n"/>
      <c r="I834" s="30" t="n"/>
      <c r="J834" s="31">
        <f>IF(H834="","",H834-I834)</f>
        <v/>
      </c>
      <c r="K834" s="43" t="n"/>
      <c r="L834" s="32">
        <f>IF(OR(K834="",$F834=""),"",DATE(YEAR(K834),MONTH(K834)+VLOOKUP($F834,'Membership Level'!$A$3:$B$15,2,FALSE),DAY(K834)))</f>
        <v/>
      </c>
      <c r="M834" s="36" t="n"/>
      <c r="N834" s="34">
        <f>IF($L834="","",DATE(YEAR($L834),MONTH($L834),DAY($L834)-$M834))</f>
        <v/>
      </c>
      <c r="O834" s="33">
        <f>IF($L834="","",IF(DAYS360(NOW(),$L834)&gt;=0,DAYS360(NOW(),$L834),""))</f>
        <v/>
      </c>
      <c r="P834" s="34">
        <f>IF(OR(H834="",H834=0,F834="",K834=""),"",I834/H834*VLOOKUP(F834,'Membership Level'!$A$3:$C$15,3,FALSE)+K834)</f>
        <v/>
      </c>
      <c r="Q834" s="36" t="n"/>
    </row>
    <row r="835">
      <c r="C835" s="36" t="n"/>
      <c r="D835" s="36" t="n"/>
      <c r="E835" s="66" t="n"/>
      <c r="F835" s="36" t="n"/>
      <c r="G835" s="36" t="n"/>
      <c r="H835" s="30" t="n"/>
      <c r="I835" s="30" t="n"/>
      <c r="J835" s="31">
        <f>IF(H835="","",H835-I835)</f>
        <v/>
      </c>
      <c r="K835" s="43" t="n"/>
      <c r="L835" s="32">
        <f>IF(OR(K835="",$F835=""),"",DATE(YEAR(K835),MONTH(K835)+VLOOKUP($F835,'Membership Level'!$A$3:$B$15,2,FALSE),DAY(K835)))</f>
        <v/>
      </c>
      <c r="M835" s="36" t="n"/>
      <c r="N835" s="34">
        <f>IF($L835="","",DATE(YEAR($L835),MONTH($L835),DAY($L835)-$M835))</f>
        <v/>
      </c>
      <c r="O835" s="33">
        <f>IF($L835="","",IF(DAYS360(NOW(),$L835)&gt;=0,DAYS360(NOW(),$L835),""))</f>
        <v/>
      </c>
      <c r="P835" s="34">
        <f>IF(OR(H835="",H835=0,F835="",K835=""),"",I835/H835*VLOOKUP(F835,'Membership Level'!$A$3:$C$15,3,FALSE)+K835)</f>
        <v/>
      </c>
      <c r="Q835" s="36" t="n"/>
    </row>
    <row r="836">
      <c r="C836" s="36" t="n"/>
      <c r="D836" s="36" t="n"/>
      <c r="E836" s="35" t="n"/>
      <c r="F836" s="36" t="n"/>
      <c r="G836" s="36" t="n"/>
      <c r="H836" s="30" t="n"/>
      <c r="I836" s="30" t="n"/>
      <c r="J836" s="31">
        <f>IF(H836="","",H836-I836)</f>
        <v/>
      </c>
      <c r="K836" s="43" t="n"/>
      <c r="L836" s="32">
        <f>IF(OR(K836="",$F836=""),"",DATE(YEAR(K836),MONTH(K836)+VLOOKUP($F836,'Membership Level'!$A$3:$B$15,2,FALSE),DAY(K836)))</f>
        <v/>
      </c>
      <c r="M836" s="36" t="n"/>
      <c r="N836" s="34">
        <f>IF($L836="","",DATE(YEAR($L836),MONTH($L836),DAY($L836)-$M836))</f>
        <v/>
      </c>
      <c r="O836" s="33">
        <f>IF($L836="","",IF(DAYS360(NOW(),$L836)&gt;=0,DAYS360(NOW(),$L836),""))</f>
        <v/>
      </c>
      <c r="P836" s="34">
        <f>IF(OR(H836="",H836=0,F836="",K836=""),"",I836/H836*VLOOKUP(F836,'Membership Level'!$A$3:$C$15,3,FALSE)+K836)</f>
        <v/>
      </c>
      <c r="Q836" s="36" t="n"/>
    </row>
    <row r="837">
      <c r="C837" s="36" t="n"/>
      <c r="D837" s="36" t="n"/>
      <c r="E837" s="36" t="n"/>
      <c r="F837" s="36" t="n"/>
      <c r="G837" s="36" t="n"/>
      <c r="H837" s="30" t="n"/>
      <c r="I837" s="30" t="n"/>
      <c r="J837" s="31">
        <f>IF(H837="","",H837-I837)</f>
        <v/>
      </c>
      <c r="K837" s="43" t="n"/>
      <c r="L837" s="32">
        <f>IF(OR(K837="",$F837=""),"",DATE(YEAR(K837),MONTH(K837)+VLOOKUP($F837,'Membership Level'!$A$3:$B$15,2,FALSE),DAY(K837)))</f>
        <v/>
      </c>
      <c r="M837" s="36" t="n"/>
      <c r="N837" s="34">
        <f>IF($L837="","",DATE(YEAR($L837),MONTH($L837),DAY($L837)-$M837))</f>
        <v/>
      </c>
      <c r="O837" s="33">
        <f>IF($L837="","",IF(DAYS360(NOW(),$L837)&gt;=0,DAYS360(NOW(),$L837),""))</f>
        <v/>
      </c>
      <c r="P837" s="34">
        <f>IF(OR(H837="",H837=0,F837="",K837=""),"",I837/H837*VLOOKUP(F837,'Membership Level'!$A$3:$C$15,3,FALSE)+K837)</f>
        <v/>
      </c>
      <c r="Q837" s="36" t="n"/>
    </row>
    <row r="838">
      <c r="C838" s="36" t="n"/>
      <c r="D838" s="36" t="n"/>
      <c r="E838" s="36" t="n"/>
      <c r="F838" s="36" t="n"/>
      <c r="G838" s="36" t="n"/>
      <c r="H838" s="30" t="n"/>
      <c r="I838" s="30" t="n"/>
      <c r="J838" s="31">
        <f>IF(H838="","",H838-I838)</f>
        <v/>
      </c>
      <c r="K838" s="43" t="n"/>
      <c r="L838" s="32">
        <f>IF(OR(K838="",$F838=""),"",DATE(YEAR(K838),MONTH(K838)+VLOOKUP($F838,'Membership Level'!$A$3:$B$15,2,FALSE),DAY(K838)))</f>
        <v/>
      </c>
      <c r="M838" s="36" t="n"/>
      <c r="N838" s="34">
        <f>IF($L838="","",DATE(YEAR($L838),MONTH($L838),DAY($L838)-$M838))</f>
        <v/>
      </c>
      <c r="O838" s="33">
        <f>IF($L838="","",IF(DAYS360(NOW(),$L838)&gt;=0,DAYS360(NOW(),$L838),""))</f>
        <v/>
      </c>
      <c r="P838" s="34">
        <f>IF(OR(H838="",H838=0,F838="",K838=""),"",I838/H838*VLOOKUP(F838,'Membership Level'!$A$3:$C$15,3,FALSE)+K838)</f>
        <v/>
      </c>
      <c r="Q838" s="36" t="n"/>
    </row>
    <row r="839">
      <c r="C839" s="36" t="n"/>
      <c r="D839" s="36" t="n"/>
      <c r="E839" s="36" t="n"/>
      <c r="F839" s="36" t="n"/>
      <c r="G839" s="36" t="n"/>
      <c r="H839" s="30" t="n"/>
      <c r="I839" s="30" t="n"/>
      <c r="J839" s="31">
        <f>IF(H839="","",H839-I839)</f>
        <v/>
      </c>
      <c r="K839" s="43" t="n"/>
      <c r="L839" s="32">
        <f>IF(OR(K839="",$F839=""),"",DATE(YEAR(K839),MONTH(K839)+VLOOKUP($F839,'Membership Level'!$A$3:$B$15,2,FALSE),DAY(K839)))</f>
        <v/>
      </c>
      <c r="M839" s="36" t="n"/>
      <c r="N839" s="34">
        <f>IF($L839="","",DATE(YEAR($L839),MONTH($L839),DAY($L839)-$M839))</f>
        <v/>
      </c>
      <c r="O839" s="33">
        <f>IF($L839="","",IF(DAYS360(NOW(),$L839)&gt;=0,DAYS360(NOW(),$L839),""))</f>
        <v/>
      </c>
      <c r="P839" s="34">
        <f>IF(OR(H839="",H839=0,F839="",K839=""),"",I839/H839*VLOOKUP(F839,'Membership Level'!$A$3:$C$15,3,FALSE)+K839)</f>
        <v/>
      </c>
      <c r="Q839" s="36" t="n"/>
    </row>
    <row r="840">
      <c r="C840" s="36" t="n"/>
      <c r="D840" s="36" t="n"/>
      <c r="E840" s="36" t="n"/>
      <c r="F840" s="36" t="n"/>
      <c r="G840" s="36" t="n"/>
      <c r="H840" s="30" t="n"/>
      <c r="I840" s="30" t="n"/>
      <c r="J840" s="31">
        <f>IF(H840="","",H840-I840)</f>
        <v/>
      </c>
      <c r="K840" s="43" t="n"/>
      <c r="L840" s="32">
        <f>IF(OR(K840="",$F840=""),"",DATE(YEAR(K840),MONTH(K840)+VLOOKUP($F840,'Membership Level'!$A$3:$B$15,2,FALSE),DAY(K840)))</f>
        <v/>
      </c>
      <c r="M840" s="36" t="n"/>
      <c r="N840" s="34">
        <f>IF($L840="","",DATE(YEAR($L840),MONTH($L840),DAY($L840)-$M840))</f>
        <v/>
      </c>
      <c r="O840" s="33">
        <f>IF($L840="","",IF(DAYS360(NOW(),$L840)&gt;=0,DAYS360(NOW(),$L840),""))</f>
        <v/>
      </c>
      <c r="P840" s="34">
        <f>IF(OR(H840="",H840=0,F840="",K840=""),"",I840/H840*VLOOKUP(F840,'Membership Level'!$A$3:$C$15,3,FALSE)+K840)</f>
        <v/>
      </c>
      <c r="Q840" s="36" t="n"/>
    </row>
    <row r="841">
      <c r="C841" s="36" t="n"/>
      <c r="D841" s="36" t="n"/>
      <c r="E841" s="36" t="n"/>
      <c r="F841" s="36" t="n"/>
      <c r="G841" s="36" t="n"/>
      <c r="H841" s="30" t="n"/>
      <c r="I841" s="30" t="n"/>
      <c r="J841" s="31">
        <f>IF(H841="","",H841-I841)</f>
        <v/>
      </c>
      <c r="K841" s="43" t="n"/>
      <c r="L841" s="32">
        <f>IF(OR(K841="",$F841=""),"",DATE(YEAR(K841),MONTH(K841)+VLOOKUP($F841,'Membership Level'!$A$3:$B$15,2,FALSE),DAY(K841)))</f>
        <v/>
      </c>
      <c r="M841" s="36" t="n"/>
      <c r="N841" s="34">
        <f>IF($L841="","",DATE(YEAR($L841),MONTH($L841),DAY($L841)-$M841))</f>
        <v/>
      </c>
      <c r="O841" s="33">
        <f>IF($L841="","",IF(DAYS360(NOW(),$L841)&gt;=0,DAYS360(NOW(),$L841),""))</f>
        <v/>
      </c>
      <c r="P841" s="34">
        <f>IF(OR(H841="",H841=0,F841="",K841=""),"",I841/H841*VLOOKUP(F841,'Membership Level'!$A$3:$C$15,3,FALSE)+K841)</f>
        <v/>
      </c>
      <c r="Q841" s="36" t="n"/>
    </row>
    <row r="842">
      <c r="C842" s="36" t="n"/>
      <c r="D842" s="36" t="n"/>
      <c r="E842" s="36" t="n"/>
      <c r="F842" s="36" t="n"/>
      <c r="G842" s="36" t="n"/>
      <c r="H842" s="30" t="n"/>
      <c r="I842" s="30" t="n"/>
      <c r="J842" s="31">
        <f>IF(H842="","",H842-I842)</f>
        <v/>
      </c>
      <c r="K842" s="43" t="n"/>
      <c r="L842" s="32">
        <f>IF(OR(K842="",$F842=""),"",DATE(YEAR(K842),MONTH(K842)+VLOOKUP($F842,'Membership Level'!$A$3:$B$15,2,FALSE),DAY(K842)))</f>
        <v/>
      </c>
      <c r="M842" s="36" t="n"/>
      <c r="N842" s="34">
        <f>IF($L842="","",DATE(YEAR($L842),MONTH($L842),DAY($L842)-$M842))</f>
        <v/>
      </c>
      <c r="O842" s="33">
        <f>IF($L842="","",IF(DAYS360(NOW(),$L842)&gt;=0,DAYS360(NOW(),$L842),""))</f>
        <v/>
      </c>
      <c r="P842" s="34">
        <f>IF(OR(H842="",H842=0,F842="",K842=""),"",I842/H842*VLOOKUP(F842,'Membership Level'!$A$3:$C$15,3,FALSE)+K842)</f>
        <v/>
      </c>
      <c r="Q842" s="36" t="n"/>
    </row>
    <row r="843">
      <c r="C843" s="36" t="n"/>
      <c r="D843" s="36" t="n"/>
      <c r="E843" s="66" t="n"/>
      <c r="F843" s="36" t="n"/>
      <c r="G843" s="36" t="n"/>
      <c r="H843" s="30" t="n"/>
      <c r="I843" s="30" t="n"/>
      <c r="J843" s="31">
        <f>IF(H843="","",H843-I843)</f>
        <v/>
      </c>
      <c r="K843" s="43" t="n"/>
      <c r="L843" s="32">
        <f>IF(OR(K843="",$F843=""),"",DATE(YEAR(K843),MONTH(K843)+VLOOKUP($F843,'Membership Level'!$A$3:$B$15,2,FALSE),DAY(K843)))</f>
        <v/>
      </c>
      <c r="M843" s="36" t="n"/>
      <c r="N843" s="34">
        <f>IF($L843="","",DATE(YEAR($L843),MONTH($L843),DAY($L843)-$M843))</f>
        <v/>
      </c>
      <c r="O843" s="33">
        <f>IF($L843="","",IF(DAYS360(NOW(),$L843)&gt;=0,DAYS360(NOW(),$L843),""))</f>
        <v/>
      </c>
      <c r="P843" s="34">
        <f>IF(OR(H843="",H843=0,F843="",K843=""),"",I843/H843*VLOOKUP(F843,'Membership Level'!$A$3:$C$15,3,FALSE)+K843)</f>
        <v/>
      </c>
      <c r="Q843" s="36" t="n"/>
    </row>
    <row r="844">
      <c r="C844" s="36" t="n"/>
      <c r="D844" s="36" t="n"/>
      <c r="E844" s="36" t="n"/>
      <c r="F844" s="36" t="n"/>
      <c r="G844" s="36" t="n"/>
      <c r="H844" s="30" t="n"/>
      <c r="I844" s="30" t="n"/>
      <c r="J844" s="31">
        <f>IF(H844="","",H844-I844)</f>
        <v/>
      </c>
      <c r="K844" s="43" t="n"/>
      <c r="L844" s="32">
        <f>IF(OR(K844="",$F844=""),"",DATE(YEAR(K844),MONTH(K844)+VLOOKUP($F844,'Membership Level'!$A$3:$B$15,2,FALSE),DAY(K844)))</f>
        <v/>
      </c>
      <c r="M844" s="36" t="n"/>
      <c r="N844" s="34">
        <f>IF($L844="","",DATE(YEAR($L844),MONTH($L844),DAY($L844)-$M844))</f>
        <v/>
      </c>
      <c r="O844" s="33">
        <f>IF($L844="","",IF(DAYS360(NOW(),$L844)&gt;=0,DAYS360(NOW(),$L844),""))</f>
        <v/>
      </c>
      <c r="P844" s="34">
        <f>IF(OR(H844="",H844=0,F844="",K844=""),"",I844/H844*VLOOKUP(F844,'Membership Level'!$A$3:$C$15,3,FALSE)+K844)</f>
        <v/>
      </c>
      <c r="Q844" s="36" t="n"/>
    </row>
    <row r="845">
      <c r="C845" s="36" t="n"/>
      <c r="D845" s="36" t="n"/>
      <c r="E845" s="36" t="n"/>
      <c r="F845" s="33" t="n"/>
      <c r="G845" s="36" t="n"/>
      <c r="H845" s="30" t="n"/>
      <c r="I845" s="30" t="n"/>
      <c r="J845" s="31">
        <f>IF(H845="","",H845-I845)</f>
        <v/>
      </c>
      <c r="K845" s="43" t="n"/>
      <c r="L845" s="32">
        <f>IF(OR(K845="",$F845=""),"",DATE(YEAR(K845),MONTH(K845)+VLOOKUP($F845,'Membership Level'!$A$3:$B$15,2,FALSE),DAY(K845)))</f>
        <v/>
      </c>
      <c r="M845" s="36" t="n"/>
      <c r="N845" s="34">
        <f>IF($L845="","",DATE(YEAR($L845),MONTH($L845),DAY($L845)-$M845))</f>
        <v/>
      </c>
      <c r="O845" s="33">
        <f>IF($L845="","",IF(DAYS360(NOW(),$L845)&gt;=0,DAYS360(NOW(),$L845),""))</f>
        <v/>
      </c>
      <c r="P845" s="34">
        <f>IF(OR(H845="",H845=0,F845="",K845=""),"",I845/H845*VLOOKUP(F845,'Membership Level'!$A$3:$C$15,3,FALSE)+K845)</f>
        <v/>
      </c>
      <c r="Q845" s="36" t="n"/>
    </row>
    <row r="846">
      <c r="C846" s="36" t="n"/>
      <c r="D846" s="36" t="n"/>
      <c r="E846" s="66" t="n"/>
      <c r="F846" s="36" t="n"/>
      <c r="G846" s="36" t="n"/>
      <c r="H846" s="30" t="n"/>
      <c r="I846" s="30" t="n"/>
      <c r="J846" s="31">
        <f>IF(H846="","",H846-I846)</f>
        <v/>
      </c>
      <c r="K846" s="43" t="n"/>
      <c r="L846" s="32">
        <f>IF(OR(K846="",$F846=""),"",DATE(YEAR(K846),MONTH(K846)+VLOOKUP($F846,'Membership Level'!$A$3:$B$15,2,FALSE),DAY(K846)))</f>
        <v/>
      </c>
      <c r="M846" s="36" t="n"/>
      <c r="N846" s="34">
        <f>IF($L846="","",DATE(YEAR($L846),MONTH($L846),DAY($L846)-$M846))</f>
        <v/>
      </c>
      <c r="O846" s="33">
        <f>IF($L846="","",IF(DAYS360(NOW(),$L846)&gt;=0,DAYS360(NOW(),$L846),""))</f>
        <v/>
      </c>
      <c r="P846" s="34">
        <f>IF(OR(H846="",H846=0,F846="",K846=""),"",I846/H846*VLOOKUP(F846,'Membership Level'!$A$3:$C$15,3,FALSE)+K846)</f>
        <v/>
      </c>
      <c r="Q846" s="36" t="n"/>
    </row>
    <row r="847" customFormat="1" s="22">
      <c r="C847" s="33" t="n"/>
      <c r="D847" s="33" t="n"/>
      <c r="E847" s="36" t="n"/>
      <c r="F847" s="36" t="n"/>
      <c r="G847" s="33" t="n"/>
      <c r="H847" s="44" t="n"/>
      <c r="I847" s="44" t="n"/>
      <c r="J847" s="31">
        <f>IF(H847="","",H847-I847)</f>
        <v/>
      </c>
      <c r="K847" s="32" t="n"/>
      <c r="L847" s="32">
        <f>IF(OR(K847="",$F847=""),"",DATE(YEAR(K847),MONTH(K847)+VLOOKUP($F847,'Membership Level'!$A$3:$B$15,2,FALSE),DAY(K847)))</f>
        <v/>
      </c>
      <c r="M847" s="33" t="n"/>
      <c r="N847" s="34">
        <f>IF($L847="","",DATE(YEAR($L847),MONTH($L847),DAY($L847)-$M847))</f>
        <v/>
      </c>
      <c r="O847" s="33">
        <f>IF($L847="","",IF(DAYS360(NOW(),$L847)&gt;=0,DAYS360(NOW(),$L847),""))</f>
        <v/>
      </c>
      <c r="P847" s="34">
        <f>IF(OR(H847="",H847=0,F847="",K847=""),"",I847/H847*VLOOKUP(F847,'Membership Level'!$A$3:$C$15,3,FALSE)+K847)</f>
        <v/>
      </c>
      <c r="Q847" s="33" t="n"/>
    </row>
    <row r="848">
      <c r="C848" s="36" t="n"/>
      <c r="D848" s="36" t="n"/>
      <c r="E848" s="66" t="n"/>
      <c r="F848" s="36" t="n"/>
      <c r="G848" s="36" t="n"/>
      <c r="H848" s="30" t="n"/>
      <c r="I848" s="30" t="n"/>
      <c r="J848" s="31">
        <f>IF(H848="","",H848-I848)</f>
        <v/>
      </c>
      <c r="K848" s="43" t="n"/>
      <c r="L848" s="32">
        <f>IF(OR(K848="",$F848=""),"",DATE(YEAR(K848),MONTH(K848)+VLOOKUP($F848,'Membership Level'!$A$3:$B$15,2,FALSE),DAY(K848)))</f>
        <v/>
      </c>
      <c r="M848" s="36" t="n"/>
      <c r="N848" s="34">
        <f>IF($L848="","",DATE(YEAR($L848),MONTH($L848),DAY($L848)-$M848))</f>
        <v/>
      </c>
      <c r="O848" s="33">
        <f>IF($L848="","",IF(DAYS360(NOW(),$L848)&gt;=0,DAYS360(NOW(),$L848),""))</f>
        <v/>
      </c>
      <c r="P848" s="34">
        <f>IF(OR(H848="",H848=0,F848="",K848=""),"",I848/H848*VLOOKUP(F848,'Membership Level'!$A$3:$C$15,3,FALSE)+K848)</f>
        <v/>
      </c>
      <c r="Q848" s="36" t="n"/>
    </row>
    <row r="849">
      <c r="C849" s="36" t="n"/>
      <c r="D849" s="36" t="n"/>
      <c r="E849" s="36" t="n"/>
      <c r="F849" s="36" t="n"/>
      <c r="G849" s="36" t="n"/>
      <c r="H849" s="30" t="n"/>
      <c r="I849" s="30" t="n"/>
      <c r="J849" s="31">
        <f>IF(H849="","",H849-I849)</f>
        <v/>
      </c>
      <c r="K849" s="43" t="n"/>
      <c r="L849" s="32">
        <f>IF(OR(K849="",$F849=""),"",DATE(YEAR(K849),MONTH(K849)+VLOOKUP($F849,'Membership Level'!$A$3:$B$15,2,FALSE),DAY(K849)))</f>
        <v/>
      </c>
      <c r="M849" s="36" t="n"/>
      <c r="N849" s="34">
        <f>IF($L849="","",DATE(YEAR($L849),MONTH($L849),DAY($L849)-$M849))</f>
        <v/>
      </c>
      <c r="O849" s="33">
        <f>IF($L849="","",IF(DAYS360(NOW(),$L849)&gt;=0,DAYS360(NOW(),$L849),""))</f>
        <v/>
      </c>
      <c r="P849" s="34">
        <f>IF(OR(H849="",H849=0,F849="",K849=""),"",I849/H849*VLOOKUP(F849,'Membership Level'!$A$3:$C$15,3,FALSE)+K849)</f>
        <v/>
      </c>
      <c r="Q849" s="36" t="n"/>
    </row>
    <row r="850">
      <c r="C850" s="36" t="n"/>
      <c r="D850" s="36" t="n"/>
      <c r="E850" s="36" t="n"/>
      <c r="F850" s="36" t="n"/>
      <c r="G850" s="36" t="n"/>
      <c r="H850" s="30" t="n"/>
      <c r="I850" s="30" t="n"/>
      <c r="J850" s="31">
        <f>IF(H850="","",H850-I850)</f>
        <v/>
      </c>
      <c r="K850" s="43" t="n"/>
      <c r="L850" s="32">
        <f>IF(OR(K850="",$F850=""),"",DATE(YEAR(K850),MONTH(K850)+VLOOKUP($F850,'Membership Level'!$A$3:$B$15,2,FALSE),DAY(K850)))</f>
        <v/>
      </c>
      <c r="M850" s="36" t="n"/>
      <c r="N850" s="34">
        <f>IF($L850="","",DATE(YEAR($L850),MONTH($L850),DAY($L850)-$M850))</f>
        <v/>
      </c>
      <c r="O850" s="33">
        <f>IF($L850="","",IF(DAYS360(NOW(),$L850)&gt;=0,DAYS360(NOW(),$L850),""))</f>
        <v/>
      </c>
      <c r="P850" s="34">
        <f>IF(OR(H850="",H850=0,F850="",K850=""),"",I850/H850*VLOOKUP(F850,'Membership Level'!$A$3:$C$15,3,FALSE)+K850)</f>
        <v/>
      </c>
      <c r="Q850" s="36" t="n"/>
    </row>
    <row r="851">
      <c r="C851" s="36" t="n"/>
      <c r="D851" s="36" t="n"/>
      <c r="E851" s="36" t="n"/>
      <c r="F851" s="36" t="n"/>
      <c r="G851" s="36" t="n"/>
      <c r="H851" s="30" t="n"/>
      <c r="I851" s="30" t="n"/>
      <c r="J851" s="31">
        <f>IF(H851="","",H851-I851)</f>
        <v/>
      </c>
      <c r="K851" s="43" t="n"/>
      <c r="L851" s="32">
        <f>IF(OR(K851="",$F851=""),"",DATE(YEAR(K851),MONTH(K851)+VLOOKUP($F851,'Membership Level'!$A$3:$B$15,2,FALSE),DAY(K851)))</f>
        <v/>
      </c>
      <c r="M851" s="36" t="n"/>
      <c r="N851" s="34">
        <f>IF($L851="","",DATE(YEAR($L851),MONTH($L851),DAY($L851)-$M851))</f>
        <v/>
      </c>
      <c r="O851" s="33">
        <f>IF($L851="","",IF(DAYS360(NOW(),$L851)&gt;=0,DAYS360(NOW(),$L851),""))</f>
        <v/>
      </c>
      <c r="P851" s="34">
        <f>IF(OR(H851="",H851=0,F851="",K851=""),"",I851/H851*VLOOKUP(F851,'Membership Level'!$A$3:$C$15,3,FALSE)+K851)</f>
        <v/>
      </c>
      <c r="Q851" s="36" t="n"/>
    </row>
    <row r="852">
      <c r="C852" s="36" t="n"/>
      <c r="D852" s="36" t="n"/>
      <c r="E852" s="36" t="n"/>
      <c r="F852" s="36" t="n"/>
      <c r="G852" s="36" t="n"/>
      <c r="H852" s="30" t="n"/>
      <c r="I852" s="30" t="n"/>
      <c r="J852" s="31">
        <f>IF(H852="","",H852-I852)</f>
        <v/>
      </c>
      <c r="K852" s="43" t="n"/>
      <c r="L852" s="32">
        <f>IF(OR(K852="",$F852=""),"",DATE(YEAR(K852),MONTH(K852)+VLOOKUP($F852,'Membership Level'!$A$3:$B$15,2,FALSE),DAY(K852)))</f>
        <v/>
      </c>
      <c r="M852" s="36" t="n"/>
      <c r="N852" s="34">
        <f>IF($L852="","",DATE(YEAR($L852),MONTH($L852),DAY($L852)-$M852))</f>
        <v/>
      </c>
      <c r="O852" s="33">
        <f>IF($L852="","",IF(DAYS360(NOW(),$L852)&gt;=0,DAYS360(NOW(),$L852),""))</f>
        <v/>
      </c>
      <c r="P852" s="34">
        <f>IF(OR(H852="",H852=0,F852="",K852=""),"",I852/H852*VLOOKUP(F852,'Membership Level'!$A$3:$C$15,3,FALSE)+K852)</f>
        <v/>
      </c>
      <c r="Q852" s="36" t="n"/>
    </row>
    <row r="853">
      <c r="C853" s="36" t="n"/>
      <c r="D853" s="36" t="n"/>
      <c r="E853" s="36" t="n"/>
      <c r="F853" s="36" t="n"/>
      <c r="G853" s="36" t="n"/>
      <c r="H853" s="30" t="n"/>
      <c r="I853" s="30" t="n"/>
      <c r="J853" s="31">
        <f>IF(H853="","",H853-I853)</f>
        <v/>
      </c>
      <c r="K853" s="43" t="n"/>
      <c r="L853" s="32">
        <f>IF(OR(K853="",$F853=""),"",DATE(YEAR(K853),MONTH(K853)+VLOOKUP($F853,'Membership Level'!$A$3:$B$15,2,FALSE),DAY(K853)))</f>
        <v/>
      </c>
      <c r="M853" s="36" t="n"/>
      <c r="N853" s="34">
        <f>IF($L853="","",DATE(YEAR($L853),MONTH($L853),DAY($L853)-$M853))</f>
        <v/>
      </c>
      <c r="O853" s="33">
        <f>IF($L853="","",IF(DAYS360(NOW(),$L853)&gt;=0,DAYS360(NOW(),$L853),""))</f>
        <v/>
      </c>
      <c r="P853" s="34">
        <f>IF(OR(H853="",H853=0,F853="",K853=""),"",I853/H853*VLOOKUP(F853,'Membership Level'!$A$3:$C$15,3,FALSE)+K853)</f>
        <v/>
      </c>
      <c r="Q853" s="36" t="n"/>
    </row>
    <row r="854">
      <c r="C854" s="36" t="n"/>
      <c r="D854" s="36" t="n"/>
      <c r="E854" s="35" t="n"/>
      <c r="F854" s="36" t="n"/>
      <c r="G854" s="36" t="n"/>
      <c r="H854" s="30" t="n"/>
      <c r="I854" s="30" t="n"/>
      <c r="J854" s="31">
        <f>IF(H854="","",H854-I854)</f>
        <v/>
      </c>
      <c r="K854" s="43" t="n"/>
      <c r="L854" s="32">
        <f>IF(OR(K854="",$F854=""),"",DATE(YEAR(K854),MONTH(K854)+VLOOKUP($F854,'Membership Level'!$A$3:$B$15,2,FALSE),DAY(K854)))</f>
        <v/>
      </c>
      <c r="M854" s="36" t="n"/>
      <c r="N854" s="34">
        <f>IF($L854="","",DATE(YEAR($L854),MONTH($L854),DAY($L854)-$M854))</f>
        <v/>
      </c>
      <c r="O854" s="33">
        <f>IF($L854="","",IF(DAYS360(NOW(),$L854)&gt;=0,DAYS360(NOW(),$L854),""))</f>
        <v/>
      </c>
      <c r="P854" s="34">
        <f>IF(OR(H854="",H854=0,F854="",K854=""),"",I854/H854*VLOOKUP(F854,'Membership Level'!$A$3:$C$15,3,FALSE)+K854)</f>
        <v/>
      </c>
      <c r="Q854" s="36" t="n"/>
    </row>
    <row r="855">
      <c r="C855" s="36" t="n"/>
      <c r="D855" s="36" t="n"/>
      <c r="E855" s="66" t="n"/>
      <c r="F855" s="36" t="n"/>
      <c r="G855" s="36" t="n"/>
      <c r="H855" s="30" t="n"/>
      <c r="I855" s="30" t="n"/>
      <c r="J855" s="31">
        <f>IF(H855="","",H855-I855)</f>
        <v/>
      </c>
      <c r="K855" s="43" t="n"/>
      <c r="L855" s="32">
        <f>IF(OR(K855="",$F855=""),"",DATE(YEAR(K855),MONTH(K855)+VLOOKUP($F855,'Membership Level'!$A$3:$B$15,2,FALSE),DAY(K855)))</f>
        <v/>
      </c>
      <c r="M855" s="36" t="n"/>
      <c r="N855" s="34">
        <f>IF($L855="","",DATE(YEAR($L855),MONTH($L855),DAY($L855)-$M855))</f>
        <v/>
      </c>
      <c r="O855" s="33">
        <f>IF($L855="","",IF(DAYS360(NOW(),$L855)&gt;=0,DAYS360(NOW(),$L855),""))</f>
        <v/>
      </c>
      <c r="P855" s="34">
        <f>IF(OR(H855="",H855=0,F855="",K855=""),"",I855/H855*VLOOKUP(F855,'Membership Level'!$A$3:$C$15,3,FALSE)+K855)</f>
        <v/>
      </c>
      <c r="Q855" s="36" t="n"/>
    </row>
    <row r="856">
      <c r="C856" s="36" t="n"/>
      <c r="D856" s="36" t="n"/>
      <c r="E856" s="66" t="n"/>
      <c r="F856" s="36" t="n"/>
      <c r="G856" s="36" t="n"/>
      <c r="H856" s="30" t="n"/>
      <c r="I856" s="30" t="n"/>
      <c r="J856" s="31">
        <f>IF(H856="","",H856-I856)</f>
        <v/>
      </c>
      <c r="K856" s="43" t="n"/>
      <c r="L856" s="32">
        <f>IF(OR(K856="",$F856=""),"",DATE(YEAR(K856),MONTH(K856)+VLOOKUP($F856,'Membership Level'!$A$3:$B$15,2,FALSE),DAY(K856)))</f>
        <v/>
      </c>
      <c r="M856" s="36" t="n"/>
      <c r="N856" s="34">
        <f>IF($L856="","",DATE(YEAR($L856),MONTH($L856),DAY($L856)-$M856))</f>
        <v/>
      </c>
      <c r="O856" s="33">
        <f>IF($L856="","",IF(DAYS360(NOW(),$L856)&gt;=0,DAYS360(NOW(),$L856),""))</f>
        <v/>
      </c>
      <c r="P856" s="34">
        <f>IF(OR(H856="",H856=0,F856="",K856=""),"",I856/H856*VLOOKUP(F856,'Membership Level'!$A$3:$C$15,3,FALSE)+K856)</f>
        <v/>
      </c>
      <c r="Q856" s="36" t="n"/>
    </row>
    <row r="857">
      <c r="C857" s="36" t="n"/>
      <c r="D857" s="36" t="n"/>
      <c r="E857" s="36" t="n"/>
      <c r="F857" s="33" t="n"/>
      <c r="G857" s="36" t="n"/>
      <c r="H857" s="30" t="n"/>
      <c r="I857" s="30" t="n"/>
      <c r="J857" s="31">
        <f>IF(H857="","",H857-I857)</f>
        <v/>
      </c>
      <c r="K857" s="43" t="n"/>
      <c r="L857" s="32">
        <f>IF(OR(K857="",$F857=""),"",DATE(YEAR(K857),MONTH(K857)+VLOOKUP($F857,'Membership Level'!$A$3:$B$15,2,FALSE),DAY(K857)))</f>
        <v/>
      </c>
      <c r="M857" s="36" t="n"/>
      <c r="N857" s="34">
        <f>IF($L857="","",DATE(YEAR($L857),MONTH($L857),DAY($L857)-$M857))</f>
        <v/>
      </c>
      <c r="O857" s="33">
        <f>IF($L857="","",IF(DAYS360(NOW(),$L857)&gt;=0,DAYS360(NOW(),$L857),""))</f>
        <v/>
      </c>
      <c r="P857" s="34">
        <f>IF(OR(H857="",H857=0,F857="",K857=""),"",I857/H857*VLOOKUP(F857,'Membership Level'!$A$3:$C$15,3,FALSE)+K857)</f>
        <v/>
      </c>
      <c r="Q857" s="36" t="inlineStr">
        <is>
          <t>next mionths</t>
        </is>
      </c>
    </row>
    <row r="858">
      <c r="C858" s="36" t="n"/>
      <c r="D858" s="36" t="n"/>
      <c r="E858" s="66" t="n"/>
      <c r="F858" s="36" t="n"/>
      <c r="G858" s="36" t="n"/>
      <c r="H858" s="30" t="n"/>
      <c r="I858" s="30" t="n"/>
      <c r="J858" s="31">
        <f>IF(H858="","",H858-I858)</f>
        <v/>
      </c>
      <c r="K858" s="43" t="n"/>
      <c r="L858" s="32">
        <f>IF(OR(K858="",$F858=""),"",DATE(YEAR(K858),MONTH(K858)+VLOOKUP($F858,'Membership Level'!$A$3:$B$15,2,FALSE),DAY(K858)))</f>
        <v/>
      </c>
      <c r="M858" s="36" t="n"/>
      <c r="N858" s="34">
        <f>IF($L858="","",DATE(YEAR($L858),MONTH($L858),DAY($L858)-$M858))</f>
        <v/>
      </c>
      <c r="O858" s="33">
        <f>IF($L858="","",IF(DAYS360(NOW(),$L858)&gt;=0,DAYS360(NOW(),$L858),""))</f>
        <v/>
      </c>
      <c r="P858" s="34">
        <f>IF(OR(H858="",H858=0,F858="",K858=""),"",I858/H858*VLOOKUP(F858,'Membership Level'!$A$3:$C$15,3,FALSE)+K858)</f>
        <v/>
      </c>
      <c r="Q858" s="36" t="n"/>
    </row>
    <row r="859" customFormat="1" s="22">
      <c r="C859" s="33" t="n"/>
      <c r="D859" s="33" t="n"/>
      <c r="E859" s="66" t="n"/>
      <c r="F859" s="36" t="n"/>
      <c r="G859" s="33" t="n"/>
      <c r="H859" s="44" t="n"/>
      <c r="I859" s="30" t="n"/>
      <c r="J859" s="31">
        <f>IF(H859="","",H859-I859)</f>
        <v/>
      </c>
      <c r="K859" s="32" t="n"/>
      <c r="L859" s="32">
        <f>IF(OR(K859="",$F859=""),"",DATE(YEAR(K859),MONTH(K859)+VLOOKUP($F859,'Membership Level'!$A$3:$B$15,2,FALSE),DAY(K859)))</f>
        <v/>
      </c>
      <c r="M859" s="33" t="n"/>
      <c r="N859" s="34">
        <f>IF($L859="","",DATE(YEAR($L859),MONTH($L859),DAY($L859)-$M859))</f>
        <v/>
      </c>
      <c r="O859" s="33">
        <f>IF($L859="","",IF(DAYS360(NOW(),$L859)&gt;=0,DAYS360(NOW(),$L859),""))</f>
        <v/>
      </c>
      <c r="P859" s="34">
        <f>IF(OR(H859="",H859=0,F859="",K859=""),"",I859/H859*VLOOKUP(F859,'Membership Level'!$A$3:$C$15,3,FALSE)+K859)</f>
        <v/>
      </c>
      <c r="Q859" s="33" t="n"/>
    </row>
    <row r="860">
      <c r="C860" s="36" t="n"/>
      <c r="D860" s="36" t="n"/>
      <c r="E860" s="36" t="n"/>
      <c r="F860" s="36" t="n"/>
      <c r="G860" s="36" t="n"/>
      <c r="H860" s="30" t="n"/>
      <c r="I860" s="30" t="n"/>
      <c r="J860" s="31">
        <f>IF(H860="","",H860-I860)</f>
        <v/>
      </c>
      <c r="K860" s="43" t="n"/>
      <c r="L860" s="32">
        <f>IF(OR(K860="",$F860=""),"",DATE(YEAR(K860),MONTH(K860)+VLOOKUP($F860,'Membership Level'!$A$3:$B$15,2,FALSE),DAY(K860)))</f>
        <v/>
      </c>
      <c r="M860" s="36" t="n"/>
      <c r="N860" s="34">
        <f>IF($L860="","",DATE(YEAR($L860),MONTH($L860),DAY($L860)-$M860))</f>
        <v/>
      </c>
      <c r="O860" s="33">
        <f>IF($L860="","",IF(DAYS360(NOW(),$L860)&gt;=0,DAYS360(NOW(),$L860),""))</f>
        <v/>
      </c>
      <c r="P860" s="34">
        <f>IF(OR(H860="",H860=0,F860="",K860=""),"",I860/H860*VLOOKUP(F860,'Membership Level'!$A$3:$C$15,3,FALSE)+K860)</f>
        <v/>
      </c>
      <c r="Q860" s="36" t="n"/>
    </row>
    <row r="861">
      <c r="C861" s="36" t="n"/>
      <c r="D861" s="36" t="n"/>
      <c r="E861" s="36" t="n"/>
      <c r="F861" s="36" t="n"/>
      <c r="G861" s="36" t="n"/>
      <c r="H861" s="30" t="n"/>
      <c r="I861" s="30" t="n"/>
      <c r="J861" s="31">
        <f>IF(H861="","",H861-I861)</f>
        <v/>
      </c>
      <c r="K861" s="43" t="n"/>
      <c r="L861" s="32">
        <f>IF(OR(K861="",$F861=""),"",DATE(YEAR(K861),MONTH(K861)+VLOOKUP($F861,'Membership Level'!$A$3:$B$15,2,FALSE),DAY(K861)))</f>
        <v/>
      </c>
      <c r="M861" s="36" t="n"/>
      <c r="N861" s="34">
        <f>IF($L861="","",DATE(YEAR($L861),MONTH($L861),DAY($L861)-$M861))</f>
        <v/>
      </c>
      <c r="O861" s="33">
        <f>IF($L861="","",IF(DAYS360(NOW(),$L861)&gt;=0,DAYS360(NOW(),$L861),""))</f>
        <v/>
      </c>
      <c r="P861" s="34">
        <f>IF(OR(H861="",H861=0,F861="",K861=""),"",I861/H861*VLOOKUP(F861,'Membership Level'!$A$3:$C$15,3,FALSE)+K861)</f>
        <v/>
      </c>
      <c r="Q861" s="36" t="n"/>
    </row>
    <row r="862">
      <c r="C862" s="36" t="n"/>
      <c r="D862" s="36" t="n"/>
      <c r="E862" s="66" t="n"/>
      <c r="F862" s="36" t="n"/>
      <c r="G862" s="36" t="n"/>
      <c r="H862" s="30" t="n"/>
      <c r="I862" s="30" t="n"/>
      <c r="J862" s="31">
        <f>IF(H862="","",H862-I862)</f>
        <v/>
      </c>
      <c r="K862" s="43" t="n"/>
      <c r="L862" s="32">
        <f>IF(OR(K862="",$F862=""),"",DATE(YEAR(K862),MONTH(K862)+VLOOKUP($F862,'Membership Level'!$A$3:$B$15,2,FALSE),DAY(K862)))</f>
        <v/>
      </c>
      <c r="M862" s="36" t="n"/>
      <c r="N862" s="34">
        <f>IF($L862="","",DATE(YEAR($L862),MONTH($L862),DAY($L862)-$M862))</f>
        <v/>
      </c>
      <c r="O862" s="33">
        <f>IF($L862="","",IF(DAYS360(NOW(),$L862)&gt;=0,DAYS360(NOW(),$L862),""))</f>
        <v/>
      </c>
      <c r="P862" s="34">
        <f>IF(OR(H862="",H862=0,F862="",K862=""),"",I862/H862*VLOOKUP(F862,'Membership Level'!$A$3:$C$15,3,FALSE)+K862)</f>
        <v/>
      </c>
      <c r="Q862" s="36" t="n"/>
    </row>
    <row r="863">
      <c r="C863" s="36" t="n"/>
      <c r="D863" s="36" t="n"/>
      <c r="E863" s="66" t="n"/>
      <c r="F863" s="36" t="n"/>
      <c r="G863" s="36" t="n"/>
      <c r="H863" s="30" t="n"/>
      <c r="I863" s="30" t="n"/>
      <c r="J863" s="31">
        <f>IF(H863="","",H863-I863)</f>
        <v/>
      </c>
      <c r="K863" s="43" t="n"/>
      <c r="L863" s="32">
        <f>IF(OR(K863="",$F863=""),"",DATE(YEAR(K863),MONTH(K863)+VLOOKUP($F863,'Membership Level'!$A$3:$B$15,2,FALSE),DAY(K863)))</f>
        <v/>
      </c>
      <c r="M863" s="36" t="n"/>
      <c r="N863" s="34">
        <f>IF($L863="","",DATE(YEAR($L863),MONTH($L863),DAY($L863)-$M863))</f>
        <v/>
      </c>
      <c r="O863" s="33">
        <f>IF($L863="","",IF(DAYS360(NOW(),$L863)&gt;=0,DAYS360(NOW(),$L863),""))</f>
        <v/>
      </c>
      <c r="P863" s="34">
        <f>IF(OR(H863="",H863=0,F863="",K863=""),"",I863/H863*VLOOKUP(F863,'Membership Level'!$A$3:$C$15,3,FALSE)+K863)</f>
        <v/>
      </c>
      <c r="Q863" s="36" t="n"/>
    </row>
    <row r="864">
      <c r="C864" s="36" t="n"/>
      <c r="D864" s="36" t="n"/>
      <c r="E864" s="35" t="n"/>
      <c r="F864" s="36" t="n"/>
      <c r="G864" s="36" t="n"/>
      <c r="H864" s="30" t="n"/>
      <c r="I864" s="30" t="n"/>
      <c r="J864" s="31">
        <f>IF(H864="","",H864-I864)</f>
        <v/>
      </c>
      <c r="K864" s="43" t="n"/>
      <c r="L864" s="32">
        <f>IF(OR(K864="",$F864=""),"",DATE(YEAR(K864),MONTH(K864)+VLOOKUP($F864,'Membership Level'!$A$3:$B$15,2,FALSE),DAY(K864)))</f>
        <v/>
      </c>
      <c r="M864" s="36" t="n"/>
      <c r="N864" s="34">
        <f>IF($L864="","",DATE(YEAR($L864),MONTH($L864),DAY($L864)-$M864))</f>
        <v/>
      </c>
      <c r="O864" s="33">
        <f>IF($L864="","",IF(DAYS360(NOW(),$L864)&gt;=0,DAYS360(NOW(),$L864),""))</f>
        <v/>
      </c>
      <c r="P864" s="34">
        <f>IF(OR(H864="",H864=0,F864="",K864=""),"",I864/H864*VLOOKUP(F864,'Membership Level'!$A$3:$C$15,3,FALSE)+K864)</f>
        <v/>
      </c>
      <c r="Q864" s="36" t="n"/>
    </row>
    <row r="865">
      <c r="C865" s="36" t="n"/>
      <c r="D865" s="36" t="n"/>
      <c r="E865" s="66" t="n"/>
      <c r="F865" s="36" t="n"/>
      <c r="G865" s="36" t="n"/>
      <c r="H865" s="30" t="n"/>
      <c r="I865" s="30" t="n"/>
      <c r="J865" s="31">
        <f>IF(H865="","",H865-I865)</f>
        <v/>
      </c>
      <c r="K865" s="43" t="n"/>
      <c r="L865" s="32">
        <f>IF(OR(K865="",$F865=""),"",DATE(YEAR(K865),MONTH(K865)+VLOOKUP($F865,'Membership Level'!$A$3:$B$15,2,FALSE),DAY(K865)))</f>
        <v/>
      </c>
      <c r="M865" s="36" t="n"/>
      <c r="N865" s="34">
        <f>IF($L865="","",DATE(YEAR($L865),MONTH($L865),DAY($L865)-$M865))</f>
        <v/>
      </c>
      <c r="O865" s="33">
        <f>IF($L865="","",IF(DAYS360(NOW(),$L865)&gt;=0,DAYS360(NOW(),$L865),""))</f>
        <v/>
      </c>
      <c r="P865" s="34">
        <f>IF(OR(H865="",H865=0,F865="",K865=""),"",I865/H865*VLOOKUP(F865,'Membership Level'!$A$3:$C$15,3,FALSE)+K865)</f>
        <v/>
      </c>
      <c r="Q865" s="36" t="n"/>
    </row>
    <row r="866">
      <c r="C866" s="36" t="n"/>
      <c r="D866" s="36" t="n"/>
      <c r="E866" s="36" t="n"/>
      <c r="F866" s="36" t="n"/>
      <c r="G866" s="36" t="n"/>
      <c r="H866" s="30" t="n"/>
      <c r="I866" s="30" t="n"/>
      <c r="J866" s="31">
        <f>IF(H866="","",H866-I866)</f>
        <v/>
      </c>
      <c r="K866" s="43" t="n"/>
      <c r="L866" s="32">
        <f>IF(OR(K866="",$F866=""),"",DATE(YEAR(K866),MONTH(K866)+VLOOKUP($F866,'Membership Level'!$A$3:$B$15,2,FALSE),DAY(K866)))</f>
        <v/>
      </c>
      <c r="M866" s="36" t="n"/>
      <c r="N866" s="34">
        <f>IF($L866="","",DATE(YEAR($L866),MONTH($L866),DAY($L866)-$M866))</f>
        <v/>
      </c>
      <c r="O866" s="33">
        <f>IF($L866="","",IF(DAYS360(NOW(),$L866)&gt;=0,DAYS360(NOW(),$L866),""))</f>
        <v/>
      </c>
      <c r="P866" s="34">
        <f>IF(OR(H866="",H866=0,F866="",K866=""),"",I866/H866*VLOOKUP(F866,'Membership Level'!$A$3:$C$15,3,FALSE)+K866)</f>
        <v/>
      </c>
      <c r="Q866" s="36" t="n"/>
    </row>
    <row r="867">
      <c r="C867" s="36" t="n"/>
      <c r="D867" s="36" t="n"/>
      <c r="E867" s="35" t="n"/>
      <c r="F867" s="36" t="n"/>
      <c r="G867" s="36" t="n"/>
      <c r="H867" s="30" t="n"/>
      <c r="I867" s="30" t="n"/>
      <c r="J867" s="31">
        <f>IF(H867="","",H867-I867)</f>
        <v/>
      </c>
      <c r="K867" s="43" t="n"/>
      <c r="L867" s="32">
        <f>IF(OR(K867="",$F867=""),"",DATE(YEAR(K867),MONTH(K867)+VLOOKUP($F867,'Membership Level'!$A$3:$B$15,2,FALSE),DAY(K867)))</f>
        <v/>
      </c>
      <c r="M867" s="36" t="n"/>
      <c r="N867" s="34">
        <f>IF($L867="","",DATE(YEAR($L867),MONTH($L867),DAY($L867)-$M867))</f>
        <v/>
      </c>
      <c r="O867" s="33">
        <f>IF($L867="","",IF(DAYS360(NOW(),$L867)&gt;=0,DAYS360(NOW(),$L867),""))</f>
        <v/>
      </c>
      <c r="P867" s="34">
        <f>IF(OR(H867="",H867=0,F867="",K867=""),"",I867/H867*VLOOKUP(F867,'Membership Level'!$A$3:$C$15,3,FALSE)+K867)</f>
        <v/>
      </c>
      <c r="Q867" s="36" t="n"/>
    </row>
    <row r="868">
      <c r="C868" s="36" t="n"/>
      <c r="D868" s="36" t="n"/>
      <c r="E868" s="66" t="n"/>
      <c r="F868" s="36" t="n"/>
      <c r="G868" s="36" t="n"/>
      <c r="H868" s="30" t="n"/>
      <c r="I868" s="30" t="n"/>
      <c r="J868" s="31">
        <f>IF(H868="","",H868-I868)</f>
        <v/>
      </c>
      <c r="K868" s="43" t="n"/>
      <c r="L868" s="32">
        <f>IF(OR(K868="",$F868=""),"",DATE(YEAR(K868),MONTH(K868)+VLOOKUP($F868,'Membership Level'!$A$3:$B$15,2,FALSE),DAY(K868)))</f>
        <v/>
      </c>
      <c r="M868" s="36" t="n"/>
      <c r="N868" s="34">
        <f>IF($L868="","",DATE(YEAR($L868),MONTH($L868),DAY($L868)-$M868))</f>
        <v/>
      </c>
      <c r="O868" s="33">
        <f>IF($L868="","",IF(DAYS360(NOW(),$L868)&gt;=0,DAYS360(NOW(),$L868),""))</f>
        <v/>
      </c>
      <c r="P868" s="34">
        <f>IF(OR(H868="",H868=0,F868="",K868=""),"",I868/H868*VLOOKUP(F868,'Membership Level'!$A$3:$C$15,3,FALSE)+K868)</f>
        <v/>
      </c>
      <c r="Q868" s="36" t="n"/>
    </row>
    <row r="869">
      <c r="C869" s="36" t="n"/>
      <c r="D869" s="36" t="n"/>
      <c r="E869" s="66" t="n"/>
      <c r="F869" s="36" t="n"/>
      <c r="G869" s="36" t="n"/>
      <c r="H869" s="30" t="n"/>
      <c r="I869" s="30" t="n"/>
      <c r="J869" s="31">
        <f>IF(H869="","",H869-I869)</f>
        <v/>
      </c>
      <c r="K869" s="43" t="n"/>
      <c r="L869" s="32">
        <f>IF(OR(K869="",$F869=""),"",DATE(YEAR(K869),MONTH(K869)+VLOOKUP($F869,'Membership Level'!$A$3:$B$15,2,FALSE),DAY(K869)))</f>
        <v/>
      </c>
      <c r="M869" s="36" t="n"/>
      <c r="N869" s="34">
        <f>IF($L869="","",DATE(YEAR($L869),MONTH($L869),DAY($L869)-$M869))</f>
        <v/>
      </c>
      <c r="O869" s="33">
        <f>IF($L869="","",IF(DAYS360(NOW(),$L869)&gt;=0,DAYS360(NOW(),$L869),""))</f>
        <v/>
      </c>
      <c r="P869" s="34">
        <f>IF(OR(H869="",H869=0,F869="",K869=""),"",I869/H869*VLOOKUP(F869,'Membership Level'!$A$3:$C$15,3,FALSE)+K869)</f>
        <v/>
      </c>
      <c r="Q869" s="36" t="n"/>
    </row>
    <row r="870">
      <c r="C870" s="36" t="n"/>
      <c r="D870" s="36" t="n"/>
      <c r="E870" s="66" t="n"/>
      <c r="F870" s="36" t="n"/>
      <c r="G870" s="36" t="n"/>
      <c r="H870" s="30" t="n"/>
      <c r="I870" s="30" t="n"/>
      <c r="J870" s="31">
        <f>IF(H870="","",H870-I870)</f>
        <v/>
      </c>
      <c r="K870" s="43" t="n"/>
      <c r="L870" s="32">
        <f>IF(OR(K870="",$F870=""),"",DATE(YEAR(K870),MONTH(K870)+VLOOKUP($F870,'Membership Level'!$A$3:$B$15,2,FALSE),DAY(K870)))</f>
        <v/>
      </c>
      <c r="M870" s="36" t="n"/>
      <c r="N870" s="34">
        <f>IF($L870="","",DATE(YEAR($L870),MONTH($L870),DAY($L870)-$M870))</f>
        <v/>
      </c>
      <c r="O870" s="33">
        <f>IF($L870="","",IF(DAYS360(NOW(),$L870)&gt;=0,DAYS360(NOW(),$L870),""))</f>
        <v/>
      </c>
      <c r="P870" s="34">
        <f>IF(OR(H870="",H870=0,F870="",K870=""),"",I870/H870*VLOOKUP(F870,'Membership Level'!$A$3:$C$15,3,FALSE)+K870)</f>
        <v/>
      </c>
      <c r="Q870" s="36" t="n"/>
    </row>
    <row r="871">
      <c r="C871" s="36" t="n"/>
      <c r="D871" s="36" t="n"/>
      <c r="E871" s="35" t="n"/>
      <c r="F871" s="36" t="n"/>
      <c r="G871" s="36" t="n"/>
      <c r="H871" s="30" t="n"/>
      <c r="I871" s="30" t="n"/>
      <c r="J871" s="31">
        <f>IF(H871="","",H871-I871)</f>
        <v/>
      </c>
      <c r="K871" s="43" t="n"/>
      <c r="L871" s="32">
        <f>IF(OR(K871="",$F871=""),"",DATE(YEAR(K871),MONTH(K871)+VLOOKUP($F871,'Membership Level'!$A$3:$B$15,2,FALSE),DAY(K871)))</f>
        <v/>
      </c>
      <c r="M871" s="36" t="n"/>
      <c r="N871" s="34">
        <f>IF($L871="","",DATE(YEAR($L871),MONTH($L871),DAY($L871)-$M871))</f>
        <v/>
      </c>
      <c r="O871" s="33">
        <f>IF($L871="","",IF(DAYS360(NOW(),$L871)&gt;=0,DAYS360(NOW(),$L871),""))</f>
        <v/>
      </c>
      <c r="P871" s="34">
        <f>IF(OR(H871="",H871=0,F871="",K871=""),"",I871/H871*VLOOKUP(F871,'Membership Level'!$A$3:$C$15,3,FALSE)+K871)</f>
        <v/>
      </c>
      <c r="Q871" s="36" t="n"/>
    </row>
    <row r="872">
      <c r="C872" s="36" t="n"/>
      <c r="D872" s="36" t="n"/>
      <c r="E872" s="35" t="n"/>
      <c r="F872" s="36" t="n"/>
      <c r="G872" s="36" t="n"/>
      <c r="H872" s="30" t="n"/>
      <c r="I872" s="30" t="n"/>
      <c r="J872" s="31">
        <f>IF(H872="","",H872-I872)</f>
        <v/>
      </c>
      <c r="K872" s="43" t="n"/>
      <c r="L872" s="32">
        <f>IF(OR(K872="",$F872=""),"",DATE(YEAR(K872),MONTH(K872)+VLOOKUP($F872,'Membership Level'!$A$3:$B$15,2,FALSE),DAY(K872)))</f>
        <v/>
      </c>
      <c r="M872" s="36" t="n"/>
      <c r="N872" s="34">
        <f>IF($L872="","",DATE(YEAR($L872),MONTH($L872),DAY($L872)-$M872))</f>
        <v/>
      </c>
      <c r="O872" s="33">
        <f>IF($L872="","",IF(DAYS360(NOW(),$L872)&gt;=0,DAYS360(NOW(),$L872),""))</f>
        <v/>
      </c>
      <c r="P872" s="34">
        <f>IF(OR(H872="",H872=0,F872="",K872=""),"",I872/H872*VLOOKUP(F872,'Membership Level'!$A$3:$C$15,3,FALSE)+K872)</f>
        <v/>
      </c>
      <c r="Q872" s="36" t="n"/>
    </row>
    <row r="873">
      <c r="C873" s="36" t="n"/>
      <c r="D873" s="36" t="n"/>
      <c r="E873" s="35" t="n"/>
      <c r="F873" s="36" t="n"/>
      <c r="G873" s="36" t="n"/>
      <c r="H873" s="30" t="n"/>
      <c r="I873" s="30" t="n"/>
      <c r="J873" s="31">
        <f>IF(H873="","",H873-I873)</f>
        <v/>
      </c>
      <c r="K873" s="43" t="n"/>
      <c r="L873" s="32">
        <f>IF(OR(K873="",$F873=""),"",DATE(YEAR(K873),MONTH(K873)+VLOOKUP($F873,'Membership Level'!$A$3:$B$15,2,FALSE),DAY(K873)))</f>
        <v/>
      </c>
      <c r="M873" s="36" t="n"/>
      <c r="N873" s="34">
        <f>IF($L873="","",DATE(YEAR($L873),MONTH($L873),DAY($L873)-$M873))</f>
        <v/>
      </c>
      <c r="O873" s="33">
        <f>IF($L873="","",IF(DAYS360(NOW(),$L873)&gt;=0,DAYS360(NOW(),$L873),""))</f>
        <v/>
      </c>
      <c r="P873" s="34">
        <f>IF(OR(H873="",H873=0,F873="",K873=""),"",I873/H873*VLOOKUP(F873,'Membership Level'!$A$3:$C$15,3,FALSE)+K873)</f>
        <v/>
      </c>
      <c r="Q873" s="36" t="n"/>
    </row>
    <row r="874">
      <c r="C874" s="36" t="n"/>
      <c r="D874" s="36" t="n"/>
      <c r="E874" s="36" t="n"/>
      <c r="F874" s="36" t="n"/>
      <c r="G874" s="36" t="n"/>
      <c r="H874" s="30" t="n"/>
      <c r="I874" s="30" t="n"/>
      <c r="J874" s="31">
        <f>IF(H874="","",H874-I874)</f>
        <v/>
      </c>
      <c r="K874" s="43" t="n"/>
      <c r="L874" s="32">
        <f>IF(OR(K874="",$F874=""),"",DATE(YEAR(K874),MONTH(K874)+VLOOKUP($F874,'Membership Level'!$A$3:$B$15,2,FALSE),DAY(K874)))</f>
        <v/>
      </c>
      <c r="M874" s="36" t="n"/>
      <c r="N874" s="34">
        <f>IF($L874="","",DATE(YEAR($L874),MONTH($L874),DAY($L874)-$M874))</f>
        <v/>
      </c>
      <c r="O874" s="33">
        <f>IF($L874="","",IF(DAYS360(NOW(),$L874)&gt;=0,DAYS360(NOW(),$L874),""))</f>
        <v/>
      </c>
      <c r="P874" s="34">
        <f>IF(OR(H874="",H874=0,F874="",K874=""),"",I874/H874*VLOOKUP(F874,'Membership Level'!$A$3:$C$15,3,FALSE)+K874)</f>
        <v/>
      </c>
      <c r="Q874" s="36" t="n"/>
    </row>
    <row r="875">
      <c r="C875" s="36" t="n"/>
      <c r="D875" s="36" t="n"/>
      <c r="E875" s="35" t="n"/>
      <c r="F875" s="36" t="n"/>
      <c r="G875" s="36" t="n"/>
      <c r="H875" s="30" t="n"/>
      <c r="I875" s="30" t="n"/>
      <c r="J875" s="31">
        <f>IF(H875="","",H875-I875)</f>
        <v/>
      </c>
      <c r="K875" s="43" t="n"/>
      <c r="L875" s="32">
        <f>IF(OR(K875="",$F875=""),"",DATE(YEAR(K875),MONTH(K875)+VLOOKUP($F875,'Membership Level'!$A$3:$B$15,2,FALSE),DAY(K875)))</f>
        <v/>
      </c>
      <c r="M875" s="36" t="n"/>
      <c r="N875" s="34">
        <f>IF($L875="","",DATE(YEAR($L875),MONTH($L875),DAY($L875)-$M875))</f>
        <v/>
      </c>
      <c r="O875" s="33">
        <f>IF($L875="","",IF(DAYS360(NOW(),$L875)&gt;=0,DAYS360(NOW(),$L875),""))</f>
        <v/>
      </c>
      <c r="P875" s="34">
        <f>IF(OR(H875="",H875=0,F875="",K875=""),"",I875/H875*VLOOKUP(F875,'Membership Level'!$A$3:$C$15,3,FALSE)+K875)</f>
        <v/>
      </c>
      <c r="Q875" s="36" t="n"/>
    </row>
    <row r="876">
      <c r="C876" s="36" t="n"/>
      <c r="D876" s="36" t="n"/>
      <c r="E876" s="35" t="n"/>
      <c r="F876" s="33" t="n"/>
      <c r="G876" s="36" t="n"/>
      <c r="H876" s="30" t="n"/>
      <c r="I876" s="30" t="n"/>
      <c r="J876" s="31">
        <f>IF(H876="","",H876-I876)</f>
        <v/>
      </c>
      <c r="K876" s="43" t="n"/>
      <c r="L876" s="32">
        <f>IF(OR(K876="",$F876=""),"",DATE(YEAR(K876),MONTH(K876)+VLOOKUP($F876,'Membership Level'!$A$3:$B$15,2,FALSE),DAY(K876)))</f>
        <v/>
      </c>
      <c r="M876" s="33" t="n">
        <v>3</v>
      </c>
      <c r="N876" s="34">
        <f>IF($L876="","",DATE(YEAR($L876),MONTH($L876),DAY($L876)-$M876))</f>
        <v/>
      </c>
      <c r="O876" s="33">
        <f>IF($L876="","",IF(DAYS360(NOW(),$L876)&gt;=0,DAYS360(NOW(),$L876),""))</f>
        <v/>
      </c>
      <c r="P876" s="34">
        <f>IF(OR(H876="",H876=0,F876="",K876=""),"",I876/H876*VLOOKUP(F876,'Membership Level'!$A$3:$C$15,3,FALSE)+K876)</f>
        <v/>
      </c>
      <c r="Q876" s="36" t="n"/>
    </row>
    <row r="877">
      <c r="C877" s="36" t="n"/>
      <c r="D877" s="36" t="n"/>
      <c r="E877" s="66" t="n"/>
      <c r="F877" s="33" t="n"/>
      <c r="G877" s="36" t="n"/>
      <c r="H877" s="30" t="n"/>
      <c r="I877" s="30" t="n"/>
      <c r="J877" s="31">
        <f>IF(H877="","",H877-I877)</f>
        <v/>
      </c>
      <c r="K877" s="43" t="n"/>
      <c r="L877" s="32">
        <f>IF(OR(K877="",$F877=""),"",DATE(YEAR(K877),MONTH(K877)+VLOOKUP($F877,'Membership Level'!$A$3:$B$15,2,FALSE),DAY(K877)))</f>
        <v/>
      </c>
      <c r="M877" s="33" t="n">
        <v>3</v>
      </c>
      <c r="N877" s="34">
        <f>IF($L877="","",DATE(YEAR($L877),MONTH($L877),DAY($L877)-$M877))</f>
        <v/>
      </c>
      <c r="O877" s="33">
        <f>IF($L877="","",IF(DAYS360(NOW(),$L877)&gt;=0,DAYS360(NOW(),$L877),""))</f>
        <v/>
      </c>
      <c r="P877" s="34">
        <f>IF(OR(H877="",H877=0,F877="",K877=""),"",I877/H877*VLOOKUP(F877,'Membership Level'!$A$3:$C$15,3,FALSE)+K877)</f>
        <v/>
      </c>
      <c r="Q877" s="36" t="n"/>
    </row>
    <row r="878" customFormat="1" s="22">
      <c r="C878" s="33" t="n"/>
      <c r="D878" s="33" t="n"/>
      <c r="F878" s="33" t="n"/>
      <c r="G878" s="33" t="n"/>
      <c r="H878" s="44" t="n"/>
      <c r="I878" s="30" t="n"/>
      <c r="J878" s="31">
        <f>IF(H878="","",H878-I878)</f>
        <v/>
      </c>
      <c r="K878" s="32" t="n"/>
      <c r="L878" s="32">
        <f>IF(OR(K878="",$F878=""),"",DATE(YEAR(K878),MONTH(K878)+VLOOKUP($F878,'Membership Level'!$A$3:$B$15,2,FALSE),DAY(K878)))</f>
        <v/>
      </c>
      <c r="M878" s="36" t="n"/>
      <c r="N878" s="34">
        <f>IF($L878="","",DATE(YEAR($L878),MONTH($L878),DAY($L878)-$M878))</f>
        <v/>
      </c>
      <c r="O878" s="33">
        <f>IF($L878="","",IF(DAYS360(NOW(),$L878)&gt;=0,DAYS360(NOW(),$L878),""))</f>
        <v/>
      </c>
      <c r="P878" s="34">
        <f>IF(OR(H878="",H878=0,F878="",K878=""),"",I878/H878*VLOOKUP(F878,'Membership Level'!$A$3:$C$15,3,FALSE)+K878)</f>
        <v/>
      </c>
      <c r="Q878" s="33" t="n"/>
    </row>
    <row r="879" customFormat="1" s="22">
      <c r="C879" s="33" t="n"/>
      <c r="D879" s="33" t="n"/>
      <c r="E879" s="33" t="n"/>
      <c r="F879" s="33" t="n"/>
      <c r="G879" s="33" t="n"/>
      <c r="H879" s="44" t="n"/>
      <c r="I879" s="30" t="n"/>
      <c r="J879" s="31">
        <f>IF(H879="","",H879-I879)</f>
        <v/>
      </c>
      <c r="K879" s="32" t="n"/>
      <c r="L879" s="32">
        <f>IF(OR(K879="",$F879=""),"",DATE(YEAR(K879),MONTH(K879)+VLOOKUP($F879,'Membership Level'!$A$3:$B$15,2,FALSE),DAY(K879)))</f>
        <v/>
      </c>
      <c r="M879" s="36" t="n"/>
      <c r="N879" s="34">
        <f>IF($L879="","",DATE(YEAR($L879),MONTH($L879),DAY($L879)-$M879))</f>
        <v/>
      </c>
      <c r="O879" s="33">
        <f>IF($L879="","",IF(DAYS360(NOW(),$L879)&gt;=0,DAYS360(NOW(),$L879),""))</f>
        <v/>
      </c>
      <c r="P879" s="34">
        <f>IF(OR(H879="",H879=0,F879="",K879=""),"",I879/H879*VLOOKUP(F879,'Membership Level'!$A$3:$C$15,3,FALSE)+K879)</f>
        <v/>
      </c>
      <c r="Q879" s="33" t="n"/>
    </row>
    <row r="880" customFormat="1" s="22">
      <c r="C880" s="33" t="n"/>
      <c r="D880" s="33" t="n"/>
      <c r="E880" s="33" t="n"/>
      <c r="F880" s="33" t="n"/>
      <c r="G880" s="33" t="n"/>
      <c r="H880" s="44" t="n"/>
      <c r="I880" s="44" t="n"/>
      <c r="J880" s="31">
        <f>IF(H880="","",H880-I880)</f>
        <v/>
      </c>
      <c r="K880" s="32" t="n"/>
      <c r="L880" s="32">
        <f>IF(OR(K880="",$F880=""),"",DATE(YEAR(K880),MONTH(K880)+VLOOKUP($F880,'Membership Level'!$A$3:$B$15,2,FALSE),DAY(K880)))</f>
        <v/>
      </c>
      <c r="M880" s="33" t="n"/>
      <c r="N880" s="34">
        <f>IF($L880="","",DATE(YEAR($L880),MONTH($L880),DAY($L880)-$M880))</f>
        <v/>
      </c>
      <c r="O880" s="33">
        <f>IF($L880="","",IF(DAYS360(NOW(),$L880)&gt;=0,DAYS360(NOW(),$L880),""))</f>
        <v/>
      </c>
      <c r="P880" s="34">
        <f>IF(OR(H880="",H880=0,F880="",K880=""),"",I880/H880*VLOOKUP(F880,'Membership Level'!$A$3:$C$15,3,FALSE)+K880)</f>
        <v/>
      </c>
      <c r="Q880" s="33" t="n"/>
    </row>
    <row r="881" customFormat="1" s="22">
      <c r="C881" s="33" t="n"/>
      <c r="D881" s="33" t="n"/>
      <c r="E881" s="66" t="n"/>
      <c r="F881" s="33" t="n"/>
      <c r="G881" s="33" t="n"/>
      <c r="H881" s="44" t="n"/>
      <c r="I881" s="44" t="n"/>
      <c r="J881" s="31">
        <f>IF(H881="","",H881-I881)</f>
        <v/>
      </c>
      <c r="K881" s="32" t="n"/>
      <c r="L881" s="32">
        <f>IF(OR(K881="",$F881=""),"",DATE(YEAR(K881),MONTH(K881)+VLOOKUP($F881,'Membership Level'!$A$3:$B$15,2,FALSE),DAY(K881)))</f>
        <v/>
      </c>
      <c r="M881" s="33" t="n"/>
      <c r="N881" s="34">
        <f>IF($L881="","",DATE(YEAR($L881),MONTH($L881),DAY($L881)-$M881))</f>
        <v/>
      </c>
      <c r="O881" s="33">
        <f>IF($L881="","",IF(DAYS360(NOW(),$L881)&gt;=0,DAYS360(NOW(),$L881),""))</f>
        <v/>
      </c>
      <c r="P881" s="34">
        <f>IF(OR(H881="",H881=0,F881="",K881=""),"",I881/H881*VLOOKUP(F881,'Membership Level'!$A$3:$C$15,3,FALSE)+K881)</f>
        <v/>
      </c>
      <c r="Q881" s="33" t="n"/>
    </row>
    <row r="882" customFormat="1" s="22">
      <c r="C882" s="33" t="n"/>
      <c r="D882" s="33" t="n"/>
      <c r="E882" s="33" t="n"/>
      <c r="F882" s="33" t="n"/>
      <c r="G882" s="33" t="n"/>
      <c r="H882" s="44" t="n"/>
      <c r="I882" s="30" t="n"/>
      <c r="J882" s="31">
        <f>IF(H882="","",H882-I882)</f>
        <v/>
      </c>
      <c r="K882" s="32" t="n"/>
      <c r="L882" s="32">
        <f>IF(OR(K882="",$F882=""),"",DATE(YEAR(K882),MONTH(K882)+VLOOKUP($F882,'Membership Level'!$A$3:$B$15,2,FALSE),DAY(K882)))</f>
        <v/>
      </c>
      <c r="M882" s="33" t="n"/>
      <c r="N882" s="34">
        <f>IF($L882="","",DATE(YEAR($L882),MONTH($L882),DAY($L882)-$M882))</f>
        <v/>
      </c>
      <c r="O882" s="33">
        <f>IF($L882="","",IF(DAYS360(NOW(),$L882)&gt;=0,DAYS360(NOW(),$L882),""))</f>
        <v/>
      </c>
      <c r="P882" s="34">
        <f>IF(OR(H882="",H882=0,F882="",K882=""),"",I882/H882*VLOOKUP(F882,'Membership Level'!$A$3:$C$15,3,FALSE)+K882)</f>
        <v/>
      </c>
      <c r="Q882" s="33" t="n"/>
    </row>
    <row r="883" customFormat="1" s="22">
      <c r="C883" s="33" t="n"/>
      <c r="D883" s="33" t="n"/>
      <c r="E883" s="66" t="n"/>
      <c r="F883" s="33" t="n"/>
      <c r="G883" s="33" t="n"/>
      <c r="H883" s="44" t="n"/>
      <c r="I883" s="30" t="n"/>
      <c r="J883" s="31">
        <f>IF(H883="","",H883-I883)</f>
        <v/>
      </c>
      <c r="K883" s="32" t="n"/>
      <c r="L883" s="32">
        <f>IF(OR(K883="",$F883=""),"",DATE(YEAR(K883),MONTH(K883)+VLOOKUP($F883,'Membership Level'!$A$3:$B$15,2,FALSE),DAY(K883)))</f>
        <v/>
      </c>
      <c r="M883" s="33" t="n"/>
      <c r="N883" s="34">
        <f>IF($L883="","",DATE(YEAR($L883),MONTH($L883),DAY($L883)-$M883))</f>
        <v/>
      </c>
      <c r="O883" s="33">
        <f>IF($L883="","",IF(DAYS360(NOW(),$L883)&gt;=0,DAYS360(NOW(),$L883),""))</f>
        <v/>
      </c>
      <c r="P883" s="34">
        <f>IF(OR(H883="",H883=0,F883="",K883=""),"",I883/H883*VLOOKUP(F883,'Membership Level'!$A$3:$C$15,3,FALSE)+K883)</f>
        <v/>
      </c>
      <c r="Q883" s="33" t="n"/>
    </row>
    <row r="884" customFormat="1" s="22">
      <c r="C884" s="33" t="n"/>
      <c r="D884" s="33" t="n"/>
      <c r="E884" s="66" t="n"/>
      <c r="F884" s="33" t="n"/>
      <c r="G884" s="33" t="n"/>
      <c r="H884" s="44" t="n"/>
      <c r="I884" s="30" t="n"/>
      <c r="J884" s="31">
        <f>IF(H884="","",H884-I884)</f>
        <v/>
      </c>
      <c r="K884" s="32" t="n"/>
      <c r="L884" s="32">
        <f>IF(OR(K884="",$F884=""),"",DATE(YEAR(K884),MONTH(K884)+VLOOKUP($F884,'Membership Level'!$A$3:$B$15,2,FALSE),DAY(K884)))</f>
        <v/>
      </c>
      <c r="M884" s="36" t="n"/>
      <c r="N884" s="34">
        <f>IF($L884="","",DATE(YEAR($L884),MONTH($L884),DAY($L884)-$M884))</f>
        <v/>
      </c>
      <c r="O884" s="33">
        <f>IF($L884="","",IF(DAYS360(NOW(),$L884)&gt;=0,DAYS360(NOW(),$L884),""))</f>
        <v/>
      </c>
      <c r="P884" s="34">
        <f>IF(OR(H884="",H884=0,F884="",K884=""),"",I884/H884*VLOOKUP(F884,'Membership Level'!$A$3:$C$15,3,FALSE)+K884)</f>
        <v/>
      </c>
      <c r="Q884" s="33" t="n"/>
    </row>
    <row r="885" customFormat="1" s="22">
      <c r="C885" s="33" t="n"/>
      <c r="D885" s="33" t="n"/>
      <c r="E885" s="79" t="n"/>
      <c r="F885" s="33" t="n"/>
      <c r="G885" s="33" t="n"/>
      <c r="H885" s="44" t="n"/>
      <c r="I885" s="30" t="n"/>
      <c r="J885" s="31">
        <f>IF(H885="","",H885-I885)</f>
        <v/>
      </c>
      <c r="K885" s="32" t="n"/>
      <c r="L885" s="32">
        <f>IF(OR(K885="",$F885=""),"",DATE(YEAR(K885),MONTH(K885)+VLOOKUP($F885,'Membership Level'!$A$3:$B$15,2,FALSE),DAY(K885)))</f>
        <v/>
      </c>
      <c r="M885" s="36" t="n"/>
      <c r="N885" s="34">
        <f>IF($L885="","",DATE(YEAR($L885),MONTH($L885),DAY($L885)-$M885))</f>
        <v/>
      </c>
      <c r="O885" s="33">
        <f>IF($L885="","",IF(DAYS360(NOW(),$L885)&gt;=0,DAYS360(NOW(),$L885),""))</f>
        <v/>
      </c>
      <c r="P885" s="34">
        <f>IF(OR(H885="",H885=0,F885="",K885=""),"",I885/H885*VLOOKUP(F885,'Membership Level'!$A$3:$C$15,3,FALSE)+K885)</f>
        <v/>
      </c>
      <c r="Q885" s="33" t="n"/>
    </row>
    <row r="886">
      <c r="C886" s="33" t="n"/>
      <c r="D886" s="33" t="n"/>
      <c r="E886" s="33" t="n"/>
      <c r="F886" s="80" t="n"/>
      <c r="G886" s="33" t="n"/>
      <c r="H886" s="81" t="n"/>
      <c r="I886" s="30" t="n"/>
      <c r="J886" s="31">
        <f>IF(H886="","",H886-I886)</f>
        <v/>
      </c>
      <c r="K886" s="32" t="n"/>
      <c r="L886" s="32">
        <f>IF(OR(K886="",$F886=""),"",DATE(YEAR(K886),MONTH(K886)+VLOOKUP($F886,'Membership Level'!$A$3:$B$15,2,FALSE),DAY(K886)))</f>
        <v/>
      </c>
      <c r="M886" s="33" t="n">
        <v>3</v>
      </c>
      <c r="N886" s="34">
        <f>IF($L886="","",DATE(YEAR($L886),MONTH($L886),DAY($L886)-$M886))</f>
        <v/>
      </c>
      <c r="O886" s="33">
        <f>IF($L886="","",IF(DAYS360(NOW(),$L886)&gt;=0,DAYS360(NOW(),$L886),""))</f>
        <v/>
      </c>
      <c r="P886" s="34">
        <f>IF(OR(H886="",H886=0,F886="",K886=""),"",I886/H886*VLOOKUP(F886,'Membership Level'!$A$3:$C$15,3,FALSE)+K886)</f>
        <v/>
      </c>
      <c r="Q886" s="33" t="n"/>
    </row>
    <row r="887">
      <c r="C887" s="33" t="n"/>
      <c r="D887" s="33" t="n"/>
      <c r="E887" s="80" t="n"/>
      <c r="F887" s="33" t="n"/>
      <c r="G887" s="33" t="n"/>
      <c r="H887" s="81" t="n"/>
      <c r="I887" s="30" t="n"/>
      <c r="J887" s="31">
        <f>IF(H887="","",H887-I887)</f>
        <v/>
      </c>
      <c r="K887" s="32" t="n"/>
      <c r="L887" s="32">
        <f>IF(OR(K887="",$F887=""),"",DATE(YEAR(K887),MONTH(K887)+VLOOKUP($F887,'Membership Level'!$A$3:$B$15,2,FALSE),DAY(K887)))</f>
        <v/>
      </c>
      <c r="M887" s="33" t="n">
        <v>3</v>
      </c>
      <c r="N887" s="34">
        <f>IF($L887="","",DATE(YEAR($L887),MONTH($L887),DAY($L887)-$M887))</f>
        <v/>
      </c>
      <c r="O887" s="33">
        <f>IF($L887="","",IF(DAYS360(NOW(),$L887)&gt;=0,DAYS360(NOW(),$L887),""))</f>
        <v/>
      </c>
      <c r="P887" s="34">
        <f>IF(OR(H887="",H887=0,F887="",K887=""),"",I887/H887*VLOOKUP(F887,'Membership Level'!$A$3:$C$15,3,FALSE)+K887)</f>
        <v/>
      </c>
      <c r="Q887" s="33" t="n"/>
    </row>
    <row r="888">
      <c r="C888" s="80" t="n"/>
      <c r="D888" s="80" t="n"/>
      <c r="E888" s="66" t="n"/>
      <c r="F888" s="33" t="n"/>
      <c r="G888" s="80" t="n"/>
      <c r="H888" s="82" t="n"/>
      <c r="I888" s="83" t="n"/>
      <c r="J888" s="82">
        <f>IF(H888="","",H888-I888)</f>
        <v/>
      </c>
      <c r="K888" s="84" t="n"/>
      <c r="L888" s="32">
        <f>IF(OR(K888="",$F888=""),"",DATE(YEAR(K888),MONTH(K888)+VLOOKUP($F888,'Membership Level'!$A$3:$B$15,2,FALSE),DAY(K888)))</f>
        <v/>
      </c>
      <c r="M888" s="33" t="n">
        <v>3</v>
      </c>
      <c r="N888" s="34">
        <f>IF($L888="","",DATE(YEAR($L888),MONTH($L888),DAY($L888)-$M888))</f>
        <v/>
      </c>
      <c r="O888" s="33">
        <f>IF($L888="","",IF(DAYS360(NOW(),$L888)&gt;=0,DAYS360(NOW(),$L888),""))</f>
        <v/>
      </c>
      <c r="P888" s="34">
        <f>IF(OR(H888="",H888=0,F888="",K888=""),"",I888/H888*VLOOKUP(F888,'Membership Level'!$A$3:$C$15,3,FALSE)+K888)</f>
        <v/>
      </c>
      <c r="Q888" s="33" t="n"/>
    </row>
    <row r="889">
      <c r="C889" s="33" t="n"/>
      <c r="D889" s="33" t="n"/>
      <c r="E889" s="33" t="n"/>
      <c r="F889" s="33" t="n"/>
      <c r="G889" s="33" t="n"/>
      <c r="H889" s="81" t="n"/>
      <c r="I889" s="30" t="n"/>
      <c r="J889" s="31">
        <f>IF(H889="","",H889-I889)</f>
        <v/>
      </c>
      <c r="K889" s="32" t="n"/>
      <c r="L889" s="32">
        <f>IF(OR(K889="",$F889=""),"",DATE(YEAR(K889),MONTH(K889)+VLOOKUP($F889,'Membership Level'!$A$3:$B$15,2,FALSE),DAY(K889)))</f>
        <v/>
      </c>
      <c r="M889" s="33" t="n">
        <v>3</v>
      </c>
      <c r="N889" s="34">
        <f>IF($L889="","",DATE(YEAR($L889),MONTH($L889),DAY($L889)-$M889))</f>
        <v/>
      </c>
      <c r="O889" s="33">
        <f>IF($L889="","",IF(DAYS360(NOW(),$L889)&gt;=0,DAYS360(NOW(),$L889),""))</f>
        <v/>
      </c>
      <c r="P889" s="34">
        <f>IF(OR(H889="",H889=0,F889="",K889=""),"",I889/H889*VLOOKUP(F889,'Membership Level'!$A$3:$C$15,3,FALSE)+K889)</f>
        <v/>
      </c>
      <c r="Q889" s="33" t="n"/>
    </row>
    <row r="890">
      <c r="C890" s="33" t="n"/>
      <c r="D890" s="33" t="n"/>
      <c r="E890" s="33" t="n"/>
      <c r="F890" s="33" t="n"/>
      <c r="G890" s="33" t="n"/>
      <c r="H890" s="81" t="n"/>
      <c r="I890" s="30" t="n"/>
      <c r="J890" s="31">
        <f>IF(H890="","",H890-I890)</f>
        <v/>
      </c>
      <c r="K890" s="32" t="n"/>
      <c r="L890" s="32">
        <f>IF(OR(K890="",$F890=""),"",DATE(YEAR(K890),MONTH(K890)+VLOOKUP($F890,'Membership Level'!$A$3:$B$15,2,FALSE),DAY(K890)))</f>
        <v/>
      </c>
      <c r="M890" s="33" t="n">
        <v>3</v>
      </c>
      <c r="N890" s="34">
        <f>IF($L890="","",DATE(YEAR($L890),MONTH($L890),DAY($L890)-$M890))</f>
        <v/>
      </c>
      <c r="O890" s="33">
        <f>IF($L890="","",IF(DAYS360(NOW(),$L890)&gt;=0,DAYS360(NOW(),$L890),""))</f>
        <v/>
      </c>
      <c r="P890" s="34">
        <f>IF(OR(H890="",H890=0,F890="",K890=""),"",I890/H890*VLOOKUP(F890,'Membership Level'!$A$3:$C$15,3,FALSE)+K890)</f>
        <v/>
      </c>
      <c r="Q890" s="33" t="n"/>
    </row>
    <row r="891">
      <c r="C891" s="33" t="n"/>
      <c r="D891" s="33" t="n"/>
      <c r="E891" s="66" t="n"/>
      <c r="F891" s="33" t="n"/>
      <c r="G891" s="33" t="n"/>
      <c r="H891" s="81" t="n"/>
      <c r="I891" s="30" t="n"/>
      <c r="J891" s="31">
        <f>IF(H891="","",H891-I891)</f>
        <v/>
      </c>
      <c r="K891" s="32" t="n"/>
      <c r="L891" s="32">
        <f>IF(OR(K891="",$F891=""),"",DATE(YEAR(K891),MONTH(K891)+VLOOKUP($F891,'Membership Level'!$A$3:$B$15,2,FALSE),DAY(K891)))</f>
        <v/>
      </c>
      <c r="M891" s="33" t="n">
        <v>3</v>
      </c>
      <c r="N891" s="34">
        <f>IF($L891="","",DATE(YEAR($L891),MONTH($L891),DAY($L891)-$M891))</f>
        <v/>
      </c>
      <c r="O891" s="33">
        <f>IF($L891="","",IF(DAYS360(NOW(),$L891)&gt;=0,DAYS360(NOW(),$L891),""))</f>
        <v/>
      </c>
      <c r="P891" s="34">
        <f>IF(OR(H891="",H891=0,F891="",K891=""),"",I891/H891*VLOOKUP(F891,'Membership Level'!$A$3:$C$15,3,FALSE)+K891)</f>
        <v/>
      </c>
      <c r="Q891" s="33" t="n"/>
    </row>
    <row r="892">
      <c r="C892" s="33" t="n"/>
      <c r="D892" s="33" t="n"/>
      <c r="E892" s="66" t="n"/>
      <c r="F892" s="36" t="n"/>
      <c r="G892" s="33" t="n"/>
      <c r="H892" s="81" t="n"/>
      <c r="I892" s="30" t="n"/>
      <c r="J892" s="31">
        <f>IF(H892="","",H892-I892)</f>
        <v/>
      </c>
      <c r="K892" s="32" t="n"/>
      <c r="L892" s="32">
        <f>IF(OR(K892="",$F892=""),"",DATE(YEAR(K892),MONTH(K892)+VLOOKUP($F892,'Membership Level'!$A$3:$B$15,2,FALSE),DAY(K892)))</f>
        <v/>
      </c>
      <c r="M892" s="33" t="n">
        <v>3</v>
      </c>
      <c r="N892" s="34">
        <f>IF($L892="","",DATE(YEAR($L892),MONTH($L892),DAY($L892)-$M892))</f>
        <v/>
      </c>
      <c r="O892" s="33">
        <f>IF($L892="","",IF(DAYS360(NOW(),$L892)&gt;=0,DAYS360(NOW(),$L892),""))</f>
        <v/>
      </c>
      <c r="P892" s="34">
        <f>IF(OR(H892="",H892=0,F892="",K892=""),"",I892/H892*VLOOKUP(F892,'Membership Level'!$A$3:$C$15,3,FALSE)+K892)</f>
        <v/>
      </c>
      <c r="Q892" s="33" t="n"/>
    </row>
    <row r="893">
      <c r="C893" s="33" t="n"/>
      <c r="D893" s="33" t="n"/>
      <c r="E893" s="35" t="n"/>
      <c r="F893" s="36" t="n"/>
      <c r="G893" s="33" t="n"/>
      <c r="H893" s="81" t="n"/>
      <c r="I893" s="30" t="n"/>
      <c r="J893" s="31">
        <f>IF(H893="","",H893-I893)</f>
        <v/>
      </c>
      <c r="K893" s="32" t="n"/>
      <c r="L893" s="32">
        <f>IF(OR(K893="",$F893=""),"",DATE(YEAR(K893),MONTH(K893)+VLOOKUP($F893,'Membership Level'!$A$3:$B$15,2,FALSE),DAY(K893)))</f>
        <v/>
      </c>
      <c r="M893" s="33" t="n">
        <v>3</v>
      </c>
      <c r="N893" s="34">
        <f>IF($L893="","",DATE(YEAR($L893),MONTH($L893),DAY($L893)-$M893))</f>
        <v/>
      </c>
      <c r="O893" s="33">
        <f>IF($L893="","",IF(DAYS360(NOW(),$L893)&gt;=0,DAYS360(NOW(),$L893),""))</f>
        <v/>
      </c>
      <c r="P893" s="34">
        <f>IF(OR(H893="",H893=0,F893="",K893=""),"",I893/H893*VLOOKUP(F893,'Membership Level'!$A$3:$C$15,3,FALSE)+K893)</f>
        <v/>
      </c>
      <c r="Q893" s="33" t="n"/>
    </row>
    <row r="894">
      <c r="C894" s="33" t="n"/>
      <c r="D894" s="33" t="n"/>
      <c r="E894" s="36" t="n"/>
      <c r="F894" s="36" t="n"/>
      <c r="G894" s="36" t="n"/>
      <c r="H894" s="81" t="n"/>
      <c r="I894" s="30" t="n"/>
      <c r="J894" s="31">
        <f>IF(H894="","",H894-I894)</f>
        <v/>
      </c>
      <c r="K894" s="32" t="n"/>
      <c r="L894" s="32">
        <f>IF(OR(K894="",$F894=""),"",DATE(YEAR(K894),MONTH(K894)+VLOOKUP($F894,'Membership Level'!$A$3:$B$15,2,FALSE),DAY(K894)))</f>
        <v/>
      </c>
      <c r="M894" s="33" t="n">
        <v>3</v>
      </c>
      <c r="N894" s="34">
        <f>IF($L894="","",DATE(YEAR($L894),MONTH($L894),DAY($L894)-$M894))</f>
        <v/>
      </c>
      <c r="O894" s="33">
        <f>IF($L894="","",IF(DAYS360(NOW(),$L894)&gt;=0,DAYS360(NOW(),$L894),""))</f>
        <v/>
      </c>
      <c r="P894" s="34">
        <f>IF(OR(H894="",H894=0,F894="",K894=""),"",I894/H894*VLOOKUP(F894,'Membership Level'!$A$3:$C$15,3,FALSE)+K894)</f>
        <v/>
      </c>
      <c r="Q894" s="36" t="n"/>
    </row>
    <row r="895">
      <c r="C895" s="33" t="n"/>
      <c r="D895" s="33" t="n"/>
      <c r="E895" s="36" t="n"/>
      <c r="F895" s="36" t="n"/>
      <c r="G895" s="36" t="n"/>
      <c r="H895" s="81" t="n"/>
      <c r="I895" s="30" t="n"/>
      <c r="J895" s="31">
        <f>IF(H895="","",H895-I895)</f>
        <v/>
      </c>
      <c r="K895" s="32" t="n"/>
      <c r="L895" s="32">
        <f>IF(OR(K895="",$F895=""),"",DATE(YEAR(K895),MONTH(K895)+VLOOKUP($F895,'Membership Level'!$A$3:$B$15,2,FALSE),DAY(K895)))</f>
        <v/>
      </c>
      <c r="M895" s="33" t="n">
        <v>3</v>
      </c>
      <c r="N895" s="34">
        <f>IF($L895="","",DATE(YEAR($L895),MONTH($L895),DAY($L895)-$M895))</f>
        <v/>
      </c>
      <c r="O895" s="33">
        <f>IF($L895="","",IF(DAYS360(NOW(),$L895)&gt;=0,DAYS360(NOW(),$L895),""))</f>
        <v/>
      </c>
      <c r="P895" s="34">
        <f>IF(OR(H895="",H895=0,F895="",K895=""),"",I895/H895*VLOOKUP(F895,'Membership Level'!$A$3:$C$15,3,FALSE)+K895)</f>
        <v/>
      </c>
      <c r="Q895" s="36" t="n"/>
    </row>
    <row r="896">
      <c r="C896" s="33" t="n"/>
      <c r="D896" s="36" t="n"/>
      <c r="E896" s="36" t="n"/>
      <c r="F896" s="36" t="n"/>
      <c r="G896" s="36" t="n"/>
      <c r="H896" s="81" t="n"/>
      <c r="I896" s="30" t="n"/>
      <c r="J896" s="31">
        <f>IF(H896="","",H896-I896)</f>
        <v/>
      </c>
      <c r="K896" s="43" t="n"/>
      <c r="L896" s="32">
        <f>IF(OR(K896="",$F896=""),"",DATE(YEAR(K896),MONTH(K896)+VLOOKUP($F896,'Membership Level'!$A$3:$B$15,2,FALSE),DAY(K896)))</f>
        <v/>
      </c>
      <c r="M896" s="33" t="n">
        <v>3</v>
      </c>
      <c r="N896" s="34">
        <f>IF($L896="","",DATE(YEAR($L896),MONTH($L896),DAY($L896)-$M896))</f>
        <v/>
      </c>
      <c r="O896" s="33">
        <f>IF($L896="","",IF(DAYS360(NOW(),$L896)&gt;=0,DAYS360(NOW(),$L896),""))</f>
        <v/>
      </c>
      <c r="P896" s="34">
        <f>IF(OR(H896="",H896=0,F896="",K896=""),"",I896/H896*VLOOKUP(F896,'Membership Level'!$A$3:$C$15,3,FALSE)+K896)</f>
        <v/>
      </c>
      <c r="Q896" s="36" t="n"/>
    </row>
    <row r="897">
      <c r="C897" s="33" t="n"/>
      <c r="D897" s="36" t="n"/>
      <c r="E897" s="36" t="n"/>
      <c r="F897" s="36" t="n"/>
      <c r="G897" s="36" t="n"/>
      <c r="H897" s="81" t="n"/>
      <c r="I897" s="30" t="n"/>
      <c r="J897" s="31">
        <f>IF(H897="","",H897-I897)</f>
        <v/>
      </c>
      <c r="K897" s="43" t="n"/>
      <c r="L897" s="32">
        <f>IF(OR(K897="",$F897=""),"",DATE(YEAR(K897),MONTH(K897)+VLOOKUP($F897,'Membership Level'!$A$3:$B$15,2,FALSE),DAY(K897)))</f>
        <v/>
      </c>
      <c r="M897" s="33" t="n">
        <v>3</v>
      </c>
      <c r="N897" s="34">
        <f>IF($L897="","",DATE(YEAR($L897),MONTH($L897),DAY($L897)-$M897))</f>
        <v/>
      </c>
      <c r="O897" s="33">
        <f>IF($L897="","",IF(DAYS360(NOW(),$L897)&gt;=0,DAYS360(NOW(),$L897),""))</f>
        <v/>
      </c>
      <c r="P897" s="34">
        <f>IF(OR(H897="",H897=0,F897="",K897=""),"",I897/H897*VLOOKUP(F897,'Membership Level'!$A$3:$C$15,3,FALSE)+K897)</f>
        <v/>
      </c>
      <c r="Q897" s="36" t="n"/>
    </row>
    <row r="898">
      <c r="C898" s="33" t="n"/>
      <c r="D898" s="33" t="n"/>
      <c r="E898" s="36" t="n"/>
      <c r="F898" s="36" t="n"/>
      <c r="G898" s="36" t="n"/>
      <c r="H898" s="81" t="n"/>
      <c r="I898" s="30" t="n"/>
      <c r="J898" s="31">
        <f>IF(H898="","",H898-I898)</f>
        <v/>
      </c>
      <c r="K898" s="43" t="n"/>
      <c r="L898" s="32">
        <f>IF(OR(K898="",$F898=""),"",DATE(YEAR(K898),MONTH(K898)+VLOOKUP($F898,'Membership Level'!$A$3:$B$15,2,FALSE),DAY(K898)))</f>
        <v/>
      </c>
      <c r="M898" s="33" t="n">
        <v>3</v>
      </c>
      <c r="N898" s="34">
        <f>IF($L898="","",DATE(YEAR($L898),MONTH($L898),DAY($L898)-$M898))</f>
        <v/>
      </c>
      <c r="O898" s="33">
        <f>IF($L898="","",IF(DAYS360(NOW(),$L898)&gt;=0,DAYS360(NOW(),$L898),""))</f>
        <v/>
      </c>
      <c r="P898" s="34">
        <f>IF(OR(H898="",H898=0,F898="",K898=""),"",I898/H898*VLOOKUP(F898,'Membership Level'!$A$3:$C$15,3,FALSE)+K898)</f>
        <v/>
      </c>
      <c r="Q898" s="36" t="n"/>
    </row>
    <row r="899">
      <c r="C899" s="33" t="n"/>
      <c r="D899" s="33" t="n"/>
      <c r="E899" s="36" t="n"/>
      <c r="F899" s="36" t="n"/>
      <c r="G899" s="36" t="n"/>
      <c r="H899" s="81" t="n"/>
      <c r="I899" s="30" t="n"/>
      <c r="J899" s="31">
        <f>IF(H899="","",H899-I899)</f>
        <v/>
      </c>
      <c r="K899" s="43" t="n"/>
      <c r="L899" s="32">
        <f>IF(OR(K899="",$F899=""),"",DATE(YEAR(K899),MONTH(K899)+VLOOKUP($F899,'Membership Level'!$A$3:$B$15,2,FALSE),DAY(K899)))</f>
        <v/>
      </c>
      <c r="M899" s="33" t="n">
        <v>3</v>
      </c>
      <c r="N899" s="34">
        <f>IF($L899="","",DATE(YEAR($L899),MONTH($L899),DAY($L899)-$M899))</f>
        <v/>
      </c>
      <c r="O899" s="33">
        <f>IF($L899="","",IF(DAYS360(NOW(),$L899)&gt;=0,DAYS360(NOW(),$L899),""))</f>
        <v/>
      </c>
      <c r="P899" s="34">
        <f>IF(OR(H899="",H899=0,F899="",K899=""),"",I899/H899*VLOOKUP(F899,'Membership Level'!$A$3:$C$15,3,FALSE)+K899)</f>
        <v/>
      </c>
      <c r="Q899" s="36" t="n"/>
    </row>
    <row r="900">
      <c r="C900" s="33" t="n"/>
      <c r="D900" s="33" t="n"/>
      <c r="E900" s="36" t="n"/>
      <c r="F900" s="36" t="n"/>
      <c r="G900" s="36" t="n"/>
      <c r="H900" s="81" t="n"/>
      <c r="I900" s="30" t="n"/>
      <c r="J900" s="31">
        <f>IF(H900="","",H900-I900)</f>
        <v/>
      </c>
      <c r="K900" s="43" t="n"/>
      <c r="L900" s="32">
        <f>IF(OR(K900="",$F900=""),"",DATE(YEAR(K900),MONTH(K900)+VLOOKUP($F900,'Membership Level'!$A$3:$B$15,2,FALSE),DAY(K900)))</f>
        <v/>
      </c>
      <c r="M900" s="33" t="n">
        <v>3</v>
      </c>
      <c r="N900" s="34">
        <f>IF($L900="","",DATE(YEAR($L900),MONTH($L900),DAY($L900)-$M900))</f>
        <v/>
      </c>
      <c r="O900" s="33">
        <f>IF($L900="","",IF(DAYS360(NOW(),$L900)&gt;=0,DAYS360(NOW(),$L900),""))</f>
        <v/>
      </c>
      <c r="P900" s="34">
        <f>IF(OR(H900="",H900=0,F900="",K900=""),"",I900/H900*VLOOKUP(F900,'Membership Level'!$A$3:$C$15,3,FALSE)+K900)</f>
        <v/>
      </c>
      <c r="Q900" s="36" t="n"/>
    </row>
    <row r="901">
      <c r="C901" s="33" t="n"/>
      <c r="D901" s="33" t="n"/>
      <c r="E901" s="36" t="n"/>
      <c r="F901" s="36" t="n"/>
      <c r="G901" s="36" t="n"/>
      <c r="H901" s="81" t="n"/>
      <c r="I901" s="30" t="n"/>
      <c r="J901" s="31">
        <f>IF(H901="","",H901-I901)</f>
        <v/>
      </c>
      <c r="K901" s="43" t="n"/>
      <c r="L901" s="32">
        <f>IF(OR(K901="",$F901=""),"",DATE(YEAR(K901),MONTH(K901)+VLOOKUP($F901,'Membership Level'!$A$3:$B$15,2,FALSE),DAY(K901)))</f>
        <v/>
      </c>
      <c r="M901" s="33" t="n">
        <v>3</v>
      </c>
      <c r="N901" s="34">
        <f>IF($L901="","",DATE(YEAR($L901),MONTH($L901),DAY($L901)-$M901))</f>
        <v/>
      </c>
      <c r="O901" s="33">
        <f>IF($L901="","",IF(DAYS360(NOW(),$L901)&gt;=0,DAYS360(NOW(),$L901),""))</f>
        <v/>
      </c>
      <c r="P901" s="34">
        <f>IF(OR(H901="",H901=0,F901="",K901=""),"",I901/H901*VLOOKUP(F901,'Membership Level'!$A$3:$C$15,3,FALSE)+K901)</f>
        <v/>
      </c>
      <c r="Q901" s="36" t="n"/>
    </row>
    <row r="902">
      <c r="C902" s="33" t="n"/>
      <c r="D902" s="36" t="n"/>
      <c r="E902" s="36" t="n"/>
      <c r="F902" s="36" t="n"/>
      <c r="G902" s="36" t="n"/>
      <c r="H902" s="81" t="n"/>
      <c r="I902" s="30" t="n"/>
      <c r="J902" s="31">
        <f>IF(H902="","",H902-I902)</f>
        <v/>
      </c>
      <c r="K902" s="43" t="n"/>
      <c r="L902" s="32">
        <f>IF(OR(K902="",$F902=""),"",DATE(YEAR(K902),MONTH(K902)+VLOOKUP($F902,'Membership Level'!$A$3:$B$15,2,FALSE),DAY(K902)))</f>
        <v/>
      </c>
      <c r="M902" s="33" t="n">
        <v>3</v>
      </c>
      <c r="N902" s="34">
        <f>IF($L902="","",DATE(YEAR($L902),MONTH($L902),DAY($L902)-$M902))</f>
        <v/>
      </c>
      <c r="O902" s="33">
        <f>IF($L902="","",IF(DAYS360(NOW(),$L902)&gt;=0,DAYS360(NOW(),$L902),""))</f>
        <v/>
      </c>
      <c r="P902" s="34">
        <f>IF(OR(H902="",H902=0,F902="",K902=""),"",I902/H902*VLOOKUP(F902,'Membership Level'!$A$3:$C$15,3,FALSE)+K902)</f>
        <v/>
      </c>
      <c r="Q902" s="36" t="n"/>
    </row>
    <row r="903">
      <c r="C903" s="33" t="n"/>
      <c r="D903" s="33" t="n"/>
      <c r="E903" s="35" t="n"/>
      <c r="F903" s="36" t="n"/>
      <c r="G903" s="36" t="n"/>
      <c r="H903" s="81" t="n"/>
      <c r="I903" s="30" t="n"/>
      <c r="J903" s="31">
        <f>IF(H903="","",H903-I903)</f>
        <v/>
      </c>
      <c r="K903" s="43" t="n"/>
      <c r="L903" s="32">
        <f>IF(OR(K903="",$F903=""),"",DATE(YEAR(K903),MONTH(K903)+VLOOKUP($F903,'Membership Level'!$A$3:$B$15,2,FALSE),DAY(K903)))</f>
        <v/>
      </c>
      <c r="M903" s="33" t="n">
        <v>3</v>
      </c>
      <c r="N903" s="34">
        <f>IF($L903="","",DATE(YEAR($L903),MONTH($L903),DAY($L903)-$M903))</f>
        <v/>
      </c>
      <c r="O903" s="33">
        <f>IF($L903="","",IF(DAYS360(NOW(),$L903)&gt;=0,DAYS360(NOW(),$L903),""))</f>
        <v/>
      </c>
      <c r="P903" s="34">
        <f>IF(OR(H903="",H903=0,F903="",K903=""),"",I903/H903*VLOOKUP(F903,'Membership Level'!$A$3:$C$15,3,FALSE)+K903)</f>
        <v/>
      </c>
      <c r="Q903" s="36" t="n"/>
    </row>
    <row r="904">
      <c r="C904" s="33" t="n"/>
      <c r="D904" s="33" t="n"/>
      <c r="E904" s="35" t="n"/>
      <c r="F904" s="36" t="n"/>
      <c r="G904" s="36" t="n"/>
      <c r="H904" s="81" t="n"/>
      <c r="I904" s="30" t="n"/>
      <c r="J904" s="31">
        <f>IF(H904="","",H904-I904)</f>
        <v/>
      </c>
      <c r="K904" s="43" t="n"/>
      <c r="L904" s="32">
        <f>IF(OR(K904="",$F904=""),"",DATE(YEAR(K904),MONTH(K904)+VLOOKUP($F904,'Membership Level'!$A$3:$B$15,2,FALSE),DAY(K904)))</f>
        <v/>
      </c>
      <c r="M904" s="33" t="n">
        <v>3</v>
      </c>
      <c r="N904" s="34">
        <f>IF($L904="","",DATE(YEAR($L904),MONTH($L904),DAY($L904)-$M904))</f>
        <v/>
      </c>
      <c r="O904" s="33">
        <f>IF($L904="","",IF(DAYS360(NOW(),$L904)&gt;=0,DAYS360(NOW(),$L904),""))</f>
        <v/>
      </c>
      <c r="P904" s="34">
        <f>IF(OR(H904="",H904=0,F904="",K904=""),"",I904/H904*VLOOKUP(F904,'Membership Level'!$A$3:$C$15,3,FALSE)+K904)</f>
        <v/>
      </c>
      <c r="Q904" s="36" t="n"/>
    </row>
    <row r="905">
      <c r="C905" s="33" t="n"/>
      <c r="D905" s="33" t="n"/>
      <c r="E905" s="35" t="n"/>
      <c r="F905" s="36" t="n"/>
      <c r="G905" s="36" t="n"/>
      <c r="H905" s="81" t="n"/>
      <c r="I905" s="30" t="n"/>
      <c r="J905" s="31">
        <f>IF(H905="","",H905-I905)</f>
        <v/>
      </c>
      <c r="K905" s="43" t="n"/>
      <c r="L905" s="32">
        <f>IF(OR(K905="",$F905=""),"",DATE(YEAR(K905),MONTH(K905)+VLOOKUP($F905,'Membership Level'!$A$3:$B$15,2,FALSE),DAY(K905)))</f>
        <v/>
      </c>
      <c r="M905" s="33" t="n">
        <v>3</v>
      </c>
      <c r="N905" s="34">
        <f>IF($L905="","",DATE(YEAR($L905),MONTH($L905),DAY($L905)-$M905))</f>
        <v/>
      </c>
      <c r="O905" s="33">
        <f>IF($L905="","",IF(DAYS360(NOW(),$L905)&gt;=0,DAYS360(NOW(),$L905),""))</f>
        <v/>
      </c>
      <c r="P905" s="34">
        <f>IF(OR(H905="",H905=0,F905="",K905=""),"",I905/H905*VLOOKUP(F905,'Membership Level'!$A$3:$C$15,3,FALSE)+K905)</f>
        <v/>
      </c>
      <c r="Q905" s="36" t="n"/>
    </row>
    <row r="906">
      <c r="C906" s="33" t="n"/>
      <c r="D906" s="33" t="n"/>
      <c r="E906" s="35" t="n"/>
      <c r="F906" s="36" t="n"/>
      <c r="G906" s="36" t="n"/>
      <c r="H906" s="81" t="n"/>
      <c r="I906" s="30" t="n"/>
      <c r="J906" s="31">
        <f>IF(H906="","",H906-I906)</f>
        <v/>
      </c>
      <c r="K906" s="43" t="n"/>
      <c r="L906" s="32">
        <f>IF(OR(K906="",$F906=""),"",DATE(YEAR(K906),MONTH(K906)+VLOOKUP($F906,'Membership Level'!$A$3:$B$15,2,FALSE),DAY(K906)))</f>
        <v/>
      </c>
      <c r="M906" s="33" t="n">
        <v>3</v>
      </c>
      <c r="N906" s="34">
        <f>IF($L906="","",DATE(YEAR($L906),MONTH($L906),DAY($L906)-$M906))</f>
        <v/>
      </c>
      <c r="O906" s="33">
        <f>IF($L906="","",IF(DAYS360(NOW(),$L906)&gt;=0,DAYS360(NOW(),$L906),""))</f>
        <v/>
      </c>
      <c r="P906" s="34">
        <f>IF(OR(H906="",H906=0,F906="",K906=""),"",I906/H906*VLOOKUP(F906,'Membership Level'!$A$3:$C$15,3,FALSE)+K906)</f>
        <v/>
      </c>
      <c r="Q906" s="35" t="n"/>
    </row>
    <row r="907">
      <c r="C907" s="33" t="n"/>
      <c r="D907" s="33" t="n"/>
      <c r="E907" s="36" t="n"/>
      <c r="F907" s="36" t="n"/>
      <c r="G907" s="36" t="n"/>
      <c r="H907" s="81" t="n"/>
      <c r="I907" s="30" t="n"/>
      <c r="J907" s="31">
        <f>IF(H907="","",H907-I907)</f>
        <v/>
      </c>
      <c r="K907" s="43" t="n"/>
      <c r="L907" s="32">
        <f>IF(OR(K907="",$F907=""),"",DATE(YEAR(K907),MONTH(K907)+VLOOKUP($F907,'Membership Level'!$A$3:$B$15,2,FALSE),DAY(K907)))</f>
        <v/>
      </c>
      <c r="M907" s="33" t="n">
        <v>3</v>
      </c>
      <c r="N907" s="34">
        <f>IF($L907="","",DATE(YEAR($L907),MONTH($L907),DAY($L907)-$M907))</f>
        <v/>
      </c>
      <c r="O907" s="33">
        <f>IF($L907="","",IF(DAYS360(NOW(),$L907)&gt;=0,DAYS360(NOW(),$L907),""))</f>
        <v/>
      </c>
      <c r="P907" s="34">
        <f>IF(OR(H907="",H907=0,F907="",K907=""),"",I907/H907*VLOOKUP(F907,'Membership Level'!$A$3:$C$15,3,FALSE)+K907)</f>
        <v/>
      </c>
      <c r="Q907" s="35" t="n"/>
    </row>
    <row r="908">
      <c r="C908" s="33" t="n"/>
      <c r="D908" s="33" t="n"/>
      <c r="E908" s="36" t="n"/>
      <c r="F908" s="36" t="n"/>
      <c r="G908" s="36" t="n"/>
      <c r="H908" s="81" t="n"/>
      <c r="I908" s="30" t="n"/>
      <c r="J908" s="31">
        <f>IF(H908="","",H908-I908)</f>
        <v/>
      </c>
      <c r="K908" s="43" t="n"/>
      <c r="L908" s="32">
        <f>IF(OR(K908="",$F908=""),"",DATE(YEAR(K908),MONTH(K908)+VLOOKUP($F908,'Membership Level'!$A$3:$B$15,2,FALSE),DAY(K908)))</f>
        <v/>
      </c>
      <c r="M908" s="33" t="n">
        <v>3</v>
      </c>
      <c r="N908" s="34">
        <f>IF($L908="","",DATE(YEAR($L908),MONTH($L908),DAY($L908)-$M908))</f>
        <v/>
      </c>
      <c r="O908" s="33">
        <f>IF($L908="","",IF(DAYS360(NOW(),$L908)&gt;=0,DAYS360(NOW(),$L908),""))</f>
        <v/>
      </c>
      <c r="P908" s="34">
        <f>IF(OR(H908="",H908=0,F908="",K908=""),"",I908/H908*VLOOKUP(F908,'Membership Level'!$A$3:$C$15,3,FALSE)+K908)</f>
        <v/>
      </c>
      <c r="Q908" s="36" t="n"/>
    </row>
    <row r="909">
      <c r="C909" s="33" t="n"/>
      <c r="D909" s="33" t="n"/>
      <c r="E909" s="36" t="n"/>
      <c r="F909" s="36" t="n"/>
      <c r="G909" s="36" t="n"/>
      <c r="H909" s="81" t="n"/>
      <c r="I909" s="30" t="n"/>
      <c r="J909" s="31">
        <f>IF(H909="","",H909-I909)</f>
        <v/>
      </c>
      <c r="K909" s="43" t="n"/>
      <c r="L909" s="32">
        <f>IF(OR(K909="",$F909=""),"",DATE(YEAR(K909),MONTH(K909)+VLOOKUP($F909,'Membership Level'!$A$3:$B$15,2,FALSE),DAY(K909)))</f>
        <v/>
      </c>
      <c r="M909" s="33" t="n">
        <v>3</v>
      </c>
      <c r="N909" s="34">
        <f>IF($L909="","",DATE(YEAR($L909),MONTH($L909),DAY($L909)-$M909))</f>
        <v/>
      </c>
      <c r="O909" s="33">
        <f>IF($L909="","",IF(DAYS360(NOW(),$L909)&gt;=0,DAYS360(NOW(),$L909),""))</f>
        <v/>
      </c>
      <c r="P909" s="34">
        <f>IF(OR(H909="",H909=0,F909="",K909=""),"",I909/H909*VLOOKUP(F909,'Membership Level'!$A$3:$C$15,3,FALSE)+K909)</f>
        <v/>
      </c>
      <c r="Q909" s="36" t="n"/>
    </row>
    <row r="910">
      <c r="C910" s="33" t="n"/>
      <c r="D910" s="33" t="n"/>
      <c r="E910" s="36" t="n"/>
      <c r="F910" s="36" t="n"/>
      <c r="G910" s="36" t="n"/>
      <c r="H910" s="81" t="n"/>
      <c r="I910" s="30" t="n"/>
      <c r="J910" s="31">
        <f>IF(H910="","",H910-I910)</f>
        <v/>
      </c>
      <c r="K910" s="43" t="n"/>
      <c r="L910" s="32">
        <f>IF(OR(K910="",$F910=""),"",DATE(YEAR(K910),MONTH(K910)+VLOOKUP($F910,'Membership Level'!$A$3:$B$15,2,FALSE),DAY(K910)))</f>
        <v/>
      </c>
      <c r="M910" s="33" t="n">
        <v>3</v>
      </c>
      <c r="N910" s="34">
        <f>IF($L910="","",DATE(YEAR($L910),MONTH($L910),DAY($L910)-$M910))</f>
        <v/>
      </c>
      <c r="O910" s="33">
        <f>IF($L910="","",IF(DAYS360(NOW(),$L910)&gt;=0,DAYS360(NOW(),$L910),""))</f>
        <v/>
      </c>
      <c r="P910" s="34">
        <f>IF(OR(H910="",H910=0,F910="",K910=""),"",I910/H910*VLOOKUP(F910,'Membership Level'!$A$3:$C$15,3,FALSE)+K910)</f>
        <v/>
      </c>
      <c r="Q910" s="36" t="n"/>
    </row>
    <row r="911">
      <c r="C911" s="33" t="n"/>
      <c r="D911" s="33" t="n"/>
      <c r="E911" s="36" t="n"/>
      <c r="F911" s="36" t="n"/>
      <c r="G911" s="36" t="n"/>
      <c r="H911" s="81" t="n"/>
      <c r="I911" s="30" t="n"/>
      <c r="J911" s="31">
        <f>IF(H911="","",H911-I911)</f>
        <v/>
      </c>
      <c r="K911" s="43" t="n"/>
      <c r="L911" s="32">
        <f>IF(OR(K911="",$F911=""),"",DATE(YEAR(K911),MONTH(K911)+VLOOKUP($F911,'Membership Level'!$A$3:$B$15,2,FALSE),DAY(K911)))</f>
        <v/>
      </c>
      <c r="M911" s="33" t="n">
        <v>3</v>
      </c>
      <c r="N911" s="34">
        <f>IF($L911="","",DATE(YEAR($L911),MONTH($L911),DAY($L911)-$M911))</f>
        <v/>
      </c>
      <c r="O911" s="33">
        <f>IF($L911="","",IF(DAYS360(NOW(),$L911)&gt;=0,DAYS360(NOW(),$L911),""))</f>
        <v/>
      </c>
      <c r="P911" s="34">
        <f>IF(OR(H911="",H911=0,F911="",K911=""),"",I911/H911*VLOOKUP(F911,'Membership Level'!$A$3:$C$15,3,FALSE)+K911)</f>
        <v/>
      </c>
      <c r="Q911" s="36" t="n"/>
    </row>
    <row r="912">
      <c r="C912" s="33" t="n"/>
      <c r="D912" s="33" t="n"/>
      <c r="E912" s="36" t="n"/>
      <c r="F912" s="36" t="n"/>
      <c r="G912" s="36" t="n"/>
      <c r="H912" s="30" t="n"/>
      <c r="I912" s="30" t="n"/>
      <c r="J912" s="31">
        <f>IF(H912="","",H912-I912)</f>
        <v/>
      </c>
      <c r="K912" s="43" t="n"/>
      <c r="L912" s="32">
        <f>IF(OR(K912="",$F912=""),"",DATE(YEAR(K912),MONTH(K912)+VLOOKUP($F912,'Membership Level'!$A$3:$B$15,2,FALSE),DAY(K912)))</f>
        <v/>
      </c>
      <c r="M912" s="33" t="n">
        <v>3</v>
      </c>
      <c r="N912" s="34">
        <f>IF($L912="","",DATE(YEAR($L912),MONTH($L912),DAY($L912)-$M912))</f>
        <v/>
      </c>
      <c r="O912" s="33">
        <f>IF($L912="","",IF(DAYS360(NOW(),$L912)&gt;=0,DAYS360(NOW(),$L912),""))</f>
        <v/>
      </c>
      <c r="P912" s="34">
        <f>IF(OR(H912="",H912=0,F912="",K912=""),"",I912/H912*VLOOKUP(F912,'Membership Level'!$A$3:$C$15,3,FALSE)+K912)</f>
        <v/>
      </c>
      <c r="Q912" s="36" t="n"/>
    </row>
    <row r="913">
      <c r="C913" s="33" t="n"/>
      <c r="D913" s="33" t="n"/>
      <c r="E913" s="36" t="n"/>
      <c r="F913" s="36" t="n"/>
      <c r="G913" s="36" t="n"/>
      <c r="H913" s="81" t="n"/>
      <c r="I913" s="30" t="n"/>
      <c r="J913" s="31">
        <f>IF(H913="","",H913-I913)</f>
        <v/>
      </c>
      <c r="K913" s="43" t="n"/>
      <c r="L913" s="32">
        <f>IF(OR(K913="",$F913=""),"",DATE(YEAR(K913),MONTH(K913)+VLOOKUP($F913,'Membership Level'!$A$3:$B$15,2,FALSE),DAY(K913)))</f>
        <v/>
      </c>
      <c r="M913" s="33" t="n">
        <v>3</v>
      </c>
      <c r="N913" s="34">
        <f>IF($L913="","",DATE(YEAR($L913),MONTH($L913),DAY($L913)-$M913))</f>
        <v/>
      </c>
      <c r="O913" s="33">
        <f>IF($L913="","",IF(DAYS360(NOW(),$L913)&gt;=0,DAYS360(NOW(),$L913),""))</f>
        <v/>
      </c>
      <c r="P913" s="34">
        <f>IF(OR(H913="",H913=0,F913="",K913=""),"",I913/H913*VLOOKUP(F913,'Membership Level'!$A$3:$C$15,3,FALSE)+K913)</f>
        <v/>
      </c>
      <c r="Q913" s="36" t="n"/>
    </row>
    <row r="914">
      <c r="C914" s="33" t="n"/>
      <c r="D914" s="36" t="n"/>
      <c r="E914" s="36" t="n"/>
      <c r="F914" s="36" t="n"/>
      <c r="G914" s="36" t="n"/>
      <c r="H914" s="81" t="n"/>
      <c r="I914" s="30" t="n"/>
      <c r="J914" s="31">
        <f>IF(H914="","",H914-I914)</f>
        <v/>
      </c>
      <c r="K914" s="43" t="n"/>
      <c r="L914" s="32">
        <f>IF(OR(K914="",$F914=""),"",DATE(YEAR(K914),MONTH(K914)+VLOOKUP($F914,'Membership Level'!$A$3:$B$15,2,FALSE),DAY(K914)))</f>
        <v/>
      </c>
      <c r="M914" s="33" t="n">
        <v>3</v>
      </c>
      <c r="N914" s="34">
        <f>IF($L914="","",DATE(YEAR($L914),MONTH($L914),DAY($L914)-$M914))</f>
        <v/>
      </c>
      <c r="O914" s="33">
        <f>IF($L914="","",IF(DAYS360(NOW(),$L914)&gt;=0,DAYS360(NOW(),$L914),""))</f>
        <v/>
      </c>
      <c r="P914" s="34">
        <f>IF(OR(H914="",H914=0,F914="",K914=""),"",I914/H914*VLOOKUP(F914,'Membership Level'!$A$3:$C$15,3,FALSE)+K914)</f>
        <v/>
      </c>
      <c r="Q914" s="36" t="n"/>
    </row>
    <row r="915" customFormat="1" s="63">
      <c r="C915" s="33" t="n"/>
      <c r="D915" s="33" t="n"/>
      <c r="E915" s="36" t="n"/>
      <c r="F915" s="33" t="n"/>
      <c r="G915" s="36" t="n"/>
      <c r="H915" s="81" t="n"/>
      <c r="I915" s="30" t="n"/>
      <c r="J915" s="31">
        <f>IF(H915="","",H915-I915)</f>
        <v/>
      </c>
      <c r="K915" s="43" t="n"/>
      <c r="L915" s="32">
        <f>IF(OR(K915="",$F915=""),"",DATE(YEAR(K915),MONTH(K915)+VLOOKUP($F915,'Membership Level'!$A$3:$B$15,2,FALSE),DAY(K915)))</f>
        <v/>
      </c>
      <c r="M915" s="33" t="n">
        <v>3</v>
      </c>
      <c r="N915" s="34">
        <f>IF($L915="","",DATE(YEAR($L915),MONTH($L915),DAY($L915)-$M915))</f>
        <v/>
      </c>
      <c r="O915" s="33">
        <f>IF($L915="","",IF(DAYS360(NOW(),$L915)&gt;=0,DAYS360(NOW(),$L915),""))</f>
        <v/>
      </c>
      <c r="P915" s="34">
        <f>IF(OR(H915="",H915=0,F915="",K915=""),"",I915/H915*VLOOKUP(F915,'Membership Level'!$A$3:$C$15,3,FALSE)+K915)</f>
        <v/>
      </c>
      <c r="Q915" s="36" t="n"/>
    </row>
    <row r="916">
      <c r="C916" s="33" t="n"/>
      <c r="D916" s="33" t="n"/>
      <c r="E916" s="66" t="n"/>
      <c r="F916" s="33" t="n"/>
      <c r="G916" s="36" t="n"/>
      <c r="H916" s="81" t="n"/>
      <c r="I916" s="30" t="n"/>
      <c r="J916" s="31">
        <f>IF(H916="","",H916-I916)</f>
        <v/>
      </c>
      <c r="K916" s="43" t="n"/>
      <c r="L916" s="32">
        <f>IF(OR(K916="",$F916=""),"",DATE(YEAR(K916),MONTH(K916)+VLOOKUP($F916,'Membership Level'!$A$3:$B$15,2,FALSE),DAY(K916)))</f>
        <v/>
      </c>
      <c r="M916" s="33" t="n">
        <v>3</v>
      </c>
      <c r="N916" s="34">
        <f>IF($L916="","",DATE(YEAR($L916),MONTH($L916),DAY($L916)-$M916))</f>
        <v/>
      </c>
      <c r="O916" s="33">
        <f>IF($L916="","",IF(DAYS360(NOW(),$L916)&gt;=0,DAYS360(NOW(),$L916),""))</f>
        <v/>
      </c>
      <c r="P916" s="34">
        <f>IF(OR(H916="",H916=0,F916="",K916=""),"",I916/H916*VLOOKUP(F916,'Membership Level'!$A$3:$C$15,3,FALSE)+K916)</f>
        <v/>
      </c>
      <c r="Q916" s="36" t="n"/>
    </row>
    <row r="917">
      <c r="C917" s="33" t="n"/>
      <c r="D917" s="33" t="n"/>
      <c r="E917" s="66" t="n"/>
      <c r="F917" s="33" t="n"/>
      <c r="G917" s="33" t="n"/>
      <c r="H917" s="44" t="n"/>
      <c r="I917" s="30" t="n"/>
      <c r="J917" s="31">
        <f>IF(H917="","",H917-I917)</f>
        <v/>
      </c>
      <c r="K917" s="32" t="n"/>
      <c r="L917" s="32">
        <f>IF(OR(K917="",$F917=""),"",DATE(YEAR(K917),MONTH(K917)+VLOOKUP($F917,'Membership Level'!$A$3:$B$15,2,FALSE),DAY(K917)))</f>
        <v/>
      </c>
      <c r="M917" s="33" t="n">
        <v>3</v>
      </c>
      <c r="N917" s="34">
        <f>IF($L917="","",DATE(YEAR($L917),MONTH($L917),DAY($L917)-$M917))</f>
        <v/>
      </c>
      <c r="O917" s="33">
        <f>IF($L917="","",IF(DAYS360(NOW(),$L917)&gt;=0,DAYS360(NOW(),$L917),""))</f>
        <v/>
      </c>
      <c r="P917" s="34">
        <f>IF(OR(H917="",H917=0,F917="",K917=""),"",I917/H917*VLOOKUP(F917,'Membership Level'!$A$3:$C$15,3,FALSE)+K917)</f>
        <v/>
      </c>
      <c r="Q917" s="33" t="n"/>
    </row>
    <row r="918">
      <c r="C918" s="33" t="n"/>
      <c r="D918" s="33" t="n"/>
      <c r="E918" s="33" t="n"/>
      <c r="F918" s="33" t="n"/>
      <c r="G918" s="33" t="n"/>
      <c r="H918" s="44" t="n"/>
      <c r="I918" s="30" t="n"/>
      <c r="J918" s="31">
        <f>IF(H918="","",H918-I918)</f>
        <v/>
      </c>
      <c r="K918" s="32" t="n"/>
      <c r="L918" s="32">
        <f>IF(OR(K918="",$F918=""),"",DATE(YEAR(K918),MONTH(K918)+VLOOKUP($F918,'Membership Level'!$A$3:$B$15,2,FALSE),DAY(K918)))</f>
        <v/>
      </c>
      <c r="M918" s="33" t="n">
        <v>3</v>
      </c>
      <c r="N918" s="34">
        <f>IF($L918="","",DATE(YEAR($L918),MONTH($L918),DAY($L918)-$M918))</f>
        <v/>
      </c>
      <c r="O918" s="33">
        <f>IF($L918="","",IF(DAYS360(NOW(),$L918)&gt;=0,DAYS360(NOW(),$L918),""))</f>
        <v/>
      </c>
      <c r="P918" s="34">
        <f>IF(OR(H918="",H918=0,F918="",K918=""),"",I918/H918*VLOOKUP(F918,'Membership Level'!$A$3:$C$15,3,FALSE)+K918)</f>
        <v/>
      </c>
      <c r="Q918" s="33" t="n"/>
    </row>
    <row r="919" customFormat="1" s="22">
      <c r="C919" s="33" t="n"/>
      <c r="D919" s="33" t="n"/>
      <c r="E919" s="66" t="n"/>
      <c r="F919" s="33" t="n"/>
      <c r="G919" s="33" t="n"/>
      <c r="H919" s="44" t="n"/>
      <c r="I919" s="44" t="n"/>
      <c r="J919" s="31">
        <f>IF(H919="","",H919-I919)</f>
        <v/>
      </c>
      <c r="K919" s="32" t="n"/>
      <c r="L919" s="32">
        <f>IF(OR(K919="",$F919=""),"",DATE(YEAR(K919),MONTH(K919)+VLOOKUP($F919,'Membership Level'!$A$3:$B$15,2,FALSE),DAY(K919)))</f>
        <v/>
      </c>
      <c r="M919" s="33" t="n">
        <v>3</v>
      </c>
      <c r="N919" s="34">
        <f>IF($L919="","",DATE(YEAR($L919),MONTH($L919),DAY($L919)-$M919))</f>
        <v/>
      </c>
      <c r="O919" s="33">
        <f>IF($L919="","",IF(DAYS360(NOW(),$L919)&gt;=0,DAYS360(NOW(),$L919),""))</f>
        <v/>
      </c>
      <c r="P919" s="34">
        <f>IF(OR(H919="",H919=0,F919="",K919=""),"",I919/H919*VLOOKUP(F919,'Membership Level'!$A$3:$C$15,3,FALSE)+K919)</f>
        <v/>
      </c>
      <c r="Q919" s="33" t="n"/>
    </row>
    <row r="920" customFormat="1" s="22">
      <c r="C920" s="33" t="n"/>
      <c r="D920" s="33" t="n"/>
      <c r="E920" s="33" t="n"/>
      <c r="F920" s="33" t="n"/>
      <c r="G920" s="33" t="n"/>
      <c r="H920" s="44" t="n"/>
      <c r="I920" s="44" t="n"/>
      <c r="J920" s="31">
        <f>IF(H920="","",H920-I920)</f>
        <v/>
      </c>
      <c r="K920" s="32" t="n"/>
      <c r="L920" s="32">
        <f>IF(OR(K920="",$F920=""),"",DATE(YEAR(K920),MONTH(K920)+VLOOKUP($F920,'Membership Level'!$A$3:$B$15,2,FALSE),DAY(K920)))</f>
        <v/>
      </c>
      <c r="M920" s="33" t="n">
        <v>3</v>
      </c>
      <c r="N920" s="34">
        <f>IF($L920="","",DATE(YEAR($L920),MONTH($L920),DAY($L920)-$M920))</f>
        <v/>
      </c>
      <c r="O920" s="33">
        <f>IF($L920="","",IF(DAYS360(NOW(),$L920)&gt;=0,DAYS360(NOW(),$L920),""))</f>
        <v/>
      </c>
      <c r="P920" s="34">
        <f>IF(OR(H920="",H920=0,F920="",K920=""),"",I920/H920*VLOOKUP(F920,'Membership Level'!$A$3:$C$15,3,FALSE)+K920)</f>
        <v/>
      </c>
      <c r="Q920" s="33" t="n"/>
    </row>
    <row r="921" customFormat="1" s="22">
      <c r="C921" s="80" t="n"/>
      <c r="D921" s="33" t="n"/>
      <c r="E921" s="66" t="n"/>
      <c r="F921" s="36" t="n"/>
      <c r="G921" s="33" t="n"/>
      <c r="H921" s="44" t="n"/>
      <c r="I921" s="44" t="n"/>
      <c r="J921" s="31">
        <f>IF(H921="","",H921-I921)</f>
        <v/>
      </c>
      <c r="K921" s="32" t="n"/>
      <c r="L921" s="32">
        <f>IF(OR(K921="",$F921=""),"",DATE(YEAR(K921),MONTH(K921)+VLOOKUP($F921,'Membership Level'!$A$3:$B$15,2,FALSE),DAY(K921)))</f>
        <v/>
      </c>
      <c r="M921" s="33" t="n">
        <v>3</v>
      </c>
      <c r="N921" s="34">
        <f>IF($L921="","",DATE(YEAR($L921),MONTH($L921),DAY($L921)-$M921))</f>
        <v/>
      </c>
      <c r="O921" s="33">
        <f>IF($L921="","",IF(DAYS360(NOW(),$L921)&gt;=0,DAYS360(NOW(),$L921),""))</f>
        <v/>
      </c>
      <c r="P921" s="34">
        <f>IF(OR(H921="",H921=0,F921="",K921=""),"",I921/H921*VLOOKUP(F921,'Membership Level'!$A$3:$C$15,3,FALSE)+K921)</f>
        <v/>
      </c>
      <c r="Q921" s="33" t="n"/>
    </row>
    <row r="922" customFormat="1" s="22">
      <c r="C922" s="33" t="n"/>
      <c r="D922" s="33" t="n"/>
      <c r="E922" s="36" t="n"/>
      <c r="F922" s="33" t="n"/>
      <c r="G922" s="33" t="n"/>
      <c r="H922" s="44" t="n"/>
      <c r="I922" s="44" t="n"/>
      <c r="J922" s="31">
        <f>IF(H922="","",H922-I922)</f>
        <v/>
      </c>
      <c r="K922" s="32" t="n"/>
      <c r="L922" s="32">
        <f>IF(OR(K922="",$F922=""),"",DATE(YEAR(K922),MONTH(K922)+VLOOKUP($F922,'Membership Level'!$A$3:$B$15,2,FALSE),DAY(K922)))</f>
        <v/>
      </c>
      <c r="M922" s="33" t="n">
        <v>3</v>
      </c>
      <c r="N922" s="34">
        <f>IF($L922="","",DATE(YEAR($L922),MONTH($L922),DAY($L922)-$M922))</f>
        <v/>
      </c>
      <c r="O922" s="33">
        <f>IF($L922="","",IF(DAYS360(NOW(),$L922)&gt;=0,DAYS360(NOW(),$L922),""))</f>
        <v/>
      </c>
      <c r="P922" s="34">
        <f>IF(OR(H922="",H922=0,F922="",K922=""),"",I922/H922*VLOOKUP(F922,'Membership Level'!$A$3:$C$15,3,FALSE)+K922)</f>
        <v/>
      </c>
      <c r="Q922" s="33" t="n"/>
    </row>
    <row r="923">
      <c r="C923" s="33" t="n"/>
      <c r="D923" s="36" t="n"/>
      <c r="E923" s="66" t="n"/>
      <c r="F923" s="33" t="n"/>
      <c r="G923" s="36" t="n"/>
      <c r="H923" s="30" t="n"/>
      <c r="I923" s="30" t="n"/>
      <c r="J923" s="31">
        <f>IF(H923="","",H923-I923)</f>
        <v/>
      </c>
      <c r="K923" s="43" t="n"/>
      <c r="L923" s="32">
        <f>IF(OR(K923="",$F923=""),"",DATE(YEAR(K923),MONTH(K923)+VLOOKUP($F923,'Membership Level'!$A$3:$B$15,2,FALSE),DAY(K923)))</f>
        <v/>
      </c>
      <c r="M923" s="33" t="n">
        <v>3</v>
      </c>
      <c r="N923" s="34">
        <f>IF($L923="","",DATE(YEAR($L923),MONTH($L923),DAY($L923)-$M923))</f>
        <v/>
      </c>
      <c r="O923" s="33">
        <f>IF($L923="","",IF(DAYS360(NOW(),$L923)&gt;=0,DAYS360(NOW(),$L923),""))</f>
        <v/>
      </c>
      <c r="P923" s="34">
        <f>IF(OR(H923="",H923=0,F923="",K923=""),"",I923/H923*VLOOKUP(F923,'Membership Level'!$A$3:$C$15,3,FALSE)+K923)</f>
        <v/>
      </c>
      <c r="Q923" s="36" t="n"/>
    </row>
    <row r="924">
      <c r="C924" s="33" t="n"/>
      <c r="D924" s="33" t="n"/>
      <c r="E924" s="33" t="n"/>
      <c r="F924" s="33" t="n"/>
      <c r="G924" s="33" t="n"/>
      <c r="H924" s="44" t="n"/>
      <c r="I924" s="30" t="n"/>
      <c r="J924" s="31">
        <f>IF(H924="","",H924-I924)</f>
        <v/>
      </c>
      <c r="K924" s="32" t="n"/>
      <c r="L924" s="32">
        <f>IF(OR(K924="",$F924=""),"",DATE(YEAR(K924),MONTH(K924)+VLOOKUP($F924,'Membership Level'!$A$3:$B$15,2,FALSE),DAY(K924)))</f>
        <v/>
      </c>
      <c r="M924" s="33" t="n">
        <v>3</v>
      </c>
      <c r="N924" s="34">
        <f>IF($L924="","",DATE(YEAR($L924),MONTH($L924),DAY($L924)-$M924))</f>
        <v/>
      </c>
      <c r="O924" s="33">
        <f>IF($L924="","",IF(DAYS360(NOW(),$L924)&gt;=0,DAYS360(NOW(),$L924),""))</f>
        <v/>
      </c>
      <c r="P924" s="34">
        <f>IF(OR(H924="",H924=0,F924="",K924=""),"",I924/H924*VLOOKUP(F924,'Membership Level'!$A$3:$C$15,3,FALSE)+K924)</f>
        <v/>
      </c>
      <c r="Q924" s="66" t="n"/>
    </row>
    <row r="925" customFormat="1" s="22">
      <c r="C925" s="33" t="n"/>
      <c r="D925" s="33" t="n"/>
      <c r="E925" s="66" t="n"/>
      <c r="F925" s="33" t="n"/>
      <c r="G925" s="33" t="n"/>
      <c r="H925" s="44" t="n"/>
      <c r="I925" s="44" t="n"/>
      <c r="J925" s="31">
        <f>IF(H925="","",H925-I925)</f>
        <v/>
      </c>
      <c r="K925" s="32" t="n"/>
      <c r="L925" s="32">
        <f>IF(OR(K925="",$F925=""),"",DATE(YEAR(K925),MONTH(K925)+VLOOKUP($F925,'Membership Level'!$A$3:$B$15,2,FALSE),DAY(K925)))</f>
        <v/>
      </c>
      <c r="M925" s="33" t="n">
        <v>3</v>
      </c>
      <c r="N925" s="34">
        <f>IF($L925="","",DATE(YEAR($L925),MONTH($L925),DAY($L925)-$M925))</f>
        <v/>
      </c>
      <c r="O925" s="33">
        <f>IF($L925="","",IF(DAYS360(NOW(),$L925)&gt;=0,DAYS360(NOW(),$L925),""))</f>
        <v/>
      </c>
      <c r="P925" s="34">
        <f>IF(OR(H925="",H925=0,F925="",K925=""),"",I925/H925*VLOOKUP(F925,'Membership Level'!$A$3:$C$15,3,FALSE)+K925)</f>
        <v/>
      </c>
      <c r="Q925" s="33" t="n"/>
    </row>
    <row r="926" customFormat="1" s="22">
      <c r="C926" s="33" t="n"/>
      <c r="D926" s="33" t="n"/>
      <c r="E926" s="66" t="n"/>
      <c r="F926" s="36" t="n"/>
      <c r="G926" s="33" t="n"/>
      <c r="H926" s="44" t="n"/>
      <c r="I926" s="44" t="n"/>
      <c r="J926" s="31">
        <f>IF(H926="","",H926-I926)</f>
        <v/>
      </c>
      <c r="K926" s="32" t="n"/>
      <c r="L926" s="32">
        <f>IF(OR(K926="",$F926=""),"",DATE(YEAR(K926),MONTH(K926)+VLOOKUP($F926,'Membership Level'!$A$3:$B$15,2,FALSE),DAY(K926)))</f>
        <v/>
      </c>
      <c r="M926" s="33" t="n">
        <v>3</v>
      </c>
      <c r="N926" s="34">
        <f>IF($L926="","",DATE(YEAR($L926),MONTH($L926),DAY($L926)-$M926))</f>
        <v/>
      </c>
      <c r="O926" s="33">
        <f>IF($L926="","",IF(DAYS360(NOW(),$L926)&gt;=0,DAYS360(NOW(),$L926),""))</f>
        <v/>
      </c>
      <c r="P926" s="34">
        <f>IF(OR(H926="",H926=0,F926="",K926=""),"",I926/H926*VLOOKUP(F926,'Membership Level'!$A$3:$C$15,3,FALSE)+K926)</f>
        <v/>
      </c>
      <c r="Q926" s="33" t="n"/>
    </row>
    <row r="927" customFormat="1" s="22">
      <c r="C927" s="33" t="n"/>
      <c r="D927" s="33" t="n"/>
      <c r="E927" s="35" t="n"/>
      <c r="F927" s="33" t="n"/>
      <c r="G927" s="33" t="n"/>
      <c r="H927" s="44" t="n"/>
      <c r="I927" s="44" t="n"/>
      <c r="J927" s="31">
        <f>IF(H927="","",H927-I927)</f>
        <v/>
      </c>
      <c r="K927" s="32" t="n"/>
      <c r="L927" s="32">
        <f>IF(OR(K927="",$F927=""),"",DATE(YEAR(K927),MONTH(K927)+VLOOKUP($F927,'Membership Level'!$A$3:$B$15,2,FALSE),DAY(K927)))</f>
        <v/>
      </c>
      <c r="M927" s="33" t="n">
        <v>3</v>
      </c>
      <c r="N927" s="34">
        <f>IF($L927="","",DATE(YEAR($L927),MONTH($L927),DAY($L927)-$M927))</f>
        <v/>
      </c>
      <c r="O927" s="33">
        <f>IF($L927="","",IF(DAYS360(NOW(),$L927)&gt;=0,DAYS360(NOW(),$L927),""))</f>
        <v/>
      </c>
      <c r="P927" s="34">
        <f>IF(OR(H927="",H927=0,F927="",K927=""),"",I927/H927*VLOOKUP(F927,'Membership Level'!$A$3:$C$15,3,FALSE)+K927)</f>
        <v/>
      </c>
      <c r="Q927" s="33" t="n"/>
    </row>
    <row r="928">
      <c r="C928" s="33" t="n"/>
      <c r="D928" s="36" t="n"/>
      <c r="E928" s="66" t="n"/>
      <c r="F928" s="36" t="n"/>
      <c r="G928" s="36" t="n"/>
      <c r="H928" s="30" t="n"/>
      <c r="I928" s="30" t="n"/>
      <c r="J928" s="31">
        <f>IF(H928="","",H928-I928)</f>
        <v/>
      </c>
      <c r="K928" s="43" t="n"/>
      <c r="L928" s="32">
        <f>IF(OR(K928="",$F928=""),"",DATE(YEAR(K928),MONTH(K928)+VLOOKUP($F928,'Membership Level'!$A$3:$B$15,2,FALSE),DAY(K928)))</f>
        <v/>
      </c>
      <c r="M928" s="33" t="n">
        <v>3</v>
      </c>
      <c r="N928" s="34">
        <f>IF($L928="","",DATE(YEAR($L928),MONTH($L928),DAY($L928)-$M928))</f>
        <v/>
      </c>
      <c r="O928" s="33">
        <f>IF($L928="","",IF(DAYS360(NOW(),$L928)&gt;=0,DAYS360(NOW(),$L928),""))</f>
        <v/>
      </c>
      <c r="P928" s="34">
        <f>IF(OR(H928="",H928=0,F928="",K928=""),"",I928/H928*VLOOKUP(F928,'Membership Level'!$A$3:$C$15,3,FALSE)+K928)</f>
        <v/>
      </c>
      <c r="Q928" s="36" t="n"/>
    </row>
    <row r="929" customFormat="1" s="22">
      <c r="C929" s="33" t="n"/>
      <c r="D929" s="33" t="n"/>
      <c r="E929" s="35" t="n"/>
      <c r="F929" s="33" t="n"/>
      <c r="G929" s="33" t="n"/>
      <c r="H929" s="44" t="n"/>
      <c r="I929" s="30" t="n"/>
      <c r="J929" s="31">
        <f>IF(H929="","",H929-I929)</f>
        <v/>
      </c>
      <c r="K929" s="32" t="n"/>
      <c r="L929" s="32">
        <f>IF(OR(K929="",$F929=""),"",DATE(YEAR(K929),MONTH(K929)+VLOOKUP($F929,'Membership Level'!$A$3:$B$15,2,FALSE),DAY(K929)))</f>
        <v/>
      </c>
      <c r="M929" s="33" t="n">
        <v>3</v>
      </c>
      <c r="N929" s="34">
        <f>IF($L929="","",DATE(YEAR($L929),MONTH($L929),DAY($L929)-$M929))</f>
        <v/>
      </c>
      <c r="O929" s="33">
        <f>IF($L929="","",IF(DAYS360(NOW(),$L929)&gt;=0,DAYS360(NOW(),$L929),""))</f>
        <v/>
      </c>
      <c r="P929" s="34">
        <f>IF(OR(H929="",H929=0,F929="",K929=""),"",I929/H929*VLOOKUP(F929,'Membership Level'!$A$3:$C$15,3,FALSE)+K929)</f>
        <v/>
      </c>
      <c r="Q929" s="33" t="n"/>
    </row>
    <row r="930">
      <c r="C930" s="33" t="n"/>
      <c r="D930" s="36" t="n"/>
      <c r="E930" s="66" t="n"/>
      <c r="F930" s="33" t="n"/>
      <c r="G930" s="36" t="n"/>
      <c r="H930" s="30" t="n"/>
      <c r="I930" s="30" t="n"/>
      <c r="J930" s="31">
        <f>IF(H930="","",H930-I930)</f>
        <v/>
      </c>
      <c r="K930" s="43" t="n"/>
      <c r="L930" s="32">
        <f>IF(OR(K930="",$F930=""),"",DATE(YEAR(K930),MONTH(K930)+VLOOKUP($F930,'Membership Level'!$A$3:$B$15,2,FALSE),DAY(K930)))</f>
        <v/>
      </c>
      <c r="M930" s="33" t="n">
        <v>3</v>
      </c>
      <c r="N930" s="34">
        <f>IF($L930="","",DATE(YEAR($L930),MONTH($L930),DAY($L930)-$M930))</f>
        <v/>
      </c>
      <c r="O930" s="33">
        <f>IF($L930="","",IF(DAYS360(NOW(),$L930)&gt;=0,DAYS360(NOW(),$L930),""))</f>
        <v/>
      </c>
      <c r="P930" s="34">
        <f>IF(OR(H930="",H930=0,F930="",K930=""),"",I930/H930*VLOOKUP(F930,'Membership Level'!$A$3:$C$15,3,FALSE)+K930)</f>
        <v/>
      </c>
      <c r="Q930" s="36" t="n"/>
    </row>
    <row r="931" customFormat="1" s="22">
      <c r="C931" s="33" t="n"/>
      <c r="D931" s="33" t="n"/>
      <c r="E931" s="66" t="n"/>
      <c r="F931" s="33" t="n"/>
      <c r="G931" s="33" t="n"/>
      <c r="H931" s="44" t="n"/>
      <c r="I931" s="30" t="n"/>
      <c r="J931" s="31">
        <f>IF(H931="","",H931-I931)</f>
        <v/>
      </c>
      <c r="K931" s="32" t="n"/>
      <c r="L931" s="32">
        <f>IF(OR(K931="",$F931=""),"",DATE(YEAR(K931),MONTH(K931)+VLOOKUP($F931,'Membership Level'!$A$3:$B$15,2,FALSE),DAY(K931)))</f>
        <v/>
      </c>
      <c r="M931" s="33" t="n">
        <v>3</v>
      </c>
      <c r="N931" s="34">
        <f>IF($L931="","",DATE(YEAR($L931),MONTH($L931),DAY($L931)-$M931))</f>
        <v/>
      </c>
      <c r="O931" s="33">
        <f>IF($L931="","",IF(DAYS360(NOW(),$L931)&gt;=0,DAYS360(NOW(),$L931),""))</f>
        <v/>
      </c>
      <c r="P931" s="34">
        <f>IF(OR(H931="",H931=0,F931="",K931=""),"",I931/H931*VLOOKUP(F931,'Membership Level'!$A$3:$C$15,3,FALSE)+K931)</f>
        <v/>
      </c>
      <c r="Q931" s="33" t="n"/>
    </row>
    <row r="932" customFormat="1" s="22">
      <c r="C932" s="33" t="n"/>
      <c r="D932" s="33" t="n"/>
      <c r="E932" s="66" t="n"/>
      <c r="F932" s="33" t="n"/>
      <c r="G932" s="33" t="n"/>
      <c r="H932" s="44" t="n"/>
      <c r="I932" s="44" t="n"/>
      <c r="J932" s="31">
        <f>IF(H932="","",H932-I932)</f>
        <v/>
      </c>
      <c r="K932" s="32" t="n"/>
      <c r="L932" s="32">
        <f>IF(OR(K932="",$F932=""),"",DATE(YEAR(K932),MONTH(K932)+VLOOKUP($F932,'Membership Level'!$A$3:$B$15,2,FALSE),DAY(K932)))</f>
        <v/>
      </c>
      <c r="M932" s="33" t="n">
        <v>3</v>
      </c>
      <c r="N932" s="34">
        <f>IF($L932="","",DATE(YEAR($L932),MONTH($L932),DAY($L932)-$M932))</f>
        <v/>
      </c>
      <c r="O932" s="33">
        <f>IF($L932="","",IF(DAYS360(NOW(),$L932)&gt;=0,DAYS360(NOW(),$L932),""))</f>
        <v/>
      </c>
      <c r="P932" s="34">
        <f>IF(OR(H932="",H932=0,F932="",K932=""),"",I932/H932*VLOOKUP(F932,'Membership Level'!$A$3:$C$15,3,FALSE)+K932)</f>
        <v/>
      </c>
      <c r="Q932" s="33" t="n"/>
    </row>
    <row r="933" customFormat="1" s="22">
      <c r="C933" s="33" t="n"/>
      <c r="D933" s="33" t="n"/>
      <c r="E933" s="66" t="n"/>
      <c r="F933" s="33" t="n"/>
      <c r="G933" s="33" t="n"/>
      <c r="H933" s="44" t="n"/>
      <c r="I933" s="44" t="n"/>
      <c r="J933" s="31">
        <f>IF(H933="","",H933-I933)</f>
        <v/>
      </c>
      <c r="K933" s="32" t="n"/>
      <c r="L933" s="32">
        <f>IF(OR(K933="",$F933=""),"",DATE(YEAR(K933),MONTH(K933)+VLOOKUP($F933,'Membership Level'!$A$3:$B$15,2,FALSE),DAY(K933)))</f>
        <v/>
      </c>
      <c r="M933" s="33" t="n">
        <v>3</v>
      </c>
      <c r="N933" s="34">
        <f>IF($L933="","",DATE(YEAR($L933),MONTH($L933),DAY($L933)-$M933))</f>
        <v/>
      </c>
      <c r="O933" s="33">
        <f>IF($L933="","",IF(DAYS360(NOW(),$L933)&gt;=0,DAYS360(NOW(),$L933),""))</f>
        <v/>
      </c>
      <c r="P933" s="34">
        <f>IF(OR(H933="",H933=0,F933="",K933=""),"",I933/H933*VLOOKUP(F933,'Membership Level'!$A$3:$C$15,3,FALSE)+K933)</f>
        <v/>
      </c>
      <c r="Q933" s="33" t="n"/>
    </row>
    <row r="934" customFormat="1" s="22">
      <c r="C934" s="33" t="n"/>
      <c r="D934" s="33" t="n"/>
      <c r="E934" s="66" t="n"/>
      <c r="F934" s="33" t="n"/>
      <c r="G934" s="33" t="n"/>
      <c r="H934" s="44" t="n"/>
      <c r="I934" s="44" t="n"/>
      <c r="J934" s="31">
        <f>IF(H934="","",H934-I934)</f>
        <v/>
      </c>
      <c r="K934" s="32" t="n"/>
      <c r="L934" s="32">
        <f>IF(OR(K934="",$F934=""),"",DATE(YEAR(K934),MONTH(K934)+VLOOKUP($F934,'Membership Level'!$A$3:$B$15,2,FALSE),DAY(K934)))</f>
        <v/>
      </c>
      <c r="M934" s="33" t="n">
        <v>3</v>
      </c>
      <c r="N934" s="34">
        <f>IF($L934="","",DATE(YEAR($L934),MONTH($L934),DAY($L934)-$M934))</f>
        <v/>
      </c>
      <c r="O934" s="33">
        <f>IF($L934="","",IF(DAYS360(NOW(),$L934)&gt;=0,DAYS360(NOW(),$L934),""))</f>
        <v/>
      </c>
      <c r="P934" s="34">
        <f>IF(OR(H934="",H934=0,F934="",K934=""),"",I934/H934*VLOOKUP(F934,'Membership Level'!$A$3:$C$15,3,FALSE)+K934)</f>
        <v/>
      </c>
      <c r="Q934" s="33" t="n"/>
    </row>
    <row r="935" customFormat="1" s="22">
      <c r="C935" s="33" t="n"/>
      <c r="D935" s="33" t="n"/>
      <c r="E935" s="33" t="n"/>
      <c r="F935" s="33" t="n"/>
      <c r="G935" s="33" t="n"/>
      <c r="H935" s="44" t="n"/>
      <c r="I935" s="44" t="n"/>
      <c r="J935" s="31">
        <f>IF(H935="","",H935-I935)</f>
        <v/>
      </c>
      <c r="K935" s="32" t="n"/>
      <c r="L935" s="32">
        <f>IF(OR(K935="",$F935=""),"",DATE(YEAR(K935),MONTH(K935)+VLOOKUP($F935,'Membership Level'!$A$3:$B$15,2,FALSE),DAY(K935)))</f>
        <v/>
      </c>
      <c r="M935" s="33" t="n">
        <v>3</v>
      </c>
      <c r="N935" s="34">
        <f>IF($L935="","",DATE(YEAR($L935),MONTH($L935),DAY($L935)-$M935))</f>
        <v/>
      </c>
      <c r="O935" s="33">
        <f>IF($L935="","",IF(DAYS360(NOW(),$L935)&gt;=0,DAYS360(NOW(),$L935),""))</f>
        <v/>
      </c>
      <c r="P935" s="34">
        <f>IF(OR(H935="",H935=0,F935="",K935=""),"",I935/H935*VLOOKUP(F935,'Membership Level'!$A$3:$C$15,3,FALSE)+K935)</f>
        <v/>
      </c>
      <c r="Q935" s="33" t="n"/>
    </row>
    <row r="936" customFormat="1" s="22">
      <c r="C936" s="33" t="n"/>
      <c r="D936" s="33" t="n"/>
      <c r="E936" s="33" t="n"/>
      <c r="F936" s="36" t="n"/>
      <c r="G936" s="33" t="n"/>
      <c r="H936" s="44" t="n"/>
      <c r="I936" s="44" t="n"/>
      <c r="J936" s="31">
        <f>IF(H936="","",H936-I936)</f>
        <v/>
      </c>
      <c r="K936" s="32" t="n"/>
      <c r="L936" s="32">
        <f>IF(OR(K936="",$F936=""),"",DATE(YEAR(K936),MONTH(K936)+VLOOKUP($F936,'Membership Level'!$A$3:$B$15,2,FALSE),DAY(K936)))</f>
        <v/>
      </c>
      <c r="M936" s="33" t="n">
        <v>3</v>
      </c>
      <c r="N936" s="34">
        <f>IF($L936="","",DATE(YEAR($L936),MONTH($L936),DAY($L936)-$M936))</f>
        <v/>
      </c>
      <c r="O936" s="33">
        <f>IF($L936="","",IF(DAYS360(NOW(),$L936)&gt;=0,DAYS360(NOW(),$L936),""))</f>
        <v/>
      </c>
      <c r="P936" s="34">
        <f>IF(OR(H936="",H936=0,F936="",K936=""),"",I936/H936*VLOOKUP(F936,'Membership Level'!$A$3:$C$15,3,FALSE)+K936)</f>
        <v/>
      </c>
      <c r="Q936" s="33" t="n"/>
    </row>
    <row r="937" customFormat="1" s="22">
      <c r="C937" s="33" t="n"/>
      <c r="D937" s="33" t="n"/>
      <c r="E937" s="35" t="n"/>
      <c r="F937" s="36" t="n"/>
      <c r="G937" s="33" t="n"/>
      <c r="H937" s="44" t="n"/>
      <c r="I937" s="44" t="n"/>
      <c r="J937" s="31">
        <f>IF(H937="","",H937-I937)</f>
        <v/>
      </c>
      <c r="K937" s="32" t="n"/>
      <c r="L937" s="32">
        <f>IF(OR(K937="",$F937=""),"",DATE(YEAR(K937),MONTH(K937)+VLOOKUP($F937,'Membership Level'!$A$3:$B$15,2,FALSE),DAY(K937)))</f>
        <v/>
      </c>
      <c r="M937" s="33" t="n">
        <v>3</v>
      </c>
      <c r="N937" s="34">
        <f>IF($L937="","",DATE(YEAR($L937),MONTH($L937),DAY($L937)-$M937))</f>
        <v/>
      </c>
      <c r="O937" s="33">
        <f>IF($L937="","",IF(DAYS360(NOW(),$L937)&gt;=0,DAYS360(NOW(),$L937),""))</f>
        <v/>
      </c>
      <c r="P937" s="34">
        <f>IF(OR(H937="",H937=0,F937="",K937=""),"",I937/H937*VLOOKUP(F937,'Membership Level'!$A$3:$C$15,3,FALSE)+K937)</f>
        <v/>
      </c>
      <c r="Q937" s="33" t="n"/>
    </row>
    <row r="938">
      <c r="C938" s="33" t="n"/>
      <c r="D938" s="36" t="n"/>
      <c r="E938" s="35" t="n"/>
      <c r="F938" s="36" t="n"/>
      <c r="G938" s="36" t="n"/>
      <c r="H938" s="30" t="n"/>
      <c r="I938" s="30" t="n"/>
      <c r="J938" s="31">
        <f>IF(H938="","",H938-I938)</f>
        <v/>
      </c>
      <c r="K938" s="43" t="n"/>
      <c r="L938" s="32">
        <f>IF(OR(K938="",$F938=""),"",DATE(YEAR(K938),MONTH(K938)+VLOOKUP($F938,'Membership Level'!$A$3:$B$15,2,FALSE),DAY(K938)))</f>
        <v/>
      </c>
      <c r="M938" s="33" t="n">
        <v>3</v>
      </c>
      <c r="N938" s="34">
        <f>IF($L938="","",DATE(YEAR($L938),MONTH($L938),DAY($L938)-$M938))</f>
        <v/>
      </c>
      <c r="O938" s="33">
        <f>IF($L938="","",IF(DAYS360(NOW(),$L938)&gt;=0,DAYS360(NOW(),$L938),""))</f>
        <v/>
      </c>
      <c r="P938" s="34">
        <f>IF(OR(H938="",H938=0,F938="",K938=""),"",I938/H938*VLOOKUP(F938,'Membership Level'!$A$3:$C$15,3,FALSE)+K938)</f>
        <v/>
      </c>
      <c r="Q938" s="36" t="n"/>
    </row>
    <row r="939">
      <c r="C939" s="33" t="n"/>
      <c r="D939" s="36" t="n"/>
      <c r="E939" s="35" t="n"/>
      <c r="F939" s="36" t="n"/>
      <c r="G939" s="36" t="n"/>
      <c r="H939" s="30" t="n"/>
      <c r="I939" s="30" t="n"/>
      <c r="J939" s="31">
        <f>IF(H939="","",H939-I939)</f>
        <v/>
      </c>
      <c r="K939" s="43" t="n"/>
      <c r="L939" s="32">
        <f>IF(OR(K939="",$F939=""),"",DATE(YEAR(K939),MONTH(K939)+VLOOKUP($F939,'Membership Level'!$A$3:$B$15,2,FALSE),DAY(K939)))</f>
        <v/>
      </c>
      <c r="M939" s="33" t="n">
        <v>3</v>
      </c>
      <c r="N939" s="34">
        <f>IF($L939="","",DATE(YEAR($L939),MONTH($L939),DAY($L939)-$M939))</f>
        <v/>
      </c>
      <c r="O939" s="33">
        <f>IF($L939="","",IF(DAYS360(NOW(),$L939)&gt;=0,DAYS360(NOW(),$L939),""))</f>
        <v/>
      </c>
      <c r="P939" s="34">
        <f>IF(OR(H939="",H939=0,F939="",K939=""),"",I939/H939*VLOOKUP(F939,'Membership Level'!$A$3:$C$15,3,FALSE)+K939)</f>
        <v/>
      </c>
      <c r="Q939" s="36" t="n"/>
    </row>
    <row r="940">
      <c r="C940" s="33" t="n"/>
      <c r="D940" s="36" t="n"/>
      <c r="E940" s="35" t="n"/>
      <c r="F940" s="36" t="n"/>
      <c r="G940" s="36" t="n"/>
      <c r="H940" s="30" t="n"/>
      <c r="I940" s="30" t="n"/>
      <c r="J940" s="31">
        <f>IF(H940="","",H940-I940)</f>
        <v/>
      </c>
      <c r="K940" s="43" t="n"/>
      <c r="L940" s="32">
        <f>IF(OR(K940="",$F940=""),"",DATE(YEAR(K940),MONTH(K940)+VLOOKUP($F940,'Membership Level'!$A$3:$B$15,2,FALSE),DAY(K940)))</f>
        <v/>
      </c>
      <c r="M940" s="33" t="n">
        <v>3</v>
      </c>
      <c r="N940" s="34">
        <f>IF($L940="","",DATE(YEAR($L940),MONTH($L940),DAY($L940)-$M940))</f>
        <v/>
      </c>
      <c r="O940" s="33">
        <f>IF($L940="","",IF(DAYS360(NOW(),$L940)&gt;=0,DAYS360(NOW(),$L940),""))</f>
        <v/>
      </c>
      <c r="P940" s="34">
        <f>IF(OR(H940="",H940=0,F940="",K940=""),"",I940/H940*VLOOKUP(F940,'Membership Level'!$A$3:$C$15,3,FALSE)+K940)</f>
        <v/>
      </c>
      <c r="Q940" s="36" t="n"/>
    </row>
    <row r="941">
      <c r="C941" s="33" t="n"/>
      <c r="D941" s="36" t="n"/>
      <c r="E941" s="35" t="n"/>
      <c r="F941" s="36" t="n"/>
      <c r="G941" s="36" t="n"/>
      <c r="H941" s="30" t="n"/>
      <c r="I941" s="30" t="n"/>
      <c r="J941" s="31">
        <f>IF(H941="","",H941-I941)</f>
        <v/>
      </c>
      <c r="K941" s="43" t="n"/>
      <c r="L941" s="32">
        <f>IF(OR(K941="",$F941=""),"",DATE(YEAR(K941),MONTH(K941)+VLOOKUP($F941,'Membership Level'!$A$3:$B$15,2,FALSE),DAY(K941)))</f>
        <v/>
      </c>
      <c r="M941" s="33" t="n">
        <v>3</v>
      </c>
      <c r="N941" s="34">
        <f>IF($L941="","",DATE(YEAR($L941),MONTH($L941),DAY($L941)-$M941))</f>
        <v/>
      </c>
      <c r="O941" s="33">
        <f>IF($L941="","",IF(DAYS360(NOW(),$L941)&gt;=0,DAYS360(NOW(),$L941),""))</f>
        <v/>
      </c>
      <c r="P941" s="34">
        <f>IF(OR(H941="",H941=0,F941="",K941=""),"",I941/H941*VLOOKUP(F941,'Membership Level'!$A$3:$C$15,3,FALSE)+K941)</f>
        <v/>
      </c>
      <c r="Q941" s="36" t="n"/>
    </row>
    <row r="942">
      <c r="C942" s="33" t="n"/>
      <c r="D942" s="36" t="n"/>
      <c r="E942" s="35" t="n"/>
      <c r="F942" s="36" t="n"/>
      <c r="G942" s="36" t="n"/>
      <c r="H942" s="30" t="n"/>
      <c r="I942" s="30" t="n"/>
      <c r="J942" s="31">
        <f>IF(H942="","",H942-I942)</f>
        <v/>
      </c>
      <c r="K942" s="43" t="n"/>
      <c r="L942" s="32">
        <f>IF(OR(K942="",$F942=""),"",DATE(YEAR(K942),MONTH(K942)+VLOOKUP($F942,'Membership Level'!$A$3:$B$15,2,FALSE),DAY(K942)))</f>
        <v/>
      </c>
      <c r="M942" s="33" t="n">
        <v>3</v>
      </c>
      <c r="N942" s="34">
        <f>IF($L942="","",DATE(YEAR($L942),MONTH($L942),DAY($L942)-$M942))</f>
        <v/>
      </c>
      <c r="O942" s="33">
        <f>IF($L942="","",IF(DAYS360(NOW(),$L942)&gt;=0,DAYS360(NOW(),$L942),""))</f>
        <v/>
      </c>
      <c r="P942" s="34">
        <f>IF(OR(H942="",H942=0,F942="",K942=""),"",I942/H942*VLOOKUP(F942,'Membership Level'!$A$3:$C$15,3,FALSE)+K942)</f>
        <v/>
      </c>
      <c r="Q942" s="36" t="n"/>
    </row>
    <row r="943">
      <c r="C943" s="33" t="n"/>
      <c r="D943" s="36" t="n"/>
      <c r="E943" s="35" t="n"/>
      <c r="F943" s="36" t="n"/>
      <c r="G943" s="36" t="n"/>
      <c r="H943" s="30" t="n"/>
      <c r="I943" s="30" t="n"/>
      <c r="J943" s="31">
        <f>IF(H943="","",H943-I943)</f>
        <v/>
      </c>
      <c r="K943" s="43" t="n"/>
      <c r="L943" s="32">
        <f>IF(OR(K943="",$F943=""),"",DATE(YEAR(K943),MONTH(K943)+VLOOKUP($F943,'Membership Level'!$A$3:$B$15,2,FALSE),DAY(K943)))</f>
        <v/>
      </c>
      <c r="M943" s="33" t="n">
        <v>3</v>
      </c>
      <c r="N943" s="34">
        <f>IF($L943="","",DATE(YEAR($L943),MONTH($L943),DAY($L943)-$M943))</f>
        <v/>
      </c>
      <c r="O943" s="33">
        <f>IF($L943="","",IF(DAYS360(NOW(),$L943)&gt;=0,DAYS360(NOW(),$L943),""))</f>
        <v/>
      </c>
      <c r="P943" s="34">
        <f>IF(OR(H943="",H943=0,F943="",K943=""),"",I943/H943*VLOOKUP(F943,'Membership Level'!$A$3:$C$15,3,FALSE)+K943)</f>
        <v/>
      </c>
      <c r="Q943" s="36" t="n"/>
    </row>
    <row r="944">
      <c r="C944" s="33" t="n"/>
      <c r="D944" s="36" t="n"/>
      <c r="E944" s="35" t="n"/>
      <c r="F944" s="33" t="n"/>
      <c r="G944" s="36" t="n"/>
      <c r="H944" s="30" t="n"/>
      <c r="I944" s="30" t="n"/>
      <c r="J944" s="31">
        <f>IF(H944="","",H944-I944)</f>
        <v/>
      </c>
      <c r="K944" s="43" t="n"/>
      <c r="L944" s="32">
        <f>IF(OR(K944="",$F944=""),"",DATE(YEAR(K944),MONTH(K944)+VLOOKUP($F944,'Membership Level'!$A$3:$B$15,2,FALSE),DAY(K944)))</f>
        <v/>
      </c>
      <c r="M944" s="33" t="n">
        <v>3</v>
      </c>
      <c r="N944" s="34">
        <f>IF($L944="","",DATE(YEAR($L944),MONTH($L944),DAY($L944)-$M944))</f>
        <v/>
      </c>
      <c r="O944" s="33">
        <f>IF($L944="","",IF(DAYS360(NOW(),$L944)&gt;=0,DAYS360(NOW(),$L944),""))</f>
        <v/>
      </c>
      <c r="P944" s="34">
        <f>IF(OR(H944="",H944=0,F944="",K944=""),"",I944/H944*VLOOKUP(F944,'Membership Level'!$A$3:$C$15,3,FALSE)+K944)</f>
        <v/>
      </c>
      <c r="Q944" s="36" t="n"/>
    </row>
    <row r="945">
      <c r="C945" s="33" t="n"/>
      <c r="D945" s="36" t="n"/>
      <c r="E945" s="66" t="n"/>
      <c r="F945" s="36" t="n"/>
      <c r="G945" s="36" t="n"/>
      <c r="H945" s="30" t="n"/>
      <c r="I945" s="30" t="n"/>
      <c r="J945" s="31">
        <f>IF(H945="","",H945-I945)</f>
        <v/>
      </c>
      <c r="K945" s="43" t="n"/>
      <c r="L945" s="32">
        <f>IF(OR(K945="",$F945=""),"",DATE(YEAR(K945),MONTH(K945)+VLOOKUP($F945,'Membership Level'!$A$3:$B$15,2,FALSE),DAY(K945)))</f>
        <v/>
      </c>
      <c r="M945" s="33" t="n">
        <v>3</v>
      </c>
      <c r="N945" s="34">
        <f>IF($L945="","",DATE(YEAR($L945),MONTH($L945),DAY($L945)-$M945))</f>
        <v/>
      </c>
      <c r="O945" s="33">
        <f>IF($L945="","",IF(DAYS360(NOW(),$L945)&gt;=0,DAYS360(NOW(),$L945),""))</f>
        <v/>
      </c>
      <c r="P945" s="34">
        <f>IF(OR(H945="",H945=0,F945="",K945=""),"",I945/H945*VLOOKUP(F945,'Membership Level'!$A$3:$C$15,3,FALSE)+K945)</f>
        <v/>
      </c>
      <c r="Q945" s="36" t="n"/>
    </row>
    <row r="946">
      <c r="C946" s="33" t="n"/>
      <c r="D946" s="33" t="n"/>
      <c r="E946" s="35" t="n"/>
      <c r="F946" s="33" t="n"/>
      <c r="G946" s="33" t="n"/>
      <c r="H946" s="44" t="n"/>
      <c r="I946" s="44" t="n"/>
      <c r="J946" s="31">
        <f>IF(H946="","",H946-I946)</f>
        <v/>
      </c>
      <c r="K946" s="32" t="n"/>
      <c r="L946" s="32">
        <f>IF(OR(K946="",$F946=""),"",DATE(YEAR(K946),MONTH(K946)+VLOOKUP($F946,'Membership Level'!$A$3:$B$15,2,FALSE),DAY(K946)))</f>
        <v/>
      </c>
      <c r="M946" s="33" t="n">
        <v>3</v>
      </c>
      <c r="N946" s="34">
        <f>IF($L946="","",DATE(YEAR($L946),MONTH($L946),DAY($L946)-$M946))</f>
        <v/>
      </c>
      <c r="O946" s="33">
        <f>IF($L946="","",IF(DAYS360(NOW(),$L946)&gt;=0,DAYS360(NOW(),$L946),""))</f>
        <v/>
      </c>
      <c r="P946" s="34">
        <f>IF(OR(H946="",H946=0,F946="",K946=""),"",I946/H946*VLOOKUP(F946,'Membership Level'!$A$3:$C$15,3,FALSE)+K946)</f>
        <v/>
      </c>
      <c r="Q946" s="33" t="n"/>
    </row>
    <row r="947">
      <c r="C947" s="33" t="n"/>
      <c r="D947" s="36" t="n"/>
      <c r="E947" s="66" t="n"/>
      <c r="F947" s="33" t="n"/>
      <c r="G947" s="36" t="n"/>
      <c r="H947" s="30" t="n"/>
      <c r="I947" s="30" t="n"/>
      <c r="J947" s="31">
        <f>IF(H947="","",H947-I947)</f>
        <v/>
      </c>
      <c r="K947" s="43" t="n"/>
      <c r="L947" s="32">
        <f>IF(OR(K947="",$F947=""),"",DATE(YEAR(K947),MONTH(K947)+VLOOKUP($F947,'Membership Level'!$A$3:$B$15,2,FALSE),DAY(K947)))</f>
        <v/>
      </c>
      <c r="M947" s="33" t="n">
        <v>3</v>
      </c>
      <c r="N947" s="34">
        <f>IF($L947="","",DATE(YEAR($L947),MONTH($L947),DAY($L947)-$M947))</f>
        <v/>
      </c>
      <c r="O947" s="33">
        <f>IF($L947="","",IF(DAYS360(NOW(),$L947)&gt;=0,DAYS360(NOW(),$L947),""))</f>
        <v/>
      </c>
      <c r="P947" s="34">
        <f>IF(OR(H947="",H947=0,F947="",K947=""),"",I947/H947*VLOOKUP(F947,'Membership Level'!$A$3:$C$15,3,FALSE)+K947)</f>
        <v/>
      </c>
      <c r="Q947" s="36" t="n"/>
    </row>
    <row r="948">
      <c r="C948" s="33" t="n"/>
      <c r="D948" s="33" t="n"/>
      <c r="E948" s="66" t="n"/>
      <c r="F948" s="33" t="n"/>
      <c r="G948" s="33" t="n"/>
      <c r="H948" s="44" t="n"/>
      <c r="I948" s="44" t="n"/>
      <c r="J948" s="31">
        <f>IF(H948="","",H948-I948)</f>
        <v/>
      </c>
      <c r="K948" s="32" t="n"/>
      <c r="L948" s="32">
        <f>IF(OR(K948="",$F948=""),"",DATE(YEAR(K948),MONTH(K948)+VLOOKUP($F948,'Membership Level'!$A$3:$B$15,2,FALSE),DAY(K948)))</f>
        <v/>
      </c>
      <c r="M948" s="33" t="n">
        <v>3</v>
      </c>
      <c r="N948" s="34">
        <f>IF($L948="","",DATE(YEAR($L948),MONTH($L948),DAY($L948)-$M948))</f>
        <v/>
      </c>
      <c r="O948" s="33">
        <f>IF($L948="","",IF(DAYS360(NOW(),$L948)&gt;=0,DAYS360(NOW(),$L948),""))</f>
        <v/>
      </c>
      <c r="P948" s="34">
        <f>IF(OR(H948="",H948=0,F948="",K948=""),"",I948/H948*VLOOKUP(F948,'Membership Level'!$A$3:$C$15,3,FALSE)+K948)</f>
        <v/>
      </c>
      <c r="Q948" s="33" t="n"/>
    </row>
    <row r="949">
      <c r="C949" s="33" t="n"/>
      <c r="D949" s="33" t="n"/>
      <c r="E949" s="66" t="n"/>
      <c r="F949" s="33" t="n"/>
      <c r="G949" s="33" t="n"/>
      <c r="H949" s="44" t="n"/>
      <c r="I949" s="44" t="n"/>
      <c r="J949" s="31">
        <f>IF(H949="","",H949-I949)</f>
        <v/>
      </c>
      <c r="K949" s="32" t="n"/>
      <c r="L949" s="32">
        <f>IF(OR(K949="",$F949=""),"",DATE(YEAR(K949),MONTH(K949)+VLOOKUP($F949,'Membership Level'!$A$3:$B$15,2,FALSE),DAY(K949)))</f>
        <v/>
      </c>
      <c r="M949" s="33" t="n"/>
      <c r="N949" s="34">
        <f>IF($L949="","",DATE(YEAR($L949),MONTH($L949),DAY($L949)-$M949))</f>
        <v/>
      </c>
      <c r="O949" s="33">
        <f>IF($L949="","",IF(DAYS360(NOW(),$L949)&gt;=0,DAYS360(NOW(),$L949),""))</f>
        <v/>
      </c>
      <c r="P949" s="34">
        <f>IF(OR(H949="",H949=0,F949="",K949=""),"",I949/H949*VLOOKUP(F949,'Membership Level'!$A$3:$C$15,3,FALSE)+K949)</f>
        <v/>
      </c>
      <c r="Q949" s="33" t="n"/>
    </row>
    <row r="950">
      <c r="C950" s="33" t="n"/>
      <c r="D950" s="33" t="n"/>
      <c r="E950" s="66" t="n"/>
      <c r="F950" s="33" t="n"/>
      <c r="G950" s="33" t="n"/>
      <c r="H950" s="44" t="n"/>
      <c r="I950" s="44" t="n"/>
      <c r="J950" s="31">
        <f>IF(H950="","",H950-I950)</f>
        <v/>
      </c>
      <c r="K950" s="32" t="n"/>
      <c r="L950" s="32">
        <f>IF(OR(K950="",$F950=""),"",DATE(YEAR(K950),MONTH(K950)+VLOOKUP($F950,'Membership Level'!$A$3:$B$15,2,FALSE),DAY(K950)))</f>
        <v/>
      </c>
      <c r="M950" s="33" t="n"/>
      <c r="N950" s="34">
        <f>IF($L950="","",DATE(YEAR($L950),MONTH($L950),DAY($L950)-$M950))</f>
        <v/>
      </c>
      <c r="O950" s="33">
        <f>IF($L950="","",IF(DAYS360(NOW(),$L950)&gt;=0,DAYS360(NOW(),$L950),""))</f>
        <v/>
      </c>
      <c r="P950" s="34">
        <f>IF(OR(H950="",H950=0,F950="",K950=""),"",I950/H950*VLOOKUP(F950,'Membership Level'!$A$3:$C$15,3,FALSE)+K950)</f>
        <v/>
      </c>
      <c r="Q950" s="33" t="n"/>
    </row>
    <row r="951">
      <c r="C951" s="33" t="n"/>
      <c r="D951" s="33" t="n"/>
      <c r="E951" s="66" t="n"/>
      <c r="F951" s="33" t="n"/>
      <c r="G951" s="33" t="n"/>
      <c r="H951" s="44" t="n"/>
      <c r="I951" s="44" t="n"/>
      <c r="J951" s="31">
        <f>IF(H951="","",H951-I951)</f>
        <v/>
      </c>
      <c r="K951" s="32" t="n"/>
      <c r="L951" s="32">
        <f>IF(OR(K951="",$F951=""),"",DATE(YEAR(K951),MONTH(K951)+VLOOKUP($F951,'Membership Level'!$A$3:$B$15,2,FALSE),DAY(K951)))</f>
        <v/>
      </c>
      <c r="M951" s="33" t="n"/>
      <c r="N951" s="34">
        <f>IF($L951="","",DATE(YEAR($L951),MONTH($L951),DAY($L951)-$M951))</f>
        <v/>
      </c>
      <c r="O951" s="33">
        <f>IF($L951="","",IF(DAYS360(NOW(),$L951)&gt;=0,DAYS360(NOW(),$L951),""))</f>
        <v/>
      </c>
      <c r="P951" s="34">
        <f>IF(OR(H951="",H951=0,F951="",K951=""),"",I951/H951*VLOOKUP(F951,'Membership Level'!$A$3:$C$15,3,FALSE)+K951)</f>
        <v/>
      </c>
      <c r="Q951" s="33" t="n"/>
    </row>
    <row r="952">
      <c r="C952" s="33" t="n"/>
      <c r="D952" s="33" t="n"/>
      <c r="E952" s="66" t="n"/>
      <c r="F952" s="33" t="n"/>
      <c r="G952" s="33" t="n"/>
      <c r="H952" s="44" t="n"/>
      <c r="I952" s="44" t="n"/>
      <c r="J952" s="31">
        <f>IF(H952="","",H952-I952)</f>
        <v/>
      </c>
      <c r="K952" s="32" t="n"/>
      <c r="L952" s="32">
        <f>IF(OR(K952="",$F952=""),"",DATE(YEAR(K952),MONTH(K952)+VLOOKUP($F952,'Membership Level'!$A$3:$B$15,2,FALSE),DAY(K952)))</f>
        <v/>
      </c>
      <c r="M952" s="33" t="n"/>
      <c r="N952" s="34">
        <f>IF($L952="","",DATE(YEAR($L952),MONTH($L952),DAY($L952)-$M952))</f>
        <v/>
      </c>
      <c r="O952" s="33">
        <f>IF($L952="","",IF(DAYS360(NOW(),$L952)&gt;=0,DAYS360(NOW(),$L952),""))</f>
        <v/>
      </c>
      <c r="P952" s="34">
        <f>IF(OR(H952="",H952=0,F952="",K952=""),"",I952/H952*VLOOKUP(F952,'Membership Level'!$A$3:$C$15,3,FALSE)+K952)</f>
        <v/>
      </c>
      <c r="Q952" s="33" t="n"/>
    </row>
    <row r="953">
      <c r="C953" s="33" t="n"/>
      <c r="D953" s="33" t="n"/>
      <c r="E953" s="66" t="n"/>
      <c r="F953" s="45" t="n"/>
      <c r="G953" s="33" t="n"/>
      <c r="H953" s="44" t="n"/>
      <c r="I953" s="44" t="n"/>
      <c r="J953" s="31">
        <f>IF(H953="","",H953-I953)</f>
        <v/>
      </c>
      <c r="K953" s="32" t="n"/>
      <c r="L953" s="32">
        <f>IF(OR(K953="",$F953=""),"",DATE(YEAR(K953),MONTH(K953)+VLOOKUP($F953,'Membership Level'!$A$3:$B$15,2,FALSE),DAY(K953)))</f>
        <v/>
      </c>
      <c r="M953" s="33" t="n"/>
      <c r="N953" s="34">
        <f>IF($L953="","",DATE(YEAR($L953),MONTH($L953),DAY($L953)-$M953))</f>
        <v/>
      </c>
      <c r="O953" s="33">
        <f>IF($L953="","",IF(DAYS360(NOW(),$L953)&gt;=0,DAYS360(NOW(),$L953),""))</f>
        <v/>
      </c>
      <c r="P953" s="34">
        <f>IF(OR(H953="",H953=0,F953="",K953=""),"",I953/H953*VLOOKUP(F953,'Membership Level'!$A$3:$C$15,3,FALSE)+K953)</f>
        <v/>
      </c>
      <c r="Q953" s="32" t="n"/>
    </row>
    <row r="954">
      <c r="C954" s="33" t="n"/>
      <c r="D954" s="33" t="n"/>
      <c r="E954" s="67" t="n"/>
      <c r="F954" s="33" t="n"/>
      <c r="G954" s="33" t="n"/>
      <c r="H954" s="44" t="n"/>
      <c r="I954" s="44" t="n"/>
      <c r="J954" s="31">
        <f>IF(H954="","",H954-I954)</f>
        <v/>
      </c>
      <c r="K954" s="32" t="n"/>
      <c r="L954" s="32">
        <f>IF(OR(K954="",$F954=""),"",DATE(YEAR(K954),MONTH(K954)+VLOOKUP($F954,'Membership Level'!$A$3:$B$15,2,FALSE),DAY(K954)))</f>
        <v/>
      </c>
      <c r="M954" s="33" t="n"/>
      <c r="N954" s="34">
        <f>IF($L954="","",DATE(YEAR($L954),MONTH($L954),DAY($L954)-$M954))</f>
        <v/>
      </c>
      <c r="O954" s="33">
        <f>IF($L954="","",IF(DAYS360(NOW(),$L954)&gt;=0,DAYS360(NOW(),$L954),""))</f>
        <v/>
      </c>
      <c r="P954" s="34">
        <f>IF(OR(H954="",H954=0,F954="",K954=""),"",I954/H954*VLOOKUP(F954,'Membership Level'!$A$3:$C$15,3,FALSE)+K954)</f>
        <v/>
      </c>
      <c r="Q954" s="33" t="n"/>
    </row>
    <row r="955" customFormat="1" s="27">
      <c r="C955" s="45" t="n"/>
      <c r="D955" s="45" t="n"/>
      <c r="E955" s="66" t="n"/>
      <c r="F955" s="33" t="n"/>
      <c r="G955" s="45" t="n"/>
      <c r="H955" s="64" t="n"/>
      <c r="I955" s="64" t="n"/>
      <c r="J955" s="65">
        <f>IF(H955="","",H955-I955)</f>
        <v/>
      </c>
      <c r="K955" s="60" t="n"/>
      <c r="L955" s="60">
        <f>IF(OR(K955="",$F955=""),"",DATE(YEAR(K955),MONTH(K955)+VLOOKUP($F955,'Membership Level'!$A$3:$B$15,2,FALSE),DAY(K955)))</f>
        <v/>
      </c>
      <c r="M955" s="33" t="n"/>
      <c r="N955" s="34">
        <f>IF($L955="","",DATE(YEAR($L955),MONTH($L955),DAY($L955)-$M955))</f>
        <v/>
      </c>
      <c r="O955" s="33">
        <f>IF($L955="","",IF(DAYS360(NOW(),$L955)&gt;=0,DAYS360(NOW(),$L955),""))</f>
        <v/>
      </c>
      <c r="P955" s="34">
        <f>IF(OR(H955="",H955=0,F955="",K955=""),"",I955/H955*VLOOKUP(F955,'Membership Level'!$A$3:$C$15,3,FALSE)+K955)</f>
        <v/>
      </c>
      <c r="Q955" s="67" t="n"/>
    </row>
    <row r="956">
      <c r="C956" s="33" t="n"/>
      <c r="D956" s="33" t="n"/>
      <c r="E956" s="66" t="n"/>
      <c r="F956" s="33" t="n"/>
      <c r="G956" s="33" t="n"/>
      <c r="H956" s="44" t="n"/>
      <c r="I956" s="44" t="n"/>
      <c r="J956" s="31">
        <f>IF(H956="","",H956-I956)</f>
        <v/>
      </c>
      <c r="K956" s="32" t="n"/>
      <c r="L956" s="32">
        <f>IF(OR(K956="",$F956=""),"",DATE(YEAR(K956),MONTH(K956)+VLOOKUP($F956,'Membership Level'!$A$3:$B$15,2,FALSE),DAY(K956)))</f>
        <v/>
      </c>
      <c r="M956" s="33" t="n"/>
      <c r="N956" s="34">
        <f>IF($L956="","",DATE(YEAR($L956),MONTH($L956),DAY($L956)-$M956))</f>
        <v/>
      </c>
      <c r="O956" s="33">
        <f>IF($L956="","",IF(DAYS360(NOW(),$L956)&gt;=0,DAYS360(NOW(),$L956),""))</f>
        <v/>
      </c>
      <c r="P956" s="34">
        <f>IF(OR(H956="",H956=0,F956="",K956=""),"",I956/H956*VLOOKUP(F956,'Membership Level'!$A$3:$C$15,3,FALSE)+K956)</f>
        <v/>
      </c>
      <c r="Q956" s="33" t="n"/>
    </row>
    <row r="957">
      <c r="C957" s="33" t="n"/>
      <c r="D957" s="33" t="n"/>
      <c r="E957" s="66" t="n"/>
      <c r="F957" s="33" t="n"/>
      <c r="G957" s="33" t="n"/>
      <c r="H957" s="44" t="n"/>
      <c r="I957" s="44" t="n"/>
      <c r="J957" s="31">
        <f>IF(H957="","",H957-I957)</f>
        <v/>
      </c>
      <c r="K957" s="32" t="n"/>
      <c r="L957" s="32">
        <f>IF(OR(K957="",$F957=""),"",DATE(YEAR(K957),MONTH(K957)+VLOOKUP($F957,'Membership Level'!$A$3:$B$15,2,FALSE),DAY(K957)))</f>
        <v/>
      </c>
      <c r="M957" s="33" t="n"/>
      <c r="N957" s="34">
        <f>IF($L957="","",DATE(YEAR($L957),MONTH($L957),DAY($L957)-$M957))</f>
        <v/>
      </c>
      <c r="O957" s="33">
        <f>IF($L957="","",IF(DAYS360(NOW(),$L957)&gt;=0,DAYS360(NOW(),$L957),""))</f>
        <v/>
      </c>
      <c r="P957" s="34">
        <f>IF(OR(H957="",H957=0,F957="",K957=""),"",I957/H957*VLOOKUP(F957,'Membership Level'!$A$3:$C$15,3,FALSE)+K957)</f>
        <v/>
      </c>
      <c r="Q957" s="33" t="n"/>
    </row>
    <row r="958">
      <c r="C958" s="33" t="n"/>
      <c r="D958" s="33" t="n"/>
      <c r="E958" s="66" t="n"/>
      <c r="F958" s="33" t="n"/>
      <c r="G958" s="33" t="n"/>
      <c r="H958" s="44" t="n"/>
      <c r="I958" s="44" t="n"/>
      <c r="J958" s="31">
        <f>IF(H958="","",H958-I958)</f>
        <v/>
      </c>
      <c r="K958" s="32" t="n"/>
      <c r="L958" s="32">
        <f>IF(OR(K958="",$F958=""),"",DATE(YEAR(K958),MONTH(K958)+VLOOKUP($F958,'Membership Level'!$A$3:$B$15,2,FALSE),DAY(K958)))</f>
        <v/>
      </c>
      <c r="M958" s="33" t="n"/>
      <c r="N958" s="34">
        <f>IF($L958="","",DATE(YEAR($L958),MONTH($L958),DAY($L958)-$M958))</f>
        <v/>
      </c>
      <c r="O958" s="33">
        <f>IF($L958="","",IF(DAYS360(NOW(),$L958)&gt;=0,DAYS360(NOW(),$L958),""))</f>
        <v/>
      </c>
      <c r="P958" s="34">
        <f>IF(OR(H958="",H958=0,F958="",K958=""),"",I958/H958*VLOOKUP(F958,'Membership Level'!$A$3:$C$15,3,FALSE)+K958)</f>
        <v/>
      </c>
      <c r="Q958" s="33" t="n"/>
    </row>
    <row r="959">
      <c r="C959" s="33" t="n"/>
      <c r="D959" s="33" t="n"/>
      <c r="E959" s="66" t="n"/>
      <c r="F959" s="33" t="n"/>
      <c r="G959" s="33" t="n"/>
      <c r="H959" s="44" t="n"/>
      <c r="I959" s="44" t="n"/>
      <c r="J959" s="31">
        <f>IF(H959="","",H959-I959)</f>
        <v/>
      </c>
      <c r="K959" s="32" t="n"/>
      <c r="L959" s="32">
        <f>IF(OR(K959="",$F959=""),"",DATE(YEAR(K959),MONTH(K959)+VLOOKUP($F959,'Membership Level'!$A$3:$B$15,2,FALSE),DAY(K959)))</f>
        <v/>
      </c>
      <c r="M959" s="33" t="n"/>
      <c r="N959" s="34">
        <f>IF($L959="","",DATE(YEAR($L959),MONTH($L959),DAY($L959)-$M959))</f>
        <v/>
      </c>
      <c r="O959" s="33">
        <f>IF($L959="","",IF(DAYS360(NOW(),$L959)&gt;=0,DAYS360(NOW(),$L959),""))</f>
        <v/>
      </c>
      <c r="P959" s="34">
        <f>IF(OR(H959="",H959=0,F959="",K959=""),"",I959/H959*VLOOKUP(F959,'Membership Level'!$A$3:$C$15,3,FALSE)+K959)</f>
        <v/>
      </c>
      <c r="Q959" s="33" t="n"/>
    </row>
    <row r="960">
      <c r="C960" s="33" t="n"/>
      <c r="D960" s="33" t="n"/>
      <c r="E960" s="66" t="n"/>
      <c r="F960" s="33" t="n"/>
      <c r="G960" s="33" t="n"/>
      <c r="H960" s="44" t="n"/>
      <c r="I960" s="44" t="n"/>
      <c r="J960" s="31">
        <f>IF(H960="","",H960-I960)</f>
        <v/>
      </c>
      <c r="K960" s="32" t="n"/>
      <c r="L960" s="32">
        <f>IF(OR(K960="",$F960=""),"",DATE(YEAR(K960),MONTH(K960)+VLOOKUP($F960,'Membership Level'!$A$3:$B$15,2,FALSE),DAY(K960)))</f>
        <v/>
      </c>
      <c r="M960" s="33" t="n"/>
      <c r="N960" s="34">
        <f>IF($L960="","",DATE(YEAR($L960),MONTH($L960),DAY($L960)-$M960))</f>
        <v/>
      </c>
      <c r="O960" s="33">
        <f>IF($L960="","",IF(DAYS360(NOW(),$L960)&gt;=0,DAYS360(NOW(),$L960),""))</f>
        <v/>
      </c>
      <c r="P960" s="34">
        <f>IF(OR(H960="",H960=0,F960="",K960=""),"",I960/H960*VLOOKUP(F960,'Membership Level'!$A$3:$C$15,3,FALSE)+K960)</f>
        <v/>
      </c>
      <c r="Q960" s="33" t="n"/>
    </row>
    <row r="961">
      <c r="C961" s="33" t="n"/>
      <c r="D961" s="33" t="n"/>
      <c r="E961" s="66" t="n"/>
      <c r="F961" s="33" t="n"/>
      <c r="G961" s="33" t="n"/>
      <c r="H961" s="44" t="n"/>
      <c r="I961" s="44" t="n"/>
      <c r="J961" s="31">
        <f>IF(H961="","",H961-I961)</f>
        <v/>
      </c>
      <c r="K961" s="32" t="n"/>
      <c r="L961" s="32">
        <f>IF(OR(K961="",$F961=""),"",DATE(YEAR(K961),MONTH(K961)+VLOOKUP($F961,'Membership Level'!$A$3:$B$15,2,FALSE),DAY(K961)))</f>
        <v/>
      </c>
      <c r="M961" s="33" t="n"/>
      <c r="N961" s="34">
        <f>IF($L961="","",DATE(YEAR($L961),MONTH($L961),DAY($L961)-$M961))</f>
        <v/>
      </c>
      <c r="O961" s="33">
        <f>IF($L961="","",IF(DAYS360(NOW(),$L961)&gt;=0,DAYS360(NOW(),$L961),""))</f>
        <v/>
      </c>
      <c r="P961" s="34">
        <f>IF(OR(H961="",H961=0,F961="",K961=""),"",I961/H961*VLOOKUP(F961,'Membership Level'!$A$3:$C$15,3,FALSE)+K961)</f>
        <v/>
      </c>
      <c r="Q961" s="33" t="n"/>
    </row>
    <row r="962">
      <c r="C962" s="33" t="n"/>
      <c r="D962" s="33" t="n"/>
      <c r="E962" s="66" t="n"/>
      <c r="F962" s="33" t="n"/>
      <c r="G962" s="33" t="n"/>
      <c r="H962" s="44" t="n"/>
      <c r="I962" s="44" t="n"/>
      <c r="J962" s="31">
        <f>IF(H962="","",H962-I962)</f>
        <v/>
      </c>
      <c r="K962" s="32" t="n"/>
      <c r="L962" s="32">
        <f>IF(OR(K962="",$F962=""),"",DATE(YEAR(K962),MONTH(K962)+VLOOKUP($F962,'Membership Level'!$A$3:$B$15,2,FALSE),DAY(K962)))</f>
        <v/>
      </c>
      <c r="M962" s="33" t="n"/>
      <c r="N962" s="34">
        <f>IF($L962="","",DATE(YEAR($L962),MONTH($L962),DAY($L962)-$M962))</f>
        <v/>
      </c>
      <c r="O962" s="33">
        <f>IF($L962="","",IF(DAYS360(NOW(),$L962)&gt;=0,DAYS360(NOW(),$L962),""))</f>
        <v/>
      </c>
      <c r="P962" s="34">
        <f>IF(OR(H962="",H962=0,F962="",K962=""),"",I962/H962*VLOOKUP(F962,'Membership Level'!$A$3:$C$15,3,FALSE)+K962)</f>
        <v/>
      </c>
      <c r="Q962" s="33" t="n"/>
    </row>
    <row r="963">
      <c r="C963" s="33" t="n"/>
      <c r="D963" s="33" t="n"/>
      <c r="E963" s="66" t="n"/>
      <c r="F963" s="33" t="n"/>
      <c r="G963" s="33" t="n"/>
      <c r="H963" s="44" t="n"/>
      <c r="I963" s="44" t="n"/>
      <c r="J963" s="31">
        <f>IF(H963="","",H963-I963)</f>
        <v/>
      </c>
      <c r="K963" s="32" t="n"/>
      <c r="L963" s="32">
        <f>IF(OR(K963="",$F963=""),"",DATE(YEAR(K963),MONTH(K963)+VLOOKUP($F963,'Membership Level'!$A$3:$B$15,2,FALSE),DAY(K963)))</f>
        <v/>
      </c>
      <c r="M963" s="33" t="n"/>
      <c r="N963" s="34">
        <f>IF($L963="","",DATE(YEAR($L963),MONTH($L963),DAY($L963)-$M963))</f>
        <v/>
      </c>
      <c r="O963" s="33">
        <f>IF($L963="","",IF(DAYS360(NOW(),$L963)&gt;=0,DAYS360(NOW(),$L963),""))</f>
        <v/>
      </c>
      <c r="P963" s="34">
        <f>IF(OR(H963="",H963=0,F963="",K963=""),"",I963/H963*VLOOKUP(F963,'Membership Level'!$A$3:$C$15,3,FALSE)+K963)</f>
        <v/>
      </c>
      <c r="Q963" s="33" t="n"/>
    </row>
    <row r="964">
      <c r="C964" s="33" t="n"/>
      <c r="D964" s="33" t="n"/>
      <c r="E964" s="66" t="n"/>
      <c r="F964" s="33" t="n"/>
      <c r="G964" s="33" t="n"/>
      <c r="H964" s="44" t="n"/>
      <c r="I964" s="44" t="n"/>
      <c r="J964" s="31">
        <f>IF(H964="","",H964-I964)</f>
        <v/>
      </c>
      <c r="K964" s="32" t="n"/>
      <c r="L964" s="32">
        <f>IF(OR(K964="",$F964=""),"",DATE(YEAR(K964),MONTH(K964)+VLOOKUP($F964,'Membership Level'!$A$3:$B$15,2,FALSE),DAY(K964)))</f>
        <v/>
      </c>
      <c r="M964" s="33" t="n"/>
      <c r="N964" s="34">
        <f>IF($L964="","",DATE(YEAR($L964),MONTH($L964),DAY($L964)-$M964))</f>
        <v/>
      </c>
      <c r="O964" s="33">
        <f>IF($L964="","",IF(DAYS360(NOW(),$L964)&gt;=0,DAYS360(NOW(),$L964),""))</f>
        <v/>
      </c>
      <c r="P964" s="34">
        <f>IF(OR(H964="",H964=0,F964="",K964=""),"",I964/H964*VLOOKUP(F964,'Membership Level'!$A$3:$C$15,3,FALSE)+K964)</f>
        <v/>
      </c>
      <c r="Q964" s="33" t="n"/>
    </row>
    <row r="965">
      <c r="C965" s="33" t="n"/>
      <c r="D965" s="33" t="n"/>
      <c r="E965" s="66" t="n"/>
      <c r="F965" s="33" t="n"/>
      <c r="G965" s="33" t="n"/>
      <c r="H965" s="44" t="n"/>
      <c r="I965" s="44" t="n"/>
      <c r="J965" s="31">
        <f>IF(H965="","",H965-I965)</f>
        <v/>
      </c>
      <c r="K965" s="32" t="n"/>
      <c r="L965" s="32">
        <f>IF(OR(K965="",$F965=""),"",DATE(YEAR(K965),MONTH(K965)+VLOOKUP($F965,'Membership Level'!$A$3:$B$15,2,FALSE),DAY(K965)))</f>
        <v/>
      </c>
      <c r="M965" s="33" t="n"/>
      <c r="N965" s="34">
        <f>IF($L965="","",DATE(YEAR($L965),MONTH($L965),DAY($L965)-$M965))</f>
        <v/>
      </c>
      <c r="O965" s="33">
        <f>IF($L965="","",IF(DAYS360(NOW(),$L965)&gt;=0,DAYS360(NOW(),$L965),""))</f>
        <v/>
      </c>
      <c r="P965" s="34">
        <f>IF(OR(H965="",H965=0,F965="",K965=""),"",I965/H965*VLOOKUP(F965,'Membership Level'!$A$3:$C$15,3,FALSE)+K965)</f>
        <v/>
      </c>
      <c r="Q965" s="33" t="n"/>
    </row>
    <row r="966">
      <c r="C966" s="33" t="n"/>
      <c r="D966" s="33" t="n"/>
      <c r="E966" s="66" t="n"/>
      <c r="F966" s="33" t="n"/>
      <c r="G966" s="33" t="n"/>
      <c r="H966" s="44" t="n"/>
      <c r="I966" s="44" t="n"/>
      <c r="J966" s="31">
        <f>IF(H966="","",H966-I966)</f>
        <v/>
      </c>
      <c r="K966" s="32" t="n"/>
      <c r="L966" s="32">
        <f>IF(OR(K966="",$F966=""),"",DATE(YEAR(K966),MONTH(K966)+VLOOKUP($F966,'Membership Level'!$A$3:$B$15,2,FALSE),DAY(K966)))</f>
        <v/>
      </c>
      <c r="M966" s="33" t="n"/>
      <c r="N966" s="34">
        <f>IF($L966="","",DATE(YEAR($L966),MONTH($L966),DAY($L966)-$M966))</f>
        <v/>
      </c>
      <c r="O966" s="33">
        <f>IF($L966="","",IF(DAYS360(NOW(),$L966)&gt;=0,DAYS360(NOW(),$L966),""))</f>
        <v/>
      </c>
      <c r="P966" s="34">
        <f>IF(OR(H966="",H966=0,F966="",K966=""),"",I966/H966*VLOOKUP(F966,'Membership Level'!$A$3:$C$15,3,FALSE)+K966)</f>
        <v/>
      </c>
      <c r="Q966" s="33" t="n"/>
    </row>
    <row r="967">
      <c r="C967" s="33" t="n"/>
      <c r="D967" s="33" t="n"/>
      <c r="E967" s="66" t="n"/>
      <c r="F967" s="33" t="n"/>
      <c r="G967" s="33" t="n"/>
      <c r="H967" s="44" t="n"/>
      <c r="I967" s="44" t="n"/>
      <c r="J967" s="31">
        <f>IF(H967="","",H967-I967)</f>
        <v/>
      </c>
      <c r="K967" s="32" t="n"/>
      <c r="L967" s="32">
        <f>IF(OR(K967="",$F967=""),"",DATE(YEAR(K967),MONTH(K967)+VLOOKUP($F967,'Membership Level'!$A$3:$B$15,2,FALSE),DAY(K967)))</f>
        <v/>
      </c>
      <c r="M967" s="33" t="n"/>
      <c r="N967" s="34">
        <f>IF($L967="","",DATE(YEAR($L967),MONTH($L967),DAY($L967)-$M967))</f>
        <v/>
      </c>
      <c r="O967" s="33">
        <f>IF($L967="","",IF(DAYS360(NOW(),$L967)&gt;=0,DAYS360(NOW(),$L967),""))</f>
        <v/>
      </c>
      <c r="P967" s="34">
        <f>IF(OR(H967="",H967=0,F967="",K967=""),"",I967/H967*VLOOKUP(F967,'Membership Level'!$A$3:$C$15,3,FALSE)+K967)</f>
        <v/>
      </c>
      <c r="Q967" s="33" t="n"/>
    </row>
    <row r="968">
      <c r="C968" s="33" t="n"/>
      <c r="D968" s="33" t="n"/>
      <c r="E968" s="66" t="n"/>
      <c r="F968" s="33" t="n"/>
      <c r="G968" s="33" t="n"/>
      <c r="H968" s="44" t="n"/>
      <c r="I968" s="44" t="n"/>
      <c r="J968" s="31">
        <f>IF(H968="","",H968-I968)</f>
        <v/>
      </c>
      <c r="K968" s="32" t="n"/>
      <c r="L968" s="32">
        <f>IF(OR(K968="",$F968=""),"",DATE(YEAR(K968),MONTH(K968)+VLOOKUP($F968,'Membership Level'!$A$3:$B$15,2,FALSE),DAY(K968)))</f>
        <v/>
      </c>
      <c r="M968" s="33" t="n"/>
      <c r="N968" s="34">
        <f>IF($L968="","",DATE(YEAR($L968),MONTH($L968),DAY($L968)-$M968))</f>
        <v/>
      </c>
      <c r="O968" s="33">
        <f>IF($L968="","",IF(DAYS360(NOW(),$L968)&gt;=0,DAYS360(NOW(),$L968),""))</f>
        <v/>
      </c>
      <c r="P968" s="34">
        <f>IF(OR(H968="",H968=0,F968="",K968=""),"",I968/H968*VLOOKUP(F968,'Membership Level'!$A$3:$C$15,3,FALSE)+K968)</f>
        <v/>
      </c>
      <c r="Q968" s="33" t="n"/>
    </row>
    <row r="969">
      <c r="C969" s="33" t="n"/>
      <c r="D969" s="33" t="n"/>
      <c r="E969" s="66" t="n"/>
      <c r="F969" s="33" t="n"/>
      <c r="G969" s="33" t="n"/>
      <c r="H969" s="44" t="n"/>
      <c r="I969" s="44" t="n"/>
      <c r="J969" s="31">
        <f>IF(H969="","",H969-I969)</f>
        <v/>
      </c>
      <c r="K969" s="32" t="n"/>
      <c r="L969" s="32">
        <f>IF(OR(K969="",$F969=""),"",DATE(YEAR(K969),MONTH(K969)+VLOOKUP($F969,'Membership Level'!$A$3:$B$15,2,FALSE),DAY(K969)))</f>
        <v/>
      </c>
      <c r="M969" s="33" t="n"/>
      <c r="N969" s="34">
        <f>IF($L969="","",DATE(YEAR($L969),MONTH($L969),DAY($L969)-$M969))</f>
        <v/>
      </c>
      <c r="O969" s="33">
        <f>IF($L969="","",IF(DAYS360(NOW(),$L969)&gt;=0,DAYS360(NOW(),$L969),""))</f>
        <v/>
      </c>
      <c r="P969" s="34">
        <f>IF(OR(H969="",H969=0,F969="",K969=""),"",I969/H969*VLOOKUP(F969,'Membership Level'!$A$3:$C$15,3,FALSE)+K969)</f>
        <v/>
      </c>
      <c r="Q969" s="33" t="n"/>
    </row>
    <row r="970">
      <c r="C970" s="33" t="n"/>
      <c r="D970" s="33" t="n"/>
      <c r="E970" s="66" t="n"/>
      <c r="F970" s="33" t="n"/>
      <c r="G970" s="33" t="n"/>
      <c r="H970" s="44" t="n"/>
      <c r="I970" s="44" t="n"/>
      <c r="J970" s="31">
        <f>IF(H970="","",H970-I970)</f>
        <v/>
      </c>
      <c r="K970" s="32" t="n"/>
      <c r="L970" s="32">
        <f>IF(OR(K970="",$F970=""),"",DATE(YEAR(K970),MONTH(K970)+VLOOKUP($F970,'Membership Level'!$A$3:$B$15,2,FALSE),DAY(K970)))</f>
        <v/>
      </c>
      <c r="M970" s="33" t="n"/>
      <c r="N970" s="34">
        <f>IF($L970="","",DATE(YEAR($L970),MONTH($L970),DAY($L970)-$M970))</f>
        <v/>
      </c>
      <c r="O970" s="33">
        <f>IF($L970="","",IF(DAYS360(NOW(),$L970)&gt;=0,DAYS360(NOW(),$L970),""))</f>
        <v/>
      </c>
      <c r="P970" s="34">
        <f>IF(OR(H970="",H970=0,F970="",K970=""),"",I970/H970*VLOOKUP(F970,'Membership Level'!$A$3:$C$15,3,FALSE)+K970)</f>
        <v/>
      </c>
      <c r="Q970" s="33" t="n"/>
    </row>
    <row r="971">
      <c r="C971" s="33" t="n"/>
      <c r="D971" s="33" t="n"/>
      <c r="E971" s="66" t="n"/>
      <c r="F971" s="33" t="n"/>
      <c r="G971" s="33" t="n"/>
      <c r="H971" s="44" t="n"/>
      <c r="I971" s="44" t="n"/>
      <c r="J971" s="31">
        <f>IF(H971="","",H971-I971)</f>
        <v/>
      </c>
      <c r="K971" s="32" t="n"/>
      <c r="L971" s="32">
        <f>IF(OR(K971="",$F971=""),"",DATE(YEAR(K971),MONTH(K971)+VLOOKUP($F971,'Membership Level'!$A$3:$B$15,2,FALSE),DAY(K971)))</f>
        <v/>
      </c>
      <c r="M971" s="33" t="n"/>
      <c r="N971" s="34">
        <f>IF($L971="","",DATE(YEAR($L971),MONTH($L971),DAY($L971)-$M971))</f>
        <v/>
      </c>
      <c r="O971" s="33">
        <f>IF($L971="","",IF(DAYS360(NOW(),$L971)&gt;=0,DAYS360(NOW(),$L971),""))</f>
        <v/>
      </c>
      <c r="P971" s="34">
        <f>IF(OR(H971="",H971=0,F971="",K971=""),"",I971/H971*VLOOKUP(F971,'Membership Level'!$A$3:$C$15,3,FALSE)+K971)</f>
        <v/>
      </c>
      <c r="Q971" s="33" t="n"/>
    </row>
    <row r="972">
      <c r="C972" s="33" t="n"/>
      <c r="D972" s="33" t="n"/>
      <c r="E972" s="66" t="n"/>
      <c r="F972" s="45" t="n"/>
      <c r="G972" s="33" t="n"/>
      <c r="H972" s="44" t="n"/>
      <c r="I972" s="44" t="n"/>
      <c r="J972" s="31">
        <f>IF(H972="","",H972-I972)</f>
        <v/>
      </c>
      <c r="K972" s="32" t="n"/>
      <c r="L972" s="32">
        <f>IF(OR(K972="",$F972=""),"",DATE(YEAR(K972),MONTH(K972)+VLOOKUP($F972,'Membership Level'!$A$3:$B$15,2,FALSE),DAY(K972)))</f>
        <v/>
      </c>
      <c r="M972" s="33" t="n"/>
      <c r="N972" s="34">
        <f>IF($L972="","",DATE(YEAR($L972),MONTH($L972),DAY($L972)-$M972))</f>
        <v/>
      </c>
      <c r="O972" s="33">
        <f>IF($L972="","",IF(DAYS360(NOW(),$L972)&gt;=0,DAYS360(NOW(),$L972),""))</f>
        <v/>
      </c>
      <c r="P972" s="34">
        <f>IF(OR(H972="",H972=0,F972="",K972=""),"",I972/H972*VLOOKUP(F972,'Membership Level'!$A$3:$C$15,3,FALSE)+K972)</f>
        <v/>
      </c>
      <c r="Q972" s="33" t="n"/>
    </row>
    <row r="973">
      <c r="C973" s="33" t="n"/>
      <c r="D973" s="33" t="n"/>
      <c r="E973" s="67" t="n"/>
      <c r="F973" s="33" t="n"/>
      <c r="G973" s="42" t="n"/>
      <c r="H973" s="44" t="n"/>
      <c r="I973" s="44" t="n"/>
      <c r="J973" s="31" t="n"/>
      <c r="K973" s="32" t="n"/>
      <c r="L973" s="32" t="n"/>
      <c r="M973" s="33" t="n"/>
      <c r="N973" s="34" t="n"/>
      <c r="O973" s="33" t="n"/>
      <c r="P973" s="34" t="n"/>
      <c r="Q973" s="33" t="n"/>
    </row>
    <row r="974" customFormat="1" s="27">
      <c r="C974" s="45" t="n"/>
      <c r="D974" s="45" t="n"/>
      <c r="E974" s="66" t="n"/>
      <c r="F974" s="33" t="n"/>
      <c r="G974" s="42" t="n"/>
      <c r="H974" s="64" t="n"/>
      <c r="I974" s="64" t="n"/>
      <c r="J974" s="65" t="n"/>
      <c r="K974" s="60" t="n"/>
      <c r="L974" s="60" t="n"/>
      <c r="M974" s="33" t="n"/>
      <c r="N974" s="34" t="n"/>
      <c r="O974" s="33" t="n"/>
      <c r="P974" s="34" t="n"/>
      <c r="Q974" s="60" t="n"/>
    </row>
    <row r="975">
      <c r="C975" s="33" t="n"/>
      <c r="D975" s="33" t="n"/>
      <c r="E975" s="66" t="n"/>
      <c r="F975" s="33" t="n"/>
      <c r="G975" s="42" t="n"/>
      <c r="H975" s="44" t="n"/>
      <c r="I975" s="44" t="n"/>
      <c r="J975" s="31" t="n"/>
      <c r="K975" s="32" t="n"/>
      <c r="L975" s="32" t="n"/>
      <c r="M975" s="33" t="n"/>
      <c r="N975" s="34" t="n"/>
      <c r="O975" s="33" t="n"/>
      <c r="P975" s="34" t="n"/>
      <c r="Q975" s="32" t="n"/>
    </row>
    <row r="976">
      <c r="C976" s="33" t="n"/>
      <c r="D976" s="33" t="n"/>
      <c r="E976" s="66" t="n"/>
      <c r="F976" s="33" t="n"/>
      <c r="G976" s="42" t="n"/>
      <c r="H976" s="44" t="n"/>
      <c r="I976" s="44" t="n"/>
      <c r="J976" s="31" t="n"/>
      <c r="K976" s="32" t="n"/>
      <c r="L976" s="32" t="n"/>
      <c r="M976" s="33" t="n"/>
      <c r="N976" s="34" t="n"/>
      <c r="O976" s="33" t="n"/>
      <c r="P976" s="34" t="n"/>
      <c r="Q976" s="32" t="n"/>
    </row>
    <row r="977">
      <c r="C977" s="33" t="n"/>
      <c r="D977" s="33" t="n"/>
      <c r="E977" s="66" t="n"/>
      <c r="F977" s="33" t="n"/>
      <c r="G977" s="42" t="n"/>
      <c r="H977" s="44" t="n"/>
      <c r="I977" s="44" t="n"/>
      <c r="J977" s="31" t="n"/>
      <c r="K977" s="32" t="n"/>
      <c r="L977" s="32" t="n"/>
      <c r="M977" s="33" t="n"/>
      <c r="N977" s="34" t="n"/>
      <c r="O977" s="33" t="n"/>
      <c r="P977" s="34" t="n"/>
      <c r="Q977" s="32" t="n"/>
    </row>
    <row r="978">
      <c r="C978" s="33" t="n"/>
      <c r="D978" s="33" t="n"/>
      <c r="E978" s="66" t="n"/>
      <c r="F978" s="33" t="n"/>
      <c r="G978" s="42" t="n"/>
      <c r="H978" s="44" t="n"/>
      <c r="I978" s="44" t="n"/>
      <c r="J978" s="31" t="n"/>
      <c r="K978" s="32" t="n"/>
      <c r="L978" s="32" t="n"/>
      <c r="M978" s="33" t="n"/>
      <c r="N978" s="34" t="n"/>
      <c r="O978" s="33" t="n"/>
      <c r="P978" s="34" t="n"/>
      <c r="Q978" s="32" t="n"/>
    </row>
    <row r="979">
      <c r="C979" s="33" t="n"/>
      <c r="D979" s="33" t="n"/>
      <c r="E979" s="66" t="n"/>
      <c r="F979" s="33" t="n"/>
      <c r="G979" s="42" t="n"/>
      <c r="H979" s="44" t="n"/>
      <c r="I979" s="44" t="n"/>
      <c r="J979" s="31" t="n"/>
      <c r="K979" s="32" t="n"/>
      <c r="L979" s="32" t="n"/>
      <c r="M979" s="33" t="n"/>
      <c r="N979" s="34" t="n"/>
      <c r="O979" s="33" t="n"/>
      <c r="P979" s="34" t="n"/>
      <c r="Q979" s="33" t="n"/>
    </row>
    <row r="980">
      <c r="C980" s="33" t="n"/>
      <c r="D980" s="33" t="n"/>
      <c r="E980" s="66" t="n"/>
      <c r="F980" s="33" t="n"/>
      <c r="G980" s="42" t="n"/>
      <c r="H980" s="44" t="n"/>
      <c r="I980" s="44" t="n"/>
      <c r="J980" s="31" t="n"/>
      <c r="K980" s="32" t="n"/>
      <c r="L980" s="32" t="n"/>
      <c r="M980" s="33" t="n"/>
      <c r="N980" s="34" t="n"/>
      <c r="O980" s="33" t="n"/>
      <c r="P980" s="34" t="n"/>
      <c r="Q980" s="33" t="n"/>
    </row>
    <row r="981">
      <c r="C981" s="33" t="n"/>
      <c r="D981" s="33" t="n"/>
      <c r="E981" s="66" t="n"/>
      <c r="F981" s="33" t="n"/>
      <c r="G981" s="42" t="n"/>
      <c r="H981" s="44" t="n"/>
      <c r="I981" s="44" t="n"/>
      <c r="J981" s="31" t="n"/>
      <c r="K981" s="32" t="n"/>
      <c r="L981" s="32" t="n"/>
      <c r="M981" s="33" t="n"/>
      <c r="N981" s="34" t="n"/>
      <c r="O981" s="33" t="n"/>
      <c r="P981" s="34" t="n"/>
      <c r="Q981" s="33" t="n"/>
    </row>
    <row r="982">
      <c r="C982" s="33" t="n"/>
      <c r="D982" s="33" t="n"/>
      <c r="E982" s="66" t="n"/>
      <c r="F982" s="33" t="n"/>
      <c r="G982" s="42" t="n"/>
      <c r="H982" s="44" t="n"/>
      <c r="I982" s="44" t="n"/>
      <c r="J982" s="31" t="n"/>
      <c r="K982" s="32" t="n"/>
      <c r="L982" s="32" t="n"/>
      <c r="M982" s="33" t="n"/>
      <c r="N982" s="34" t="n"/>
      <c r="O982" s="33" t="n"/>
      <c r="P982" s="34" t="n"/>
      <c r="Q982" s="33" t="n"/>
    </row>
    <row r="983">
      <c r="C983" s="33" t="n"/>
      <c r="D983" s="33" t="n"/>
      <c r="E983" s="66" t="n"/>
      <c r="F983" s="33" t="n"/>
      <c r="G983" s="42" t="n"/>
      <c r="H983" s="44" t="n"/>
      <c r="I983" s="44" t="n"/>
      <c r="J983" s="31" t="n"/>
      <c r="K983" s="32" t="n"/>
      <c r="L983" s="32" t="n"/>
      <c r="M983" s="33" t="n"/>
      <c r="N983" s="34" t="n"/>
      <c r="O983" s="33" t="n"/>
      <c r="P983" s="34" t="n"/>
      <c r="Q983" s="33" t="n"/>
    </row>
    <row r="984">
      <c r="C984" s="33" t="n"/>
      <c r="D984" s="33" t="n"/>
      <c r="E984" s="66" t="n"/>
      <c r="F984" s="33" t="n"/>
      <c r="G984" s="42" t="n"/>
      <c r="H984" s="44" t="n"/>
      <c r="I984" s="44" t="n"/>
      <c r="J984" s="31" t="n"/>
      <c r="K984" s="32" t="n"/>
      <c r="L984" s="32" t="n"/>
      <c r="M984" s="33" t="n"/>
      <c r="N984" s="34" t="n"/>
      <c r="O984" s="33" t="n"/>
      <c r="P984" s="34" t="n"/>
      <c r="Q984" s="33" t="n"/>
    </row>
    <row r="985" customFormat="1" s="63">
      <c r="C985" s="33" t="n"/>
      <c r="D985" s="33" t="n"/>
      <c r="E985" s="66" t="n"/>
      <c r="F985" s="33" t="n"/>
      <c r="G985" s="42" t="n"/>
      <c r="H985" s="44" t="n"/>
      <c r="I985" s="44" t="n"/>
      <c r="J985" s="31" t="n"/>
      <c r="K985" s="32" t="n"/>
      <c r="L985" s="32" t="n"/>
      <c r="M985" s="33" t="n"/>
      <c r="N985" s="34" t="n"/>
      <c r="O985" s="33" t="n"/>
      <c r="P985" s="34" t="n"/>
      <c r="Q985" s="33" t="n"/>
    </row>
    <row r="986">
      <c r="C986" s="33" t="n"/>
      <c r="D986" s="33" t="n"/>
      <c r="E986" s="66" t="n"/>
      <c r="F986" s="33" t="n"/>
      <c r="G986" s="42" t="n"/>
      <c r="H986" s="44" t="n"/>
      <c r="I986" s="44" t="n"/>
      <c r="J986" s="31" t="n"/>
      <c r="K986" s="32" t="n"/>
      <c r="L986" s="32" t="n"/>
      <c r="M986" s="33" t="n"/>
      <c r="N986" s="34" t="n"/>
      <c r="O986" s="33" t="n"/>
      <c r="P986" s="34" t="n"/>
      <c r="Q986" s="33" t="n"/>
    </row>
    <row r="987">
      <c r="C987" s="33" t="n"/>
      <c r="D987" s="33" t="n"/>
      <c r="E987" s="66" t="n"/>
      <c r="F987" s="33" t="n"/>
      <c r="G987" s="42" t="n"/>
      <c r="H987" s="44" t="n"/>
      <c r="I987" s="44" t="n"/>
      <c r="J987" s="31" t="n"/>
      <c r="K987" s="32" t="n"/>
      <c r="L987" s="32" t="n"/>
      <c r="M987" s="33" t="n"/>
      <c r="N987" s="34" t="n"/>
      <c r="O987" s="33" t="n"/>
      <c r="P987" s="34" t="n"/>
      <c r="Q987" s="33" t="n"/>
    </row>
    <row r="988">
      <c r="C988" s="33" t="n"/>
      <c r="D988" s="33" t="n"/>
      <c r="E988" s="66" t="n"/>
      <c r="F988" s="33" t="n"/>
      <c r="G988" s="42" t="n"/>
      <c r="H988" s="44" t="n"/>
      <c r="I988" s="44" t="n"/>
      <c r="J988" s="31" t="n"/>
      <c r="K988" s="32" t="n"/>
      <c r="L988" s="32" t="n"/>
      <c r="M988" s="33" t="n"/>
      <c r="N988" s="34" t="n"/>
      <c r="O988" s="33" t="n"/>
      <c r="P988" s="34" t="n"/>
      <c r="Q988" s="33" t="n"/>
    </row>
    <row r="989">
      <c r="C989" s="33" t="n"/>
      <c r="D989" s="33" t="n"/>
      <c r="E989" s="66" t="n"/>
      <c r="F989" s="33" t="n"/>
      <c r="G989" s="42" t="n"/>
      <c r="H989" s="44" t="n"/>
      <c r="I989" s="44" t="n"/>
      <c r="J989" s="31" t="n"/>
      <c r="K989" s="32" t="n"/>
      <c r="L989" s="32" t="n"/>
      <c r="M989" s="33" t="n"/>
      <c r="N989" s="34" t="n"/>
      <c r="O989" s="33" t="n"/>
      <c r="P989" s="34" t="n"/>
      <c r="Q989" s="33" t="n"/>
    </row>
    <row r="990">
      <c r="C990" s="33" t="n"/>
      <c r="D990" s="33" t="n"/>
      <c r="E990" s="66" t="n"/>
      <c r="F990" s="33" t="n"/>
      <c r="G990" s="42" t="n"/>
      <c r="H990" s="44" t="n"/>
      <c r="I990" s="44" t="n"/>
      <c r="J990" s="31" t="n"/>
      <c r="K990" s="32" t="n"/>
      <c r="L990" s="32" t="n"/>
      <c r="M990" s="33" t="n"/>
      <c r="N990" s="34" t="n"/>
      <c r="O990" s="33" t="n"/>
      <c r="P990" s="34" t="n"/>
      <c r="Q990" s="33" t="n"/>
    </row>
    <row r="991">
      <c r="C991" s="33" t="n"/>
      <c r="D991" s="33" t="n"/>
      <c r="E991" s="66" t="n"/>
      <c r="F991" s="33" t="n"/>
      <c r="G991" s="42" t="n"/>
      <c r="H991" s="44" t="n"/>
      <c r="I991" s="44" t="n"/>
      <c r="J991" s="31" t="n"/>
      <c r="K991" s="32" t="n"/>
      <c r="L991" s="32" t="n"/>
      <c r="M991" s="33" t="n"/>
      <c r="N991" s="34" t="n"/>
      <c r="O991" s="33" t="n"/>
      <c r="P991" s="34" t="n"/>
      <c r="Q991" s="33" t="n"/>
    </row>
    <row r="992">
      <c r="C992" s="33" t="n"/>
      <c r="D992" s="33" t="n"/>
      <c r="E992" s="66" t="n"/>
      <c r="F992" s="33" t="n"/>
      <c r="G992" s="42" t="n"/>
      <c r="H992" s="44" t="n"/>
      <c r="I992" s="44" t="n"/>
      <c r="J992" s="31" t="n"/>
      <c r="K992" s="32" t="n"/>
      <c r="L992" s="32" t="n"/>
      <c r="M992" s="33" t="n"/>
      <c r="N992" s="34" t="n"/>
      <c r="O992" s="33" t="n"/>
      <c r="P992" s="34" t="n"/>
      <c r="Q992" s="33" t="n"/>
    </row>
    <row r="993" customFormat="1" s="23">
      <c r="C993" s="33" t="n"/>
      <c r="D993" s="33" t="n"/>
      <c r="E993" s="66" t="n"/>
      <c r="F993" s="33" t="n"/>
      <c r="G993" s="42" t="n"/>
      <c r="H993" s="44" t="n"/>
      <c r="I993" s="44" t="n"/>
      <c r="J993" s="31" t="n"/>
      <c r="K993" s="32" t="n"/>
      <c r="L993" s="32" t="n"/>
      <c r="M993" s="33" t="n"/>
      <c r="N993" s="34" t="n"/>
      <c r="O993" s="33" t="n"/>
      <c r="P993" s="34" t="n"/>
      <c r="Q993" s="33" t="n"/>
    </row>
    <row r="994">
      <c r="C994" s="33" t="n"/>
      <c r="D994" s="33" t="n"/>
      <c r="E994" s="66" t="n"/>
      <c r="F994" s="45" t="n"/>
      <c r="G994" s="42" t="n"/>
      <c r="H994" s="44" t="n"/>
      <c r="I994" s="44" t="n"/>
      <c r="J994" s="31" t="n"/>
      <c r="K994" s="32" t="n"/>
      <c r="L994" s="32" t="n"/>
      <c r="M994" s="33" t="n"/>
      <c r="N994" s="34" t="n"/>
      <c r="O994" s="33" t="n"/>
      <c r="P994" s="34" t="n"/>
      <c r="Q994" s="33" t="n"/>
    </row>
    <row r="995" customFormat="1" s="22">
      <c r="C995" s="33" t="n"/>
      <c r="D995" s="33" t="n"/>
      <c r="E995" s="67" t="n"/>
      <c r="F995" s="85" t="n"/>
      <c r="G995" s="42" t="n"/>
      <c r="H995" s="44" t="n"/>
      <c r="I995" s="44" t="n"/>
      <c r="J995" s="31" t="n"/>
      <c r="K995" s="32" t="n"/>
      <c r="L995" s="32" t="n"/>
      <c r="M995" s="33" t="n"/>
      <c r="N995" s="34" t="n"/>
      <c r="O995" s="33" t="n"/>
      <c r="P995" s="34" t="n"/>
      <c r="Q995" s="33" t="n"/>
    </row>
    <row r="996" customFormat="1" s="27">
      <c r="C996" s="45" t="n"/>
      <c r="D996" s="45" t="n"/>
      <c r="E996" s="86" t="n"/>
      <c r="F996" s="33" t="n"/>
      <c r="G996" s="42" t="n"/>
      <c r="H996" s="64" t="n"/>
      <c r="I996" s="64" t="n"/>
      <c r="J996" s="65" t="n"/>
      <c r="K996" s="60" t="n"/>
      <c r="L996" s="60" t="n"/>
      <c r="M996" s="45" t="n"/>
      <c r="N996" s="34" t="n"/>
      <c r="O996" s="33" t="n"/>
      <c r="P996" s="34" t="n"/>
      <c r="Q996" s="45" t="n"/>
    </row>
    <row r="997" customFormat="1" s="29">
      <c r="C997" s="85" t="n"/>
      <c r="D997" s="85" t="n"/>
      <c r="E997" s="66" t="n"/>
      <c r="F997" s="33" t="n"/>
      <c r="G997" s="42" t="n"/>
      <c r="H997" s="87" t="n"/>
      <c r="I997" s="87" t="n"/>
      <c r="J997" s="88" t="n"/>
      <c r="K997" s="89" t="n"/>
      <c r="L997" s="89" t="n"/>
      <c r="M997" s="33" t="n"/>
      <c r="N997" s="90" t="n"/>
      <c r="O997" s="85" t="n"/>
      <c r="P997" s="90" t="n"/>
      <c r="Q997" s="85" t="n"/>
    </row>
    <row r="998">
      <c r="C998" s="33" t="n"/>
      <c r="D998" s="33" t="n"/>
      <c r="E998" s="66" t="n"/>
      <c r="F998" s="33" t="n"/>
      <c r="G998" s="42" t="n"/>
      <c r="H998" s="44" t="n"/>
      <c r="I998" s="44" t="n"/>
      <c r="J998" s="31" t="n"/>
      <c r="K998" s="32" t="n"/>
      <c r="L998" s="32" t="n"/>
      <c r="M998" s="33" t="n"/>
      <c r="N998" s="34" t="n"/>
      <c r="O998" s="33" t="n"/>
      <c r="P998" s="34" t="n"/>
      <c r="Q998" s="66" t="n"/>
    </row>
    <row r="999">
      <c r="C999" s="33" t="n"/>
      <c r="D999" s="33" t="n"/>
      <c r="E999" s="66" t="n"/>
      <c r="F999" s="33" t="n"/>
      <c r="G999" s="42" t="n"/>
      <c r="H999" s="44" t="n"/>
      <c r="I999" s="44" t="n"/>
      <c r="J999" s="31" t="n"/>
      <c r="K999" s="32" t="n"/>
      <c r="L999" s="32" t="n"/>
      <c r="M999" s="33" t="n"/>
      <c r="N999" s="34" t="n"/>
      <c r="O999" s="33" t="n"/>
      <c r="P999" s="34" t="n"/>
      <c r="Q999" s="33" t="n"/>
    </row>
    <row r="1000">
      <c r="C1000" s="33" t="n"/>
      <c r="D1000" s="33" t="n"/>
      <c r="E1000" s="66" t="n"/>
      <c r="F1000" s="33" t="n"/>
      <c r="G1000" s="42" t="n"/>
      <c r="H1000" s="44" t="n"/>
      <c r="I1000" s="44" t="n"/>
      <c r="J1000" s="31" t="n"/>
      <c r="K1000" s="32" t="n"/>
      <c r="L1000" s="32" t="n"/>
      <c r="M1000" s="33" t="n"/>
      <c r="N1000" s="34" t="n"/>
      <c r="O1000" s="33" t="n"/>
      <c r="P1000" s="34" t="n"/>
      <c r="Q1000" s="33" t="n"/>
    </row>
    <row r="1001">
      <c r="C1001" s="33" t="n"/>
      <c r="D1001" s="33" t="n"/>
      <c r="E1001" s="66" t="n"/>
      <c r="F1001" s="33" t="n"/>
      <c r="G1001" s="42" t="n"/>
      <c r="H1001" s="44" t="n"/>
      <c r="I1001" s="44" t="n"/>
      <c r="J1001" s="31" t="n"/>
      <c r="K1001" s="32" t="n"/>
      <c r="L1001" s="32" t="n"/>
      <c r="M1001" s="33" t="n"/>
      <c r="N1001" s="34" t="n"/>
      <c r="O1001" s="33" t="n"/>
      <c r="P1001" s="34" t="n"/>
      <c r="Q1001" s="33" t="n"/>
    </row>
    <row r="1002">
      <c r="C1002" s="33" t="n"/>
      <c r="D1002" s="33" t="n"/>
      <c r="E1002" s="66" t="n"/>
      <c r="F1002" s="45" t="n"/>
      <c r="G1002" s="42" t="n"/>
      <c r="H1002" s="44" t="n"/>
      <c r="I1002" s="44" t="n"/>
      <c r="J1002" s="31" t="n"/>
      <c r="K1002" s="32" t="n"/>
      <c r="L1002" s="32" t="n"/>
      <c r="M1002" s="33" t="n"/>
      <c r="N1002" s="34" t="n"/>
      <c r="O1002" s="33" t="n"/>
      <c r="P1002" s="34" t="n"/>
      <c r="Q1002" s="33" t="n"/>
    </row>
    <row r="1003">
      <c r="C1003" s="33" t="n"/>
      <c r="D1003" s="33" t="n"/>
      <c r="E1003" s="67" t="n"/>
      <c r="F1003" s="33" t="n"/>
      <c r="G1003" s="42" t="n"/>
      <c r="H1003" s="44" t="n"/>
      <c r="I1003" s="44" t="n"/>
      <c r="J1003" s="31" t="n"/>
      <c r="K1003" s="32" t="n"/>
      <c r="L1003" s="32" t="n"/>
      <c r="M1003" s="33" t="n"/>
      <c r="N1003" s="34" t="n"/>
      <c r="O1003" s="33" t="n"/>
      <c r="P1003" s="34" t="n"/>
      <c r="Q1003" s="33" t="n"/>
    </row>
    <row r="1004" customFormat="1" s="27">
      <c r="C1004" s="45" t="n"/>
      <c r="D1004" s="45" t="n"/>
      <c r="E1004" s="33" t="n"/>
      <c r="F1004" s="33" t="n"/>
      <c r="G1004" s="42" t="n"/>
      <c r="H1004" s="64" t="n"/>
      <c r="I1004" s="64" t="n"/>
      <c r="J1004" s="65" t="n"/>
      <c r="K1004" s="60" t="n"/>
      <c r="L1004" s="60" t="n"/>
      <c r="M1004" s="33" t="n"/>
      <c r="N1004" s="34" t="n"/>
      <c r="O1004" s="33" t="n"/>
      <c r="P1004" s="34" t="n"/>
      <c r="Q1004" s="45" t="n"/>
    </row>
    <row r="1005">
      <c r="C1005" s="33" t="n"/>
      <c r="D1005" s="33" t="n"/>
      <c r="E1005" s="66" t="n"/>
      <c r="F1005" s="33" t="n"/>
      <c r="G1005" s="42" t="n"/>
      <c r="H1005" s="44" t="n"/>
      <c r="I1005" s="44" t="n"/>
      <c r="J1005" s="31" t="n"/>
      <c r="K1005" s="32" t="n"/>
      <c r="L1005" s="32" t="n"/>
      <c r="M1005" s="33" t="n"/>
      <c r="N1005" s="34" t="n"/>
      <c r="O1005" s="33" t="n"/>
      <c r="P1005" s="34" t="n"/>
      <c r="Q1005" s="33" t="n"/>
    </row>
    <row r="1006">
      <c r="C1006" s="33" t="n"/>
      <c r="D1006" s="33" t="n"/>
      <c r="E1006" s="33" t="n"/>
      <c r="F1006" s="33" t="n"/>
      <c r="G1006" s="42" t="n"/>
      <c r="H1006" s="44" t="n"/>
      <c r="I1006" s="44" t="n"/>
      <c r="J1006" s="31" t="n"/>
      <c r="K1006" s="32" t="n"/>
      <c r="L1006" s="32" t="n"/>
      <c r="M1006" s="33" t="n"/>
      <c r="N1006" s="34" t="n"/>
      <c r="O1006" s="33" t="n"/>
      <c r="P1006" s="34" t="n"/>
      <c r="Q1006" s="33" t="n"/>
    </row>
    <row r="1007">
      <c r="C1007" s="33" t="n"/>
      <c r="D1007" s="33" t="n"/>
      <c r="E1007" s="66" t="n"/>
      <c r="F1007" s="33" t="n"/>
      <c r="G1007" s="42" t="n"/>
      <c r="H1007" s="44" t="n"/>
      <c r="I1007" s="44" t="n"/>
      <c r="J1007" s="31" t="n"/>
      <c r="K1007" s="32" t="n"/>
      <c r="L1007" s="32" t="n"/>
      <c r="M1007" s="33" t="n"/>
      <c r="N1007" s="34" t="n"/>
      <c r="O1007" s="33" t="n"/>
      <c r="P1007" s="34" t="n"/>
      <c r="Q1007" s="33" t="n"/>
    </row>
    <row r="1008">
      <c r="C1008" s="33" t="n"/>
      <c r="D1008" s="33" t="n"/>
      <c r="E1008" s="66" t="n"/>
      <c r="F1008" s="33" t="n"/>
      <c r="G1008" s="42" t="n"/>
      <c r="H1008" s="44" t="n"/>
      <c r="I1008" s="44" t="n"/>
      <c r="J1008" s="31" t="n"/>
      <c r="K1008" s="32" t="n"/>
      <c r="L1008" s="32" t="n"/>
      <c r="M1008" s="33" t="n"/>
      <c r="N1008" s="34" t="n"/>
      <c r="O1008" s="33" t="n"/>
      <c r="P1008" s="34" t="n"/>
      <c r="Q1008" s="33" t="n"/>
    </row>
    <row r="1009">
      <c r="C1009" s="33" t="n"/>
      <c r="D1009" s="33" t="n"/>
      <c r="E1009" s="66" t="n"/>
      <c r="F1009" s="33" t="n"/>
      <c r="G1009" s="42" t="n"/>
      <c r="H1009" s="44" t="n"/>
      <c r="I1009" s="44" t="n"/>
      <c r="J1009" s="31" t="n"/>
      <c r="K1009" s="32" t="n"/>
      <c r="L1009" s="32" t="n"/>
      <c r="M1009" s="33" t="n"/>
      <c r="N1009" s="34" t="n"/>
      <c r="O1009" s="33" t="n"/>
      <c r="P1009" s="34" t="n"/>
      <c r="Q1009" s="33" t="n"/>
    </row>
    <row r="1010">
      <c r="C1010" s="33" t="n"/>
      <c r="D1010" s="33" t="n"/>
      <c r="E1010" s="66" t="n"/>
      <c r="F1010" s="33" t="n"/>
      <c r="G1010" s="42" t="n"/>
      <c r="H1010" s="44" t="n"/>
      <c r="I1010" s="44" t="n"/>
      <c r="J1010" s="31" t="n"/>
      <c r="K1010" s="32" t="n"/>
      <c r="L1010" s="32" t="n"/>
      <c r="M1010" s="33" t="n"/>
      <c r="N1010" s="34" t="n"/>
      <c r="O1010" s="33" t="n"/>
      <c r="P1010" s="34" t="n"/>
      <c r="Q1010" s="33" t="n"/>
    </row>
    <row r="1011">
      <c r="C1011" s="33" t="n"/>
      <c r="D1011" s="33" t="n"/>
      <c r="E1011" s="66" t="n"/>
      <c r="F1011" s="33" t="n"/>
      <c r="G1011" s="42" t="n"/>
      <c r="H1011" s="44" t="n"/>
      <c r="I1011" s="44" t="n"/>
      <c r="J1011" s="31" t="n"/>
      <c r="K1011" s="32" t="n"/>
      <c r="L1011" s="32" t="n"/>
      <c r="M1011" s="33" t="n"/>
      <c r="N1011" s="34" t="n"/>
      <c r="O1011" s="33" t="n"/>
      <c r="P1011" s="34" t="n"/>
      <c r="Q1011" s="33" t="n"/>
    </row>
    <row r="1012">
      <c r="C1012" s="33" t="n"/>
      <c r="D1012" s="33" t="n"/>
      <c r="E1012" s="66" t="n"/>
      <c r="F1012" s="33" t="n"/>
      <c r="G1012" s="42" t="n"/>
      <c r="H1012" s="44" t="n"/>
      <c r="I1012" s="44" t="n"/>
      <c r="J1012" s="31" t="n"/>
      <c r="K1012" s="32" t="n"/>
      <c r="L1012" s="32" t="n"/>
      <c r="M1012" s="33" t="n"/>
      <c r="N1012" s="34" t="n"/>
      <c r="O1012" s="33" t="n"/>
      <c r="P1012" s="34" t="n"/>
      <c r="Q1012" s="33" t="n"/>
    </row>
    <row r="1013">
      <c r="C1013" s="33" t="n"/>
      <c r="D1013" s="33" t="n"/>
      <c r="E1013" s="66" t="n"/>
      <c r="F1013" s="33" t="n"/>
      <c r="G1013" s="42" t="n"/>
      <c r="H1013" s="44" t="n"/>
      <c r="I1013" s="44" t="n"/>
      <c r="J1013" s="31" t="n"/>
      <c r="K1013" s="32" t="n"/>
      <c r="L1013" s="32" t="n"/>
      <c r="M1013" s="33" t="n"/>
      <c r="N1013" s="34" t="n"/>
      <c r="O1013" s="33" t="n"/>
      <c r="P1013" s="34" t="n"/>
      <c r="Q1013" s="33" t="n"/>
    </row>
    <row r="1014">
      <c r="C1014" s="33" t="n"/>
      <c r="D1014" s="33" t="n"/>
      <c r="E1014" s="66" t="n"/>
      <c r="F1014" s="33" t="n"/>
      <c r="G1014" s="42" t="n"/>
      <c r="H1014" s="44" t="n"/>
      <c r="I1014" s="44" t="n"/>
      <c r="J1014" s="31" t="n"/>
      <c r="K1014" s="32" t="n"/>
      <c r="L1014" s="32" t="n"/>
      <c r="M1014" s="33" t="n"/>
      <c r="N1014" s="34" t="n"/>
      <c r="O1014" s="33" t="n"/>
      <c r="P1014" s="34" t="n"/>
      <c r="Q1014" s="33" t="n"/>
    </row>
    <row r="1015">
      <c r="C1015" s="33" t="n"/>
      <c r="D1015" s="33" t="n"/>
      <c r="E1015" s="66" t="n"/>
      <c r="F1015" s="33" t="n"/>
      <c r="G1015" s="42" t="n"/>
      <c r="H1015" s="44" t="n"/>
      <c r="I1015" s="44" t="n"/>
      <c r="J1015" s="31" t="n"/>
      <c r="K1015" s="32" t="n"/>
      <c r="L1015" s="32" t="n"/>
      <c r="M1015" s="33" t="n"/>
      <c r="N1015" s="34" t="n"/>
      <c r="O1015" s="33" t="n"/>
      <c r="P1015" s="34" t="n"/>
      <c r="Q1015" s="33" t="n"/>
    </row>
    <row r="1016">
      <c r="C1016" s="33" t="n"/>
      <c r="D1016" s="33" t="n"/>
      <c r="E1016" s="66" t="n"/>
      <c r="F1016" s="33" t="n"/>
      <c r="G1016" s="42" t="n"/>
      <c r="H1016" s="44" t="n"/>
      <c r="I1016" s="44" t="n"/>
      <c r="J1016" s="31" t="n"/>
      <c r="K1016" s="32" t="n"/>
      <c r="L1016" s="32" t="n"/>
      <c r="M1016" s="33" t="n"/>
      <c r="N1016" s="34" t="n"/>
      <c r="O1016" s="33" t="n"/>
      <c r="P1016" s="34" t="n"/>
      <c r="Q1016" s="33" t="n"/>
    </row>
    <row r="1017">
      <c r="C1017" s="33" t="n"/>
      <c r="D1017" s="33" t="n"/>
      <c r="E1017" s="66" t="n"/>
      <c r="F1017" s="33" t="n"/>
      <c r="G1017" s="42" t="n"/>
      <c r="H1017" s="44" t="n"/>
      <c r="I1017" s="44" t="n"/>
      <c r="J1017" s="31" t="n"/>
      <c r="K1017" s="32" t="n"/>
      <c r="L1017" s="32" t="n"/>
      <c r="M1017" s="33" t="n"/>
      <c r="N1017" s="34" t="n"/>
      <c r="O1017" s="33" t="n"/>
      <c r="P1017" s="34" t="n"/>
      <c r="Q1017" s="33" t="n"/>
    </row>
    <row r="1018">
      <c r="C1018" s="33" t="n"/>
      <c r="D1018" s="33" t="n"/>
      <c r="E1018" s="66" t="n"/>
      <c r="F1018" s="33" t="n"/>
      <c r="G1018" s="42" t="n"/>
      <c r="H1018" s="44" t="n"/>
      <c r="I1018" s="44" t="n"/>
      <c r="J1018" s="31" t="n"/>
      <c r="K1018" s="32" t="n"/>
      <c r="L1018" s="32" t="n"/>
      <c r="M1018" s="33" t="n"/>
      <c r="N1018" s="34" t="n"/>
      <c r="O1018" s="33" t="n"/>
      <c r="P1018" s="34" t="n"/>
      <c r="Q1018" s="33" t="n"/>
    </row>
    <row r="1019">
      <c r="C1019" s="33" t="n"/>
      <c r="D1019" s="33" t="n"/>
      <c r="E1019" s="33" t="n"/>
      <c r="F1019" s="33" t="n"/>
      <c r="G1019" s="42" t="n"/>
      <c r="H1019" s="44" t="n"/>
      <c r="I1019" s="44" t="n"/>
      <c r="J1019" s="31" t="n"/>
      <c r="K1019" s="32" t="n"/>
      <c r="L1019" s="32" t="n"/>
      <c r="M1019" s="33" t="n"/>
      <c r="N1019" s="34" t="n"/>
      <c r="O1019" s="33" t="n"/>
      <c r="P1019" s="34" t="n"/>
      <c r="Q1019" s="33" t="n"/>
    </row>
    <row r="1020">
      <c r="C1020" s="33" t="n"/>
      <c r="D1020" s="33" t="n"/>
      <c r="E1020" s="66" t="n"/>
      <c r="F1020" s="33" t="n"/>
      <c r="G1020" s="42" t="n"/>
      <c r="H1020" s="44" t="n"/>
      <c r="I1020" s="44" t="n"/>
      <c r="J1020" s="31" t="n"/>
      <c r="K1020" s="32" t="n"/>
      <c r="L1020" s="32" t="n"/>
      <c r="M1020" s="33" t="n"/>
      <c r="N1020" s="34" t="n"/>
      <c r="O1020" s="33" t="n"/>
      <c r="P1020" s="34" t="n"/>
      <c r="Q1020" s="33" t="n"/>
    </row>
    <row r="1021">
      <c r="C1021" s="33" t="n"/>
      <c r="D1021" s="33" t="n"/>
      <c r="E1021" s="66" t="n"/>
      <c r="F1021" s="33" t="n"/>
      <c r="G1021" s="42" t="n"/>
      <c r="H1021" s="44" t="n"/>
      <c r="I1021" s="44" t="n"/>
      <c r="J1021" s="31" t="n"/>
      <c r="K1021" s="32" t="n"/>
      <c r="L1021" s="32" t="n"/>
      <c r="M1021" s="33" t="n"/>
      <c r="N1021" s="34" t="n"/>
      <c r="O1021" s="33" t="n"/>
      <c r="P1021" s="34" t="n"/>
      <c r="Q1021" s="33" t="n"/>
    </row>
    <row r="1022">
      <c r="C1022" s="33" t="n"/>
      <c r="D1022" s="33" t="n"/>
      <c r="E1022" s="66" t="n"/>
      <c r="F1022" s="33" t="n"/>
      <c r="G1022" s="42" t="n"/>
      <c r="H1022" s="44" t="n"/>
      <c r="I1022" s="44" t="n"/>
      <c r="J1022" s="31" t="n"/>
      <c r="K1022" s="32" t="n"/>
      <c r="L1022" s="32" t="n"/>
      <c r="M1022" s="33" t="n"/>
      <c r="N1022" s="34" t="n"/>
      <c r="O1022" s="33" t="n"/>
      <c r="P1022" s="34" t="n"/>
      <c r="Q1022" s="33" t="n"/>
    </row>
    <row r="1023">
      <c r="C1023" s="33" t="n"/>
      <c r="D1023" s="33" t="n"/>
      <c r="E1023" s="66" t="n"/>
      <c r="F1023" s="33" t="n"/>
      <c r="G1023" s="42" t="n"/>
      <c r="H1023" s="44" t="n"/>
      <c r="I1023" s="44" t="n"/>
      <c r="J1023" s="31" t="n"/>
      <c r="K1023" s="32" t="n"/>
      <c r="L1023" s="32" t="n"/>
      <c r="M1023" s="33" t="n"/>
      <c r="N1023" s="34" t="n"/>
      <c r="O1023" s="33" t="n"/>
      <c r="P1023" s="34" t="n"/>
      <c r="Q1023" s="91" t="n"/>
    </row>
    <row r="1024">
      <c r="C1024" s="33" t="n"/>
      <c r="D1024" s="33" t="n"/>
      <c r="E1024" s="66" t="n"/>
      <c r="F1024" s="33" t="n"/>
      <c r="G1024" s="42" t="n"/>
      <c r="H1024" s="44" t="n"/>
      <c r="I1024" s="44" t="n"/>
      <c r="J1024" s="31" t="n"/>
      <c r="K1024" s="32" t="n"/>
      <c r="L1024" s="32" t="n"/>
      <c r="M1024" s="33" t="n"/>
      <c r="N1024" s="34" t="n"/>
      <c r="O1024" s="33" t="n"/>
      <c r="P1024" s="34" t="n"/>
      <c r="Q1024" s="33" t="n"/>
    </row>
    <row r="1025">
      <c r="C1025" s="33" t="n"/>
      <c r="D1025" s="33" t="n"/>
      <c r="E1025" s="66" t="n"/>
      <c r="F1025" s="33" t="n"/>
      <c r="G1025" s="42" t="n"/>
      <c r="H1025" s="44" t="n"/>
      <c r="I1025" s="44" t="n"/>
      <c r="J1025" s="31" t="n"/>
      <c r="K1025" s="32" t="n"/>
      <c r="L1025" s="32" t="n"/>
      <c r="M1025" s="33" t="n"/>
      <c r="N1025" s="34" t="n"/>
      <c r="O1025" s="33" t="n"/>
      <c r="P1025" s="34" t="n"/>
      <c r="Q1025" s="33" t="n"/>
    </row>
    <row r="1026">
      <c r="C1026" s="33" t="n"/>
      <c r="D1026" s="33" t="n"/>
      <c r="E1026" s="66" t="n"/>
      <c r="F1026" s="33" t="n"/>
      <c r="G1026" s="42" t="n"/>
      <c r="H1026" s="44" t="n"/>
      <c r="I1026" s="44" t="n"/>
      <c r="J1026" s="31" t="n"/>
      <c r="K1026" s="32" t="n"/>
      <c r="L1026" s="32" t="n"/>
      <c r="M1026" s="33" t="n"/>
      <c r="N1026" s="34" t="n"/>
      <c r="O1026" s="33" t="n"/>
      <c r="P1026" s="34" t="n"/>
      <c r="Q1026" s="33" t="n"/>
    </row>
    <row r="1027">
      <c r="C1027" s="33" t="n"/>
      <c r="D1027" s="33" t="n"/>
      <c r="E1027" s="66" t="n"/>
      <c r="F1027" s="33" t="n"/>
      <c r="G1027" s="42" t="n"/>
      <c r="H1027" s="44" t="n"/>
      <c r="I1027" s="44" t="n"/>
      <c r="J1027" s="31" t="n"/>
      <c r="K1027" s="32" t="n"/>
      <c r="L1027" s="32" t="n"/>
      <c r="M1027" s="33" t="n"/>
      <c r="N1027" s="34" t="n"/>
      <c r="O1027" s="33" t="n"/>
      <c r="P1027" s="34" t="n"/>
      <c r="Q1027" s="33" t="n"/>
    </row>
    <row r="1028">
      <c r="C1028" s="33" t="n"/>
      <c r="D1028" s="33" t="n"/>
      <c r="E1028" s="66" t="n"/>
      <c r="F1028" s="33" t="n"/>
      <c r="G1028" s="42" t="n"/>
      <c r="H1028" s="44" t="n"/>
      <c r="I1028" s="44" t="n"/>
      <c r="J1028" s="31" t="n"/>
      <c r="K1028" s="32" t="n"/>
      <c r="L1028" s="32" t="n"/>
      <c r="M1028" s="33" t="n"/>
      <c r="N1028" s="34" t="n"/>
      <c r="O1028" s="33" t="n"/>
      <c r="P1028" s="34" t="n"/>
      <c r="Q1028" s="33" t="n"/>
    </row>
    <row r="1029">
      <c r="C1029" s="33" t="n"/>
      <c r="D1029" s="33" t="n"/>
      <c r="E1029" s="66" t="n"/>
      <c r="F1029" s="33" t="n"/>
      <c r="G1029" s="42" t="n"/>
      <c r="H1029" s="44" t="n"/>
      <c r="I1029" s="44" t="n"/>
      <c r="J1029" s="31" t="n"/>
      <c r="K1029" s="32" t="n"/>
      <c r="L1029" s="32" t="n"/>
      <c r="M1029" s="33" t="n"/>
      <c r="N1029" s="34" t="n"/>
      <c r="O1029" s="33" t="n"/>
      <c r="P1029" s="34" t="n"/>
      <c r="Q1029" s="33" t="n"/>
    </row>
    <row r="1030">
      <c r="C1030" s="33" t="n"/>
      <c r="D1030" s="33" t="n"/>
      <c r="E1030" s="66" t="n"/>
      <c r="F1030" s="33" t="n"/>
      <c r="G1030" s="42" t="n"/>
      <c r="H1030" s="44" t="n"/>
      <c r="I1030" s="44" t="n"/>
      <c r="J1030" s="31" t="n"/>
      <c r="K1030" s="32" t="n"/>
      <c r="L1030" s="32" t="n"/>
      <c r="M1030" s="33" t="n"/>
      <c r="N1030" s="34" t="n"/>
      <c r="O1030" s="33" t="n"/>
      <c r="P1030" s="34" t="n"/>
      <c r="Q1030" s="33" t="n"/>
    </row>
    <row r="1031">
      <c r="C1031" s="33" t="n"/>
      <c r="D1031" s="33" t="n"/>
      <c r="E1031" s="66" t="n"/>
      <c r="F1031" s="33" t="n"/>
      <c r="G1031" s="42" t="n"/>
      <c r="H1031" s="44" t="n"/>
      <c r="I1031" s="44" t="n"/>
      <c r="J1031" s="31" t="n"/>
      <c r="K1031" s="32" t="n"/>
      <c r="L1031" s="32" t="n"/>
      <c r="M1031" s="33" t="n"/>
      <c r="N1031" s="34" t="n"/>
      <c r="O1031" s="33" t="n"/>
      <c r="P1031" s="34" t="n"/>
      <c r="Q1031" s="33" t="n"/>
    </row>
    <row r="1032">
      <c r="C1032" s="33" t="n"/>
      <c r="D1032" s="33" t="n"/>
      <c r="E1032" s="66" t="n"/>
      <c r="F1032" s="33" t="n"/>
      <c r="G1032" s="42" t="n"/>
      <c r="H1032" s="44" t="n"/>
      <c r="I1032" s="44" t="n"/>
      <c r="J1032" s="31" t="n"/>
      <c r="K1032" s="32" t="n"/>
      <c r="L1032" s="32" t="n"/>
      <c r="M1032" s="33" t="n"/>
      <c r="N1032" s="34" t="n"/>
      <c r="O1032" s="33" t="n"/>
      <c r="P1032" s="34" t="n"/>
      <c r="Q1032" s="33" t="n"/>
    </row>
    <row r="1033">
      <c r="C1033" s="33" t="n"/>
      <c r="D1033" s="33" t="n"/>
      <c r="E1033" s="66" t="n"/>
      <c r="F1033" s="33" t="n"/>
      <c r="G1033" s="42" t="n"/>
      <c r="H1033" s="44" t="n"/>
      <c r="I1033" s="44" t="n"/>
      <c r="J1033" s="31" t="n"/>
      <c r="K1033" s="32" t="n"/>
      <c r="L1033" s="32" t="n"/>
      <c r="M1033" s="33" t="n"/>
      <c r="N1033" s="34" t="n"/>
      <c r="O1033" s="33" t="n"/>
      <c r="P1033" s="34" t="n"/>
      <c r="Q1033" s="33" t="n"/>
    </row>
    <row r="1034">
      <c r="C1034" s="33" t="n"/>
      <c r="D1034" s="33" t="n"/>
      <c r="E1034" s="66" t="n"/>
      <c r="F1034" s="33" t="n"/>
      <c r="G1034" s="42" t="n"/>
      <c r="H1034" s="44" t="n"/>
      <c r="I1034" s="44" t="n"/>
      <c r="J1034" s="31" t="n"/>
      <c r="K1034" s="32" t="n"/>
      <c r="L1034" s="32" t="n"/>
      <c r="M1034" s="33" t="n"/>
      <c r="N1034" s="34" t="n"/>
      <c r="O1034" s="33" t="n"/>
      <c r="P1034" s="34" t="n"/>
      <c r="Q1034" s="33" t="n"/>
    </row>
    <row r="1035">
      <c r="C1035" s="33" t="n"/>
      <c r="D1035" s="33" t="n"/>
      <c r="E1035" s="66" t="n"/>
      <c r="F1035" s="33" t="n"/>
      <c r="G1035" s="42" t="n"/>
      <c r="H1035" s="44" t="n"/>
      <c r="I1035" s="44" t="n"/>
      <c r="J1035" s="31" t="n"/>
      <c r="K1035" s="32" t="n"/>
      <c r="L1035" s="32" t="n"/>
      <c r="M1035" s="33" t="n"/>
      <c r="N1035" s="34" t="n"/>
      <c r="O1035" s="33" t="n"/>
      <c r="P1035" s="34" t="n"/>
      <c r="Q1035" s="33" t="n"/>
    </row>
    <row r="1036">
      <c r="C1036" s="33" t="n"/>
      <c r="D1036" s="33" t="n"/>
      <c r="E1036" s="66" t="n"/>
      <c r="F1036" s="33" t="n"/>
      <c r="G1036" s="42" t="n"/>
      <c r="H1036" s="44" t="n"/>
      <c r="I1036" s="44" t="n"/>
      <c r="J1036" s="31" t="n"/>
      <c r="K1036" s="32" t="n"/>
      <c r="L1036" s="32" t="n"/>
      <c r="M1036" s="33" t="n"/>
      <c r="N1036" s="34" t="n"/>
      <c r="O1036" s="33" t="n"/>
      <c r="P1036" s="34" t="n"/>
      <c r="Q1036" s="33" t="n"/>
    </row>
    <row r="1037">
      <c r="C1037" s="33" t="n"/>
      <c r="D1037" s="33" t="n"/>
      <c r="E1037" s="66" t="n"/>
      <c r="F1037" s="33" t="n"/>
      <c r="G1037" s="42" t="n"/>
      <c r="H1037" s="44" t="n"/>
      <c r="I1037" s="44" t="n"/>
      <c r="J1037" s="31" t="n"/>
      <c r="K1037" s="32" t="n"/>
      <c r="L1037" s="32" t="n"/>
      <c r="M1037" s="33" t="n"/>
      <c r="N1037" s="34" t="n"/>
      <c r="O1037" s="33" t="n"/>
      <c r="P1037" s="34" t="n"/>
      <c r="Q1037" s="33" t="n"/>
    </row>
    <row r="1038">
      <c r="C1038" s="33" t="n"/>
      <c r="D1038" s="33" t="n"/>
      <c r="E1038" s="66" t="n"/>
      <c r="F1038" s="33" t="n"/>
      <c r="G1038" s="42" t="n"/>
      <c r="H1038" s="44" t="n"/>
      <c r="I1038" s="44" t="n"/>
      <c r="J1038" s="31" t="n"/>
      <c r="K1038" s="32" t="n"/>
      <c r="L1038" s="32" t="n"/>
      <c r="M1038" s="33" t="n"/>
      <c r="N1038" s="34" t="n"/>
      <c r="O1038" s="33" t="n"/>
      <c r="P1038" s="34" t="n"/>
      <c r="Q1038" s="33" t="n"/>
    </row>
    <row r="1039">
      <c r="C1039" s="33" t="n"/>
      <c r="D1039" s="33" t="n"/>
      <c r="E1039" s="66" t="n"/>
      <c r="F1039" s="33" t="n"/>
      <c r="G1039" s="42" t="n"/>
      <c r="H1039" s="44" t="n"/>
      <c r="I1039" s="44" t="n"/>
      <c r="J1039" s="31" t="n"/>
      <c r="K1039" s="32" t="n"/>
      <c r="L1039" s="32" t="n"/>
      <c r="M1039" s="33" t="n"/>
      <c r="N1039" s="34" t="n"/>
      <c r="O1039" s="33" t="n"/>
      <c r="P1039" s="34" t="n"/>
      <c r="Q1039" s="33" t="n"/>
    </row>
    <row r="1040">
      <c r="C1040" s="33" t="n"/>
      <c r="D1040" s="33" t="n"/>
      <c r="E1040" s="66" t="n"/>
      <c r="F1040" s="33" t="n"/>
      <c r="G1040" s="42" t="n"/>
      <c r="H1040" s="44" t="n"/>
      <c r="I1040" s="44" t="n"/>
      <c r="J1040" s="31" t="n"/>
      <c r="K1040" s="32" t="n"/>
      <c r="L1040" s="32" t="n"/>
      <c r="M1040" s="33" t="n"/>
      <c r="N1040" s="34" t="n"/>
      <c r="O1040" s="33" t="n"/>
      <c r="P1040" s="34" t="n"/>
      <c r="Q1040" s="33" t="n"/>
    </row>
    <row r="1041">
      <c r="C1041" s="33" t="n"/>
      <c r="D1041" s="33" t="n"/>
      <c r="E1041" s="66" t="n"/>
      <c r="F1041" s="33" t="n"/>
      <c r="G1041" s="42" t="n"/>
      <c r="H1041" s="44" t="n"/>
      <c r="I1041" s="44" t="n"/>
      <c r="J1041" s="31" t="n"/>
      <c r="K1041" s="32" t="n"/>
      <c r="L1041" s="32" t="n"/>
      <c r="M1041" s="33" t="n"/>
      <c r="N1041" s="34" t="n"/>
      <c r="O1041" s="33" t="n"/>
      <c r="P1041" s="34" t="n"/>
      <c r="Q1041" s="33" t="n"/>
    </row>
    <row r="1042">
      <c r="C1042" s="33" t="n"/>
      <c r="D1042" s="33" t="n"/>
      <c r="E1042" s="66" t="n"/>
      <c r="F1042" s="33" t="n"/>
      <c r="G1042" s="42" t="n"/>
      <c r="H1042" s="44" t="n"/>
      <c r="I1042" s="44" t="n"/>
      <c r="J1042" s="31" t="n"/>
      <c r="K1042" s="32" t="n"/>
      <c r="L1042" s="32" t="n"/>
      <c r="M1042" s="33" t="n"/>
      <c r="N1042" s="34" t="n"/>
      <c r="O1042" s="33" t="n"/>
      <c r="P1042" s="34" t="n"/>
      <c r="Q1042" s="33" t="n"/>
    </row>
    <row r="1043">
      <c r="C1043" s="33" t="n"/>
      <c r="D1043" s="33" t="n"/>
      <c r="E1043" s="66" t="n"/>
      <c r="F1043" s="33" t="n"/>
      <c r="G1043" s="42" t="n"/>
      <c r="H1043" s="44" t="n"/>
      <c r="I1043" s="44" t="n"/>
      <c r="J1043" s="31" t="n"/>
      <c r="K1043" s="32" t="n"/>
      <c r="L1043" s="32" t="n"/>
      <c r="M1043" s="33" t="n"/>
      <c r="N1043" s="34" t="n"/>
      <c r="O1043" s="33" t="n"/>
      <c r="P1043" s="34" t="n"/>
      <c r="Q1043" s="33" t="n"/>
    </row>
    <row r="1044">
      <c r="C1044" s="33" t="n"/>
      <c r="D1044" s="33" t="n"/>
      <c r="E1044" s="66" t="n"/>
      <c r="F1044" s="33" t="n"/>
      <c r="G1044" s="42" t="n"/>
      <c r="H1044" s="44" t="n"/>
      <c r="I1044" s="44" t="n"/>
      <c r="J1044" s="31" t="n"/>
      <c r="K1044" s="32" t="n"/>
      <c r="L1044" s="32" t="n"/>
      <c r="M1044" s="33" t="n"/>
      <c r="N1044" s="34" t="n"/>
      <c r="O1044" s="33" t="n"/>
      <c r="P1044" s="34" t="n"/>
      <c r="Q1044" s="33" t="n"/>
    </row>
    <row r="1045">
      <c r="C1045" s="33" t="n"/>
      <c r="D1045" s="33" t="n"/>
      <c r="E1045" s="66" t="n"/>
      <c r="F1045" s="33" t="n"/>
      <c r="G1045" s="42" t="n"/>
      <c r="H1045" s="44" t="n"/>
      <c r="I1045" s="44" t="n"/>
      <c r="J1045" s="31" t="n"/>
      <c r="K1045" s="32" t="n"/>
      <c r="L1045" s="32" t="n"/>
      <c r="M1045" s="33" t="n"/>
      <c r="N1045" s="34" t="n"/>
      <c r="O1045" s="33" t="n"/>
      <c r="P1045" s="34" t="n"/>
      <c r="Q1045" s="33" t="n"/>
    </row>
    <row r="1046">
      <c r="C1046" s="33" t="n"/>
      <c r="D1046" s="33" t="n"/>
      <c r="E1046" s="66" t="n"/>
      <c r="F1046" s="33" t="n"/>
      <c r="G1046" s="42" t="n"/>
      <c r="H1046" s="44" t="n"/>
      <c r="I1046" s="44" t="n"/>
      <c r="J1046" s="31" t="n"/>
      <c r="K1046" s="32" t="n"/>
      <c r="L1046" s="32" t="n"/>
      <c r="M1046" s="33" t="n"/>
      <c r="N1046" s="34" t="n"/>
      <c r="O1046" s="33" t="n"/>
      <c r="P1046" s="34" t="n"/>
      <c r="Q1046" s="33" t="n"/>
    </row>
    <row r="1047">
      <c r="C1047" s="33" t="n"/>
      <c r="D1047" s="33" t="n"/>
      <c r="E1047" s="66" t="n"/>
      <c r="F1047" s="33" t="n"/>
      <c r="G1047" s="42" t="n"/>
      <c r="H1047" s="44" t="n"/>
      <c r="I1047" s="44" t="n"/>
      <c r="J1047" s="31" t="n"/>
      <c r="K1047" s="32" t="n"/>
      <c r="L1047" s="32" t="n"/>
      <c r="M1047" s="33" t="n"/>
      <c r="N1047" s="34" t="n"/>
      <c r="O1047" s="33" t="n"/>
      <c r="P1047" s="34" t="n"/>
      <c r="Q1047" s="33" t="n"/>
    </row>
    <row r="1048">
      <c r="C1048" s="33" t="n"/>
      <c r="D1048" s="33" t="n"/>
      <c r="E1048" s="66" t="n"/>
      <c r="F1048" s="33" t="n"/>
      <c r="G1048" s="42" t="n"/>
      <c r="H1048" s="44" t="n"/>
      <c r="I1048" s="44" t="n"/>
      <c r="J1048" s="31" t="n"/>
      <c r="K1048" s="32" t="n"/>
      <c r="L1048" s="32" t="n"/>
      <c r="M1048" s="33" t="n"/>
      <c r="N1048" s="34" t="n"/>
      <c r="O1048" s="33" t="n"/>
      <c r="P1048" s="34" t="n"/>
      <c r="Q1048" s="33" t="n"/>
    </row>
    <row r="1049">
      <c r="C1049" s="33" t="n"/>
      <c r="D1049" s="33" t="n"/>
      <c r="E1049" s="66" t="n"/>
      <c r="F1049" s="33" t="n"/>
      <c r="G1049" s="42" t="n"/>
      <c r="H1049" s="44" t="n"/>
      <c r="I1049" s="44" t="n"/>
      <c r="J1049" s="31" t="n"/>
      <c r="K1049" s="32" t="n"/>
      <c r="L1049" s="32" t="n"/>
      <c r="M1049" s="33" t="n"/>
      <c r="N1049" s="34" t="n"/>
      <c r="O1049" s="33" t="n"/>
      <c r="P1049" s="34" t="n"/>
      <c r="Q1049" s="33" t="n"/>
    </row>
    <row r="1050">
      <c r="C1050" s="33" t="n"/>
      <c r="D1050" s="33" t="n"/>
      <c r="E1050" s="66" t="n"/>
      <c r="F1050" s="33" t="n"/>
      <c r="G1050" s="42" t="n"/>
      <c r="H1050" s="44" t="n"/>
      <c r="I1050" s="44" t="n"/>
      <c r="J1050" s="31" t="n"/>
      <c r="K1050" s="32" t="n"/>
      <c r="L1050" s="32" t="n"/>
      <c r="M1050" s="33" t="n"/>
      <c r="N1050" s="34" t="n"/>
      <c r="O1050" s="33" t="n"/>
      <c r="P1050" s="34" t="n"/>
      <c r="Q1050" s="33" t="n"/>
    </row>
    <row r="1051">
      <c r="C1051" s="33" t="n"/>
      <c r="D1051" s="33" t="n"/>
      <c r="E1051" s="66" t="n"/>
      <c r="F1051" s="33" t="n"/>
      <c r="G1051" s="42" t="n"/>
      <c r="H1051" s="44" t="n"/>
      <c r="I1051" s="44" t="n"/>
      <c r="J1051" s="31" t="n"/>
      <c r="K1051" s="32" t="n"/>
      <c r="L1051" s="32" t="n"/>
      <c r="M1051" s="33" t="n"/>
      <c r="N1051" s="34" t="n"/>
      <c r="O1051" s="33" t="n"/>
      <c r="P1051" s="34" t="n"/>
      <c r="Q1051" s="33" t="n"/>
    </row>
    <row r="1052">
      <c r="C1052" s="33" t="n"/>
      <c r="D1052" s="33" t="n"/>
      <c r="E1052" s="66" t="n"/>
      <c r="F1052" s="33" t="n"/>
      <c r="G1052" s="42" t="n"/>
      <c r="H1052" s="44" t="n"/>
      <c r="I1052" s="44" t="n"/>
      <c r="J1052" s="31" t="n"/>
      <c r="K1052" s="32" t="n"/>
      <c r="L1052" s="32" t="n"/>
      <c r="M1052" s="33" t="n"/>
      <c r="N1052" s="34" t="n"/>
      <c r="O1052" s="33" t="n"/>
      <c r="P1052" s="34" t="n"/>
      <c r="Q1052" s="33" t="n"/>
    </row>
    <row r="1053">
      <c r="C1053" s="33" t="n"/>
      <c r="D1053" s="33" t="n"/>
      <c r="E1053" s="66" t="n"/>
      <c r="F1053" s="33" t="n"/>
      <c r="G1053" s="42" t="n"/>
      <c r="H1053" s="44" t="n"/>
      <c r="I1053" s="44" t="n"/>
      <c r="J1053" s="31" t="n"/>
      <c r="K1053" s="32" t="n"/>
      <c r="L1053" s="32" t="n"/>
      <c r="M1053" s="33" t="n"/>
      <c r="N1053" s="34" t="n"/>
      <c r="O1053" s="33" t="n"/>
      <c r="P1053" s="34" t="n"/>
      <c r="Q1053" s="33" t="n"/>
    </row>
    <row r="1054">
      <c r="C1054" s="33" t="n"/>
      <c r="D1054" s="33" t="n"/>
      <c r="E1054" s="33" t="n"/>
      <c r="F1054" s="91" t="n"/>
      <c r="G1054" s="42" t="n"/>
      <c r="H1054" s="44" t="n"/>
      <c r="I1054" s="44" t="n"/>
      <c r="J1054" s="31" t="n"/>
      <c r="K1054" s="32" t="n"/>
      <c r="L1054" s="32" t="n"/>
      <c r="M1054" s="33" t="n"/>
      <c r="N1054" s="34" t="n"/>
      <c r="O1054" s="33" t="n"/>
      <c r="P1054" s="34" t="n"/>
      <c r="Q1054" s="33" t="n"/>
    </row>
    <row r="1055">
      <c r="C1055" s="33" t="n"/>
      <c r="D1055" s="33" t="n"/>
      <c r="E1055" s="92" t="n"/>
      <c r="F1055" s="33" t="n"/>
      <c r="G1055" s="42" t="n"/>
      <c r="H1055" s="44" t="n"/>
      <c r="I1055" s="44" t="n"/>
      <c r="J1055" s="31" t="n"/>
      <c r="K1055" s="32" t="n"/>
      <c r="L1055" s="32" t="n"/>
      <c r="M1055" s="33" t="n"/>
      <c r="N1055" s="34" t="n"/>
      <c r="O1055" s="33" t="n"/>
      <c r="P1055" s="34" t="n"/>
      <c r="Q1055" s="33" t="n"/>
    </row>
    <row r="1056">
      <c r="C1056" s="91" t="n"/>
      <c r="D1056" s="91" t="n"/>
      <c r="E1056" s="66" t="n"/>
      <c r="F1056" s="33" t="n"/>
      <c r="G1056" s="93" t="n"/>
      <c r="H1056" s="94" t="n"/>
      <c r="I1056" s="94" t="n"/>
      <c r="J1056" s="31" t="n"/>
      <c r="K1056" s="32" t="n"/>
      <c r="L1056" s="32" t="n"/>
      <c r="M1056" s="22" t="n"/>
      <c r="N1056" s="34" t="n"/>
      <c r="O1056" s="33" t="n"/>
      <c r="P1056" s="34" t="n"/>
      <c r="Q1056" s="91" t="n"/>
    </row>
    <row r="1057">
      <c r="C1057" s="33" t="n"/>
      <c r="D1057" s="33" t="n"/>
      <c r="E1057" s="66" t="n"/>
      <c r="F1057" s="33" t="n"/>
      <c r="G1057" s="42" t="n"/>
      <c r="H1057" s="44" t="n"/>
      <c r="I1057" s="44" t="n"/>
      <c r="J1057" s="31" t="n"/>
      <c r="K1057" s="32" t="n"/>
      <c r="L1057" s="32" t="n"/>
      <c r="M1057" s="22" t="n"/>
      <c r="N1057" s="34" t="n"/>
      <c r="O1057" s="33" t="n"/>
      <c r="P1057" s="34" t="n"/>
      <c r="Q1057" s="33" t="n"/>
    </row>
    <row r="1058">
      <c r="C1058" s="33" t="n"/>
      <c r="D1058" s="33" t="n"/>
      <c r="E1058" s="66" t="n"/>
      <c r="F1058" s="33" t="n"/>
      <c r="G1058" s="42" t="n"/>
      <c r="H1058" s="44" t="n"/>
      <c r="I1058" s="44" t="n"/>
      <c r="J1058" s="31" t="n"/>
      <c r="K1058" s="32" t="n"/>
      <c r="L1058" s="32" t="n"/>
      <c r="M1058" s="22" t="n"/>
      <c r="N1058" s="34" t="n"/>
      <c r="O1058" s="33" t="n"/>
      <c r="P1058" s="34" t="n"/>
      <c r="Q1058" s="33" t="n"/>
    </row>
    <row r="1059">
      <c r="C1059" s="33" t="n"/>
      <c r="D1059" s="33" t="n"/>
      <c r="E1059" s="66" t="n"/>
      <c r="F1059" s="33" t="n"/>
      <c r="G1059" s="42" t="n"/>
      <c r="H1059" s="44" t="n"/>
      <c r="I1059" s="44" t="n"/>
      <c r="J1059" s="31" t="n"/>
      <c r="K1059" s="32" t="n"/>
      <c r="L1059" s="32" t="n"/>
      <c r="M1059" s="22" t="n"/>
      <c r="N1059" s="34" t="n"/>
      <c r="O1059" s="33" t="n"/>
      <c r="P1059" s="34" t="n"/>
      <c r="Q1059" s="33" t="n"/>
    </row>
    <row r="1060">
      <c r="C1060" s="33" t="n"/>
      <c r="D1060" s="33" t="n"/>
      <c r="E1060" s="66" t="n"/>
      <c r="F1060" s="33" t="n"/>
      <c r="G1060" s="42" t="n"/>
      <c r="H1060" s="44" t="n"/>
      <c r="I1060" s="44" t="n"/>
      <c r="J1060" s="31" t="n"/>
      <c r="K1060" s="32" t="n"/>
      <c r="L1060" s="32" t="n"/>
      <c r="M1060" s="22" t="n"/>
      <c r="N1060" s="34" t="n"/>
      <c r="O1060" s="33" t="n"/>
      <c r="P1060" s="34" t="n"/>
      <c r="Q1060" s="33" t="n"/>
    </row>
    <row r="1061">
      <c r="C1061" s="33" t="n"/>
      <c r="D1061" s="33" t="n"/>
      <c r="E1061" s="66" t="n"/>
      <c r="F1061" s="33" t="n"/>
      <c r="G1061" s="42" t="n"/>
      <c r="H1061" s="44" t="n"/>
      <c r="I1061" s="44" t="n"/>
      <c r="J1061" s="31" t="n"/>
      <c r="K1061" s="32" t="n"/>
      <c r="L1061" s="32" t="n"/>
      <c r="M1061" s="22" t="n"/>
      <c r="N1061" s="34" t="n"/>
      <c r="O1061" s="33" t="n"/>
      <c r="P1061" s="34" t="n"/>
      <c r="Q1061" s="33" t="n"/>
    </row>
    <row r="1062">
      <c r="C1062" s="33" t="n"/>
      <c r="D1062" s="33" t="n"/>
      <c r="E1062" s="66" t="n"/>
      <c r="F1062" s="33" t="n"/>
      <c r="G1062" s="42" t="n"/>
      <c r="H1062" s="44" t="n"/>
      <c r="I1062" s="44" t="n"/>
      <c r="J1062" s="31" t="n"/>
      <c r="K1062" s="32" t="n"/>
      <c r="L1062" s="32" t="n"/>
      <c r="M1062" s="22" t="n"/>
      <c r="N1062" s="34" t="n"/>
      <c r="O1062" s="33" t="n"/>
      <c r="P1062" s="34" t="n"/>
      <c r="Q1062" s="33" t="n"/>
    </row>
    <row r="1063">
      <c r="C1063" s="33" t="n"/>
      <c r="D1063" s="33" t="n"/>
      <c r="E1063" s="66" t="n"/>
      <c r="F1063" s="33" t="n"/>
      <c r="G1063" s="42" t="n"/>
      <c r="H1063" s="44" t="n"/>
      <c r="I1063" s="44" t="n"/>
      <c r="J1063" s="31" t="n"/>
      <c r="K1063" s="32" t="n"/>
      <c r="L1063" s="32" t="n"/>
      <c r="M1063" s="22" t="n"/>
      <c r="N1063" s="34" t="n"/>
      <c r="O1063" s="33" t="n"/>
      <c r="P1063" s="34" t="n"/>
      <c r="Q1063" s="33" t="n"/>
    </row>
    <row r="1064">
      <c r="C1064" s="33" t="n"/>
      <c r="D1064" s="33" t="n"/>
      <c r="E1064" s="66" t="n"/>
      <c r="F1064" s="33" t="n"/>
      <c r="G1064" s="42" t="n"/>
      <c r="H1064" s="44" t="n"/>
      <c r="I1064" s="44" t="n"/>
      <c r="J1064" s="31" t="n"/>
      <c r="K1064" s="32" t="n"/>
      <c r="L1064" s="32" t="n"/>
      <c r="M1064" s="22" t="n"/>
      <c r="N1064" s="34" t="n"/>
      <c r="O1064" s="33" t="n"/>
      <c r="P1064" s="34" t="n"/>
      <c r="Q1064" s="33" t="n"/>
    </row>
    <row r="1065">
      <c r="C1065" s="33" t="n"/>
      <c r="D1065" s="33" t="n"/>
      <c r="E1065" s="66" t="n"/>
      <c r="F1065" s="33" t="n"/>
      <c r="G1065" s="42" t="n"/>
      <c r="H1065" s="44" t="n"/>
      <c r="I1065" s="44" t="n"/>
      <c r="J1065" s="31" t="n"/>
      <c r="K1065" s="32" t="n"/>
      <c r="L1065" s="32" t="n"/>
      <c r="M1065" s="22" t="n"/>
      <c r="N1065" s="34" t="n"/>
      <c r="O1065" s="33" t="n"/>
      <c r="P1065" s="34" t="n"/>
      <c r="Q1065" s="33" t="n"/>
    </row>
    <row r="1066">
      <c r="C1066" s="33" t="n"/>
      <c r="D1066" s="33" t="n"/>
      <c r="E1066" s="66" t="n"/>
      <c r="F1066" s="33" t="n"/>
      <c r="G1066" s="42" t="n"/>
      <c r="H1066" s="44" t="n"/>
      <c r="I1066" s="44" t="n"/>
      <c r="J1066" s="31" t="n"/>
      <c r="K1066" s="32" t="n"/>
      <c r="L1066" s="32" t="n"/>
      <c r="M1066" s="22" t="n"/>
      <c r="N1066" s="34" t="n"/>
      <c r="O1066" s="33" t="n"/>
      <c r="P1066" s="34" t="n"/>
      <c r="Q1066" s="33" t="n"/>
    </row>
    <row r="1067">
      <c r="C1067" s="33" t="n"/>
      <c r="D1067" s="33" t="n"/>
      <c r="E1067" s="66" t="n"/>
      <c r="F1067" s="33" t="n"/>
      <c r="G1067" s="42" t="n"/>
      <c r="H1067" s="44" t="n"/>
      <c r="I1067" s="44" t="n"/>
      <c r="J1067" s="31" t="n"/>
      <c r="K1067" s="32" t="n"/>
      <c r="L1067" s="32" t="n"/>
      <c r="M1067" s="22" t="n"/>
      <c r="N1067" s="34" t="n"/>
      <c r="O1067" s="33" t="n"/>
      <c r="P1067" s="34" t="n"/>
      <c r="Q1067" s="33" t="n"/>
    </row>
    <row r="1068">
      <c r="C1068" s="33" t="n"/>
      <c r="D1068" s="33" t="n"/>
      <c r="E1068" s="66" t="n"/>
      <c r="F1068" s="33" t="n"/>
      <c r="G1068" s="42" t="n"/>
      <c r="H1068" s="44" t="n"/>
      <c r="I1068" s="44" t="n"/>
      <c r="J1068" s="31" t="n"/>
      <c r="K1068" s="32" t="n"/>
      <c r="L1068" s="32" t="n"/>
      <c r="M1068" s="22" t="n"/>
      <c r="N1068" s="34" t="n"/>
      <c r="O1068" s="33" t="n"/>
      <c r="P1068" s="34" t="n"/>
      <c r="Q1068" s="33" t="n"/>
    </row>
    <row r="1069">
      <c r="C1069" s="33" t="n"/>
      <c r="D1069" s="33" t="n"/>
      <c r="E1069" s="66" t="n"/>
      <c r="F1069" s="33" t="n"/>
      <c r="G1069" s="42" t="n"/>
      <c r="H1069" s="44" t="n"/>
      <c r="I1069" s="44" t="n"/>
      <c r="J1069" s="31" t="n"/>
      <c r="K1069" s="32" t="n"/>
      <c r="L1069" s="32" t="n"/>
      <c r="M1069" s="22" t="n"/>
      <c r="N1069" s="34" t="n"/>
      <c r="O1069" s="33" t="n"/>
      <c r="P1069" s="34" t="n"/>
      <c r="Q1069" s="33" t="n"/>
    </row>
    <row r="1070">
      <c r="C1070" s="33" t="n"/>
      <c r="D1070" s="33" t="n"/>
      <c r="E1070" s="66" t="n"/>
      <c r="F1070" s="33" t="n"/>
      <c r="G1070" s="42" t="n"/>
      <c r="H1070" s="44" t="n"/>
      <c r="I1070" s="44" t="n"/>
      <c r="J1070" s="31" t="n"/>
      <c r="K1070" s="32" t="n"/>
      <c r="L1070" s="32" t="n"/>
      <c r="M1070" s="22" t="n"/>
      <c r="N1070" s="34" t="n"/>
      <c r="O1070" s="33" t="n"/>
      <c r="P1070" s="34" t="n"/>
      <c r="Q1070" s="33" t="n"/>
    </row>
    <row r="1071">
      <c r="C1071" s="33" t="n"/>
      <c r="D1071" s="33" t="n"/>
      <c r="E1071" s="33" t="n"/>
      <c r="F1071" s="33" t="n"/>
      <c r="G1071" s="42" t="n"/>
      <c r="H1071" s="44" t="n"/>
      <c r="I1071" s="44" t="n"/>
      <c r="J1071" s="31" t="n"/>
      <c r="K1071" s="32" t="n"/>
      <c r="L1071" s="32" t="n"/>
      <c r="M1071" s="22" t="n"/>
      <c r="N1071" s="34" t="n"/>
      <c r="O1071" s="33" t="n"/>
      <c r="P1071" s="34" t="n"/>
      <c r="Q1071" s="33" t="n"/>
    </row>
    <row r="1072">
      <c r="C1072" s="33" t="n"/>
      <c r="D1072" s="33" t="n"/>
      <c r="E1072" s="33" t="n"/>
      <c r="F1072" s="33" t="n"/>
      <c r="G1072" s="42" t="n"/>
      <c r="H1072" s="44" t="n"/>
      <c r="I1072" s="44" t="n"/>
      <c r="J1072" s="31" t="n"/>
      <c r="K1072" s="32" t="n"/>
      <c r="L1072" s="32" t="n"/>
      <c r="M1072" s="22" t="n"/>
      <c r="N1072" s="34" t="n"/>
      <c r="O1072" s="33" t="n"/>
      <c r="P1072" s="34" t="n"/>
      <c r="Q1072" s="33" t="n"/>
    </row>
    <row r="1073">
      <c r="C1073" s="33" t="n"/>
      <c r="D1073" s="33" t="n"/>
      <c r="E1073" s="33" t="n"/>
      <c r="F1073" s="33" t="n"/>
      <c r="G1073" s="42" t="n"/>
      <c r="H1073" s="44" t="n"/>
      <c r="I1073" s="44" t="n"/>
      <c r="J1073" s="31" t="n"/>
      <c r="K1073" s="32" t="n"/>
      <c r="L1073" s="32" t="n"/>
      <c r="M1073" s="22" t="n"/>
      <c r="N1073" s="34" t="n"/>
      <c r="O1073" s="33" t="n"/>
      <c r="P1073" s="34" t="n"/>
      <c r="Q1073" s="33" t="n"/>
    </row>
    <row r="1074">
      <c r="C1074" s="33" t="n"/>
      <c r="D1074" s="33" t="n"/>
      <c r="E1074" s="66" t="n"/>
      <c r="F1074" s="33" t="n"/>
      <c r="G1074" s="42" t="n"/>
      <c r="H1074" s="44" t="n"/>
      <c r="I1074" s="44" t="n"/>
      <c r="J1074" s="31" t="n"/>
      <c r="K1074" s="32" t="n"/>
      <c r="L1074" s="32" t="n"/>
      <c r="M1074" s="22" t="n"/>
      <c r="N1074" s="34" t="n"/>
      <c r="O1074" s="33" t="n"/>
      <c r="P1074" s="34" t="n"/>
      <c r="Q1074" s="33" t="n"/>
    </row>
    <row r="1075">
      <c r="C1075" s="33" t="n"/>
      <c r="D1075" s="33" t="n"/>
      <c r="E1075" s="66" t="n"/>
      <c r="F1075" s="33" t="n"/>
      <c r="G1075" s="42" t="n"/>
      <c r="H1075" s="44" t="n"/>
      <c r="I1075" s="44" t="n"/>
      <c r="J1075" s="31" t="n"/>
      <c r="K1075" s="32" t="n"/>
      <c r="L1075" s="32" t="n"/>
      <c r="M1075" s="22" t="n"/>
      <c r="N1075" s="34" t="n"/>
      <c r="O1075" s="33" t="n"/>
      <c r="P1075" s="34" t="n"/>
      <c r="Q1075" s="33" t="n"/>
    </row>
    <row r="1076">
      <c r="C1076" s="33" t="n"/>
      <c r="D1076" s="33" t="n"/>
      <c r="E1076" s="66" t="n"/>
      <c r="F1076" s="33" t="n"/>
      <c r="G1076" s="42" t="n"/>
      <c r="H1076" s="44" t="n"/>
      <c r="I1076" s="44" t="n"/>
      <c r="J1076" s="31" t="n"/>
      <c r="K1076" s="32" t="n"/>
      <c r="L1076" s="32" t="n"/>
      <c r="M1076" s="22" t="n"/>
      <c r="N1076" s="34" t="n"/>
      <c r="O1076" s="33" t="n"/>
      <c r="P1076" s="34" t="n"/>
      <c r="Q1076" s="33" t="n"/>
    </row>
    <row r="1077">
      <c r="C1077" s="33" t="n"/>
      <c r="D1077" s="33" t="n"/>
      <c r="E1077" s="66" t="n"/>
      <c r="F1077" s="33" t="n"/>
      <c r="G1077" s="42" t="n"/>
      <c r="H1077" s="44" t="n"/>
      <c r="I1077" s="44" t="n"/>
      <c r="J1077" s="31" t="n"/>
      <c r="K1077" s="32" t="n"/>
      <c r="L1077" s="32" t="n"/>
      <c r="M1077" s="22" t="n"/>
      <c r="N1077" s="34" t="n"/>
      <c r="O1077" s="33" t="n"/>
      <c r="P1077" s="34" t="n"/>
      <c r="Q1077" s="33" t="n"/>
    </row>
    <row r="1078">
      <c r="C1078" s="33" t="n"/>
      <c r="D1078" s="33" t="n"/>
      <c r="E1078" s="66" t="n"/>
      <c r="F1078" s="33" t="n"/>
      <c r="G1078" s="42" t="n"/>
      <c r="H1078" s="44" t="n"/>
      <c r="I1078" s="44" t="n"/>
      <c r="J1078" s="31" t="n"/>
      <c r="K1078" s="32" t="n"/>
      <c r="L1078" s="32" t="n"/>
      <c r="M1078" s="22" t="n"/>
      <c r="N1078" s="34" t="n"/>
      <c r="O1078" s="33" t="n"/>
      <c r="P1078" s="34" t="n"/>
      <c r="Q1078" s="33" t="n"/>
    </row>
    <row r="1079">
      <c r="C1079" s="33" t="n"/>
      <c r="D1079" s="33" t="n"/>
      <c r="E1079" s="66" t="n"/>
      <c r="F1079" s="33" t="n"/>
      <c r="G1079" s="42" t="n"/>
      <c r="H1079" s="44" t="n"/>
      <c r="I1079" s="44" t="n"/>
      <c r="J1079" s="31" t="n"/>
      <c r="K1079" s="32" t="n"/>
      <c r="L1079" s="32" t="n"/>
      <c r="M1079" s="22" t="n"/>
      <c r="N1079" s="34" t="n"/>
      <c r="O1079" s="33" t="n"/>
      <c r="P1079" s="34" t="n"/>
      <c r="Q1079" s="33" t="n"/>
    </row>
    <row r="1080">
      <c r="C1080" s="33" t="n"/>
      <c r="D1080" s="33" t="n"/>
      <c r="E1080" s="66" t="n"/>
      <c r="F1080" s="33" t="n"/>
      <c r="G1080" s="42" t="n"/>
      <c r="H1080" s="44" t="n"/>
      <c r="I1080" s="44" t="n"/>
      <c r="J1080" s="31" t="n"/>
      <c r="K1080" s="32" t="n"/>
      <c r="L1080" s="32" t="n"/>
      <c r="M1080" s="22" t="n"/>
      <c r="N1080" s="34" t="n"/>
      <c r="O1080" s="33" t="n"/>
      <c r="P1080" s="34" t="n"/>
      <c r="Q1080" s="33" t="n"/>
    </row>
    <row r="1081">
      <c r="C1081" s="33" t="n"/>
      <c r="D1081" s="33" t="n"/>
      <c r="E1081" s="66" t="n"/>
      <c r="F1081" s="33" t="n"/>
      <c r="G1081" s="42" t="n"/>
      <c r="H1081" s="44" t="n"/>
      <c r="I1081" s="44" t="n"/>
      <c r="J1081" s="31" t="n"/>
      <c r="K1081" s="32" t="n"/>
      <c r="L1081" s="32" t="n"/>
      <c r="M1081" s="22" t="n"/>
      <c r="N1081" s="34" t="n"/>
      <c r="O1081" s="33" t="n"/>
      <c r="P1081" s="34" t="n"/>
      <c r="Q1081" s="33" t="n"/>
    </row>
    <row r="1082">
      <c r="C1082" s="33" t="n"/>
      <c r="D1082" s="33" t="n"/>
      <c r="E1082" s="66" t="n"/>
      <c r="F1082" s="33" t="n"/>
      <c r="G1082" s="42" t="n"/>
      <c r="H1082" s="44" t="n"/>
      <c r="I1082" s="44" t="n"/>
      <c r="J1082" s="31" t="n"/>
      <c r="K1082" s="32" t="n"/>
      <c r="L1082" s="32" t="n"/>
      <c r="M1082" s="22" t="n"/>
      <c r="N1082" s="34" t="n"/>
      <c r="O1082" s="33" t="n"/>
      <c r="P1082" s="34" t="n"/>
      <c r="Q1082" s="33" t="n"/>
    </row>
    <row r="1083">
      <c r="C1083" s="33" t="n"/>
      <c r="D1083" s="33" t="n"/>
      <c r="E1083" s="66" t="n"/>
      <c r="F1083" s="33" t="n"/>
      <c r="G1083" s="42" t="n"/>
      <c r="H1083" s="44" t="n"/>
      <c r="I1083" s="44" t="n"/>
      <c r="J1083" s="31" t="n"/>
      <c r="K1083" s="32" t="n"/>
      <c r="L1083" s="32" t="n"/>
      <c r="M1083" s="22" t="n"/>
      <c r="N1083" s="34" t="n"/>
      <c r="O1083" s="33" t="n"/>
      <c r="P1083" s="34" t="n"/>
      <c r="Q1083" s="33" t="n"/>
    </row>
    <row r="1084">
      <c r="C1084" s="33" t="n"/>
      <c r="D1084" s="33" t="n"/>
      <c r="E1084" s="66" t="n"/>
      <c r="F1084" s="33" t="n"/>
      <c r="G1084" s="42" t="n"/>
      <c r="H1084" s="44" t="n"/>
      <c r="I1084" s="44" t="n"/>
      <c r="J1084" s="31" t="n"/>
      <c r="K1084" s="32" t="n"/>
      <c r="L1084" s="32" t="n"/>
      <c r="M1084" s="22" t="n"/>
      <c r="N1084" s="34" t="n"/>
      <c r="O1084" s="33" t="n"/>
      <c r="P1084" s="34" t="n"/>
      <c r="Q1084" s="33" t="n"/>
    </row>
    <row r="1085">
      <c r="C1085" s="33" t="n"/>
      <c r="D1085" s="33" t="n"/>
      <c r="E1085" s="66" t="n"/>
      <c r="F1085" s="33" t="n"/>
      <c r="G1085" s="42" t="n"/>
      <c r="H1085" s="44" t="n"/>
      <c r="I1085" s="44" t="n"/>
      <c r="J1085" s="31" t="n"/>
      <c r="K1085" s="32" t="n"/>
      <c r="L1085" s="32" t="n"/>
      <c r="M1085" s="22" t="n"/>
      <c r="N1085" s="34" t="n"/>
      <c r="O1085" s="33" t="n"/>
      <c r="P1085" s="34" t="n"/>
      <c r="Q1085" s="33" t="n"/>
    </row>
    <row r="1086">
      <c r="C1086" s="33" t="n"/>
      <c r="D1086" s="33" t="n"/>
      <c r="E1086" s="66" t="n"/>
      <c r="F1086" s="33" t="n"/>
      <c r="G1086" s="42" t="n"/>
      <c r="H1086" s="44" t="n"/>
      <c r="I1086" s="44" t="n"/>
      <c r="J1086" s="31" t="n"/>
      <c r="K1086" s="32" t="n"/>
      <c r="L1086" s="32" t="n"/>
      <c r="M1086" s="22" t="n"/>
      <c r="N1086" s="34" t="n"/>
      <c r="O1086" s="33" t="n"/>
      <c r="P1086" s="34" t="n"/>
      <c r="Q1086" s="33" t="n"/>
    </row>
    <row r="1087">
      <c r="C1087" s="33" t="n"/>
      <c r="D1087" s="33" t="n"/>
      <c r="E1087" s="66" t="n"/>
      <c r="F1087" s="33" t="n"/>
      <c r="G1087" s="42" t="n"/>
      <c r="H1087" s="44" t="n"/>
      <c r="I1087" s="44" t="n"/>
      <c r="J1087" s="31" t="n"/>
      <c r="K1087" s="32" t="n"/>
      <c r="L1087" s="32" t="n"/>
      <c r="M1087" s="22" t="n"/>
      <c r="N1087" s="34" t="n"/>
      <c r="O1087" s="33" t="n"/>
      <c r="P1087" s="34" t="n"/>
      <c r="Q1087" s="33" t="n"/>
    </row>
    <row r="1088">
      <c r="C1088" s="33" t="n"/>
      <c r="D1088" s="33" t="n"/>
      <c r="E1088" s="66" t="n"/>
      <c r="F1088" s="33" t="n"/>
      <c r="G1088" s="42" t="n"/>
      <c r="H1088" s="44" t="n"/>
      <c r="I1088" s="44" t="n"/>
      <c r="J1088" s="31" t="n"/>
      <c r="K1088" s="32" t="n"/>
      <c r="L1088" s="32" t="n"/>
      <c r="M1088" s="22" t="n"/>
      <c r="N1088" s="34" t="n"/>
      <c r="O1088" s="33" t="n"/>
      <c r="P1088" s="34" t="n"/>
      <c r="Q1088" s="33" t="n"/>
    </row>
    <row r="1089">
      <c r="C1089" s="33" t="n"/>
      <c r="D1089" s="33" t="n"/>
      <c r="E1089" s="66" t="n"/>
      <c r="F1089" s="33" t="n"/>
      <c r="G1089" s="42" t="n"/>
      <c r="H1089" s="44" t="n"/>
      <c r="I1089" s="44" t="n"/>
      <c r="J1089" s="31" t="n"/>
      <c r="K1089" s="32" t="n"/>
      <c r="L1089" s="32" t="n"/>
      <c r="M1089" s="22" t="n"/>
      <c r="N1089" s="34" t="n"/>
      <c r="O1089" s="33" t="n"/>
      <c r="P1089" s="34" t="n"/>
      <c r="Q1089" s="33" t="n"/>
    </row>
    <row r="1090">
      <c r="C1090" s="33" t="n"/>
      <c r="D1090" s="33" t="n"/>
      <c r="E1090" s="33" t="n"/>
      <c r="F1090" s="33" t="n"/>
      <c r="G1090" s="42" t="n"/>
      <c r="H1090" s="44" t="n"/>
      <c r="I1090" s="44" t="n"/>
      <c r="J1090" s="31" t="n"/>
      <c r="K1090" s="32" t="n"/>
      <c r="L1090" s="32" t="n"/>
      <c r="M1090" s="22" t="n"/>
      <c r="N1090" s="34" t="n"/>
      <c r="O1090" s="33" t="n"/>
      <c r="P1090" s="34" t="n"/>
      <c r="Q1090" s="33" t="n"/>
    </row>
    <row r="1091">
      <c r="C1091" s="33" t="n"/>
      <c r="D1091" s="33" t="n"/>
      <c r="E1091" s="66" t="n"/>
      <c r="F1091" s="33" t="n"/>
      <c r="G1091" s="42" t="n"/>
      <c r="H1091" s="44" t="n"/>
      <c r="I1091" s="44" t="n"/>
      <c r="J1091" s="31" t="n"/>
      <c r="K1091" s="32" t="n"/>
      <c r="L1091" s="32" t="n"/>
      <c r="M1091" s="22" t="n"/>
      <c r="N1091" s="34" t="n"/>
      <c r="O1091" s="33" t="n"/>
      <c r="P1091" s="34" t="n"/>
      <c r="Q1091" s="33" t="n"/>
    </row>
    <row r="1092">
      <c r="C1092" s="33" t="n"/>
      <c r="D1092" s="33" t="n"/>
      <c r="E1092" s="66" t="n"/>
      <c r="F1092" s="33" t="n"/>
      <c r="G1092" s="42" t="n"/>
      <c r="H1092" s="44" t="n"/>
      <c r="I1092" s="44" t="n"/>
      <c r="J1092" s="31" t="n"/>
      <c r="K1092" s="32" t="n"/>
      <c r="L1092" s="32" t="n"/>
      <c r="M1092" s="22" t="n"/>
      <c r="N1092" s="34" t="n"/>
      <c r="O1092" s="33" t="n"/>
      <c r="P1092" s="34" t="n"/>
      <c r="Q1092" s="33" t="n"/>
    </row>
    <row r="1093">
      <c r="C1093" s="33" t="n"/>
      <c r="D1093" s="33" t="n"/>
      <c r="E1093" s="66" t="n"/>
      <c r="F1093" s="33" t="n"/>
      <c r="G1093" s="42" t="n"/>
      <c r="H1093" s="44" t="n"/>
      <c r="I1093" s="44" t="n"/>
      <c r="J1093" s="31" t="n"/>
      <c r="K1093" s="32" t="n"/>
      <c r="L1093" s="32" t="n"/>
      <c r="M1093" s="22" t="n"/>
      <c r="N1093" s="34" t="n"/>
      <c r="O1093" s="33" t="n"/>
      <c r="P1093" s="34" t="n"/>
      <c r="Q1093" s="33" t="n"/>
    </row>
    <row r="1094">
      <c r="C1094" s="33" t="n"/>
      <c r="D1094" s="33" t="n"/>
      <c r="E1094" s="66" t="n"/>
      <c r="F1094" s="33" t="n"/>
      <c r="G1094" s="42" t="n"/>
      <c r="H1094" s="44" t="n"/>
      <c r="I1094" s="44" t="n"/>
      <c r="J1094" s="31" t="n"/>
      <c r="K1094" s="32" t="n"/>
      <c r="L1094" s="32" t="n"/>
      <c r="M1094" s="22" t="n"/>
      <c r="N1094" s="34" t="n"/>
      <c r="O1094" s="33" t="n"/>
      <c r="P1094" s="34" t="n"/>
      <c r="Q1094" s="33" t="n"/>
    </row>
    <row r="1095">
      <c r="C1095" s="33" t="n"/>
      <c r="D1095" s="33" t="n"/>
      <c r="E1095" s="66" t="n"/>
      <c r="F1095" s="33" t="n"/>
      <c r="G1095" s="42" t="n"/>
      <c r="H1095" s="44" t="n"/>
      <c r="I1095" s="44" t="n"/>
      <c r="J1095" s="31" t="n"/>
      <c r="K1095" s="32" t="n"/>
      <c r="L1095" s="32" t="n"/>
      <c r="M1095" s="22" t="n"/>
      <c r="N1095" s="34" t="n"/>
      <c r="O1095" s="33" t="n"/>
      <c r="P1095" s="34" t="n"/>
      <c r="Q1095" s="33" t="n"/>
    </row>
    <row r="1096">
      <c r="C1096" s="33" t="n"/>
      <c r="D1096" s="33" t="n"/>
      <c r="E1096" s="33" t="n"/>
      <c r="F1096" s="33" t="n"/>
      <c r="G1096" s="42" t="n"/>
      <c r="H1096" s="44" t="n"/>
      <c r="I1096" s="44" t="n"/>
      <c r="J1096" s="31" t="n"/>
      <c r="K1096" s="32" t="n"/>
      <c r="L1096" s="32" t="n"/>
      <c r="M1096" s="22" t="n"/>
      <c r="N1096" s="34" t="n"/>
      <c r="O1096" s="33" t="n"/>
      <c r="P1096" s="34" t="n"/>
      <c r="Q1096" s="33" t="n"/>
    </row>
    <row r="1097">
      <c r="C1097" s="33" t="n"/>
      <c r="D1097" s="33" t="n"/>
      <c r="E1097" s="33" t="n"/>
      <c r="F1097" s="33" t="n"/>
      <c r="G1097" s="42" t="n"/>
      <c r="H1097" s="44" t="n"/>
      <c r="I1097" s="44" t="n"/>
      <c r="J1097" s="31" t="n"/>
      <c r="K1097" s="32" t="n"/>
      <c r="L1097" s="32" t="n"/>
      <c r="M1097" s="22" t="n"/>
      <c r="N1097" s="34" t="n"/>
      <c r="O1097" s="33" t="n"/>
      <c r="P1097" s="34" t="n"/>
      <c r="Q1097" s="33" t="n"/>
    </row>
    <row r="1098">
      <c r="C1098" s="33" t="n"/>
      <c r="D1098" s="33" t="n"/>
      <c r="E1098" s="66" t="n"/>
      <c r="F1098" s="33" t="n"/>
      <c r="G1098" s="42" t="n"/>
      <c r="H1098" s="44" t="n"/>
      <c r="I1098" s="44" t="n"/>
      <c r="J1098" s="31" t="n"/>
      <c r="K1098" s="32" t="n"/>
      <c r="L1098" s="32" t="n"/>
      <c r="M1098" s="22" t="n"/>
      <c r="N1098" s="34" t="n"/>
      <c r="O1098" s="33" t="n"/>
      <c r="P1098" s="34" t="n"/>
      <c r="Q1098" s="33" t="n"/>
    </row>
    <row r="1099">
      <c r="C1099" s="33" t="n"/>
      <c r="D1099" s="33" t="n"/>
      <c r="E1099" s="66" t="n"/>
      <c r="F1099" s="33" t="n"/>
      <c r="G1099" s="42" t="n"/>
      <c r="H1099" s="44" t="n"/>
      <c r="I1099" s="44" t="n"/>
      <c r="J1099" s="31" t="n"/>
      <c r="K1099" s="32" t="n"/>
      <c r="L1099" s="32" t="n"/>
      <c r="M1099" s="22" t="n"/>
      <c r="N1099" s="34" t="n"/>
      <c r="O1099" s="33" t="n"/>
      <c r="P1099" s="34" t="n"/>
      <c r="Q1099" s="33" t="n"/>
    </row>
    <row r="1100">
      <c r="C1100" s="33" t="n"/>
      <c r="D1100" s="33" t="n"/>
      <c r="E1100" s="66" t="n"/>
      <c r="F1100" s="33" t="n"/>
      <c r="G1100" s="42" t="n"/>
      <c r="H1100" s="44" t="n"/>
      <c r="I1100" s="44" t="n"/>
      <c r="J1100" s="31" t="n"/>
      <c r="K1100" s="32" t="n"/>
      <c r="L1100" s="32" t="n"/>
      <c r="M1100" s="22" t="n"/>
      <c r="N1100" s="34" t="n"/>
      <c r="O1100" s="33" t="n"/>
      <c r="P1100" s="34" t="n"/>
      <c r="Q1100" s="33" t="n"/>
    </row>
    <row r="1101">
      <c r="C1101" s="33" t="n"/>
      <c r="D1101" s="33" t="n"/>
      <c r="E1101" s="66" t="n"/>
      <c r="F1101" s="33" t="n"/>
      <c r="G1101" s="42" t="n"/>
      <c r="H1101" s="44" t="n"/>
      <c r="I1101" s="44" t="n"/>
      <c r="J1101" s="31" t="n"/>
      <c r="K1101" s="32" t="n"/>
      <c r="L1101" s="32" t="n"/>
      <c r="M1101" s="22" t="n"/>
      <c r="N1101" s="34" t="n"/>
      <c r="O1101" s="33" t="n"/>
      <c r="P1101" s="34" t="n"/>
      <c r="Q1101" s="33" t="n"/>
    </row>
    <row r="1102">
      <c r="C1102" s="33" t="n"/>
      <c r="D1102" s="33" t="n"/>
      <c r="E1102" s="33" t="n"/>
      <c r="F1102" s="33" t="n"/>
      <c r="G1102" s="42" t="n"/>
      <c r="H1102" s="44" t="n"/>
      <c r="I1102" s="44" t="n"/>
      <c r="J1102" s="31" t="n"/>
      <c r="K1102" s="32" t="n"/>
      <c r="L1102" s="32" t="n"/>
      <c r="M1102" s="22" t="n"/>
      <c r="N1102" s="34" t="n"/>
      <c r="O1102" s="33" t="n"/>
      <c r="P1102" s="34" t="n"/>
      <c r="Q1102" s="33" t="n"/>
    </row>
    <row r="1103">
      <c r="C1103" s="33" t="n"/>
      <c r="D1103" s="33" t="n"/>
      <c r="E1103" s="66" t="n"/>
      <c r="F1103" s="33" t="n"/>
      <c r="G1103" s="42" t="n"/>
      <c r="H1103" s="44" t="n"/>
      <c r="I1103" s="44" t="n"/>
      <c r="J1103" s="31" t="n"/>
      <c r="K1103" s="32" t="n"/>
      <c r="L1103" s="32" t="n"/>
      <c r="M1103" s="22" t="n"/>
      <c r="N1103" s="34" t="n"/>
      <c r="O1103" s="33" t="n"/>
      <c r="P1103" s="34" t="n"/>
      <c r="Q1103" s="33" t="n"/>
    </row>
    <row r="1104">
      <c r="C1104" s="33" t="n"/>
      <c r="D1104" s="33" t="n"/>
      <c r="E1104" s="66" t="n"/>
      <c r="F1104" s="33" t="n"/>
      <c r="G1104" s="42" t="n"/>
      <c r="H1104" s="44" t="n"/>
      <c r="I1104" s="44" t="n"/>
      <c r="J1104" s="31" t="n"/>
      <c r="K1104" s="32" t="n"/>
      <c r="L1104" s="32" t="n"/>
      <c r="M1104" s="22" t="n"/>
      <c r="N1104" s="34" t="n"/>
      <c r="O1104" s="33" t="n"/>
      <c r="P1104" s="34" t="n"/>
      <c r="Q1104" s="33" t="n"/>
    </row>
    <row r="1105">
      <c r="C1105" s="33" t="n"/>
      <c r="D1105" s="33" t="n"/>
      <c r="E1105" s="66" t="n"/>
      <c r="F1105" s="33" t="n"/>
      <c r="G1105" s="42" t="n"/>
      <c r="H1105" s="44" t="n"/>
      <c r="I1105" s="44" t="n"/>
      <c r="J1105" s="31" t="n"/>
      <c r="K1105" s="32" t="n"/>
      <c r="L1105" s="32" t="n"/>
      <c r="M1105" s="22" t="n"/>
      <c r="N1105" s="34" t="n"/>
      <c r="O1105" s="33" t="n"/>
      <c r="P1105" s="34" t="n"/>
      <c r="Q1105" s="33" t="n"/>
    </row>
    <row r="1106">
      <c r="C1106" s="33" t="n"/>
      <c r="D1106" s="33" t="n"/>
      <c r="E1106" s="66" t="n"/>
      <c r="F1106" s="33" t="n"/>
      <c r="G1106" s="42" t="n"/>
      <c r="H1106" s="44" t="n"/>
      <c r="I1106" s="44" t="n"/>
      <c r="J1106" s="31" t="n"/>
      <c r="K1106" s="32" t="n"/>
      <c r="L1106" s="32" t="n"/>
      <c r="M1106" s="22" t="n"/>
      <c r="N1106" s="34" t="n"/>
      <c r="O1106" s="33" t="n"/>
      <c r="P1106" s="34" t="n"/>
      <c r="Q1106" s="33" t="n"/>
    </row>
    <row r="1107">
      <c r="C1107" s="33" t="n"/>
      <c r="D1107" s="33" t="n"/>
      <c r="E1107" s="66" t="n"/>
      <c r="F1107" s="36" t="n"/>
      <c r="G1107" s="42" t="n"/>
      <c r="H1107" s="44" t="n"/>
      <c r="I1107" s="44" t="n"/>
      <c r="J1107" s="31" t="n"/>
      <c r="K1107" s="32" t="n"/>
      <c r="L1107" s="32" t="n"/>
      <c r="M1107" s="22" t="n"/>
      <c r="N1107" s="34" t="n"/>
      <c r="O1107" s="33" t="n"/>
      <c r="P1107" s="34" t="n"/>
      <c r="Q1107" s="33" t="n"/>
    </row>
    <row r="1108">
      <c r="C1108" s="33" t="n"/>
      <c r="D1108" s="33" t="n"/>
      <c r="E1108" s="66" t="n"/>
      <c r="F1108" s="36" t="n"/>
      <c r="G1108" s="42" t="n"/>
      <c r="H1108" s="44" t="n"/>
      <c r="I1108" s="44" t="n"/>
      <c r="J1108" s="31" t="n"/>
      <c r="K1108" s="32" t="n"/>
      <c r="L1108" s="32" t="n"/>
      <c r="M1108" s="22" t="n"/>
      <c r="N1108" s="34" t="n"/>
      <c r="O1108" s="33" t="n"/>
      <c r="P1108" s="34" t="n"/>
      <c r="Q1108" s="33" t="n"/>
    </row>
    <row r="1109">
      <c r="C1109" s="36" t="n"/>
      <c r="D1109" s="36" t="n"/>
      <c r="E1109" s="66" t="n"/>
      <c r="F1109" s="36" t="n"/>
      <c r="G1109" s="42" t="n"/>
      <c r="H1109" s="30" t="n"/>
      <c r="I1109" s="30" t="n"/>
      <c r="J1109" s="31" t="n"/>
      <c r="K1109" s="43" t="n"/>
      <c r="L1109" s="32" t="n"/>
      <c r="N1109" s="34" t="n"/>
      <c r="O1109" s="33" t="n"/>
      <c r="P1109" s="34" t="n"/>
      <c r="Q1109" s="36" t="n"/>
    </row>
    <row r="1110">
      <c r="C1110" s="36" t="n"/>
      <c r="D1110" s="36" t="n"/>
      <c r="E1110" s="66" t="n"/>
      <c r="F1110" s="36" t="n"/>
      <c r="G1110" s="42" t="n"/>
      <c r="H1110" s="30" t="n"/>
      <c r="I1110" s="30" t="n"/>
      <c r="J1110" s="31" t="n"/>
      <c r="K1110" s="43" t="n"/>
      <c r="L1110" s="32" t="n"/>
      <c r="N1110" s="34" t="n"/>
      <c r="O1110" s="33" t="n"/>
      <c r="P1110" s="34" t="n"/>
      <c r="Q1110" s="36" t="n"/>
    </row>
    <row r="1111">
      <c r="C1111" s="36" t="n"/>
      <c r="D1111" s="36" t="n"/>
      <c r="E1111" s="66" t="n"/>
      <c r="F1111" s="36" t="n"/>
      <c r="G1111" s="42" t="n"/>
      <c r="H1111" s="30" t="n"/>
      <c r="I1111" s="30" t="n"/>
      <c r="J1111" s="31" t="n"/>
      <c r="K1111" s="43" t="n"/>
      <c r="L1111" s="32" t="n"/>
      <c r="N1111" s="34" t="n"/>
      <c r="O1111" s="33" t="n"/>
      <c r="P1111" s="34" t="n"/>
      <c r="Q1111" s="36" t="n"/>
    </row>
    <row r="1112">
      <c r="C1112" s="36" t="n"/>
      <c r="D1112" s="36" t="n"/>
      <c r="E1112" s="66" t="n"/>
      <c r="F1112" s="36" t="n"/>
      <c r="G1112" s="42" t="n"/>
      <c r="H1112" s="30" t="n"/>
      <c r="I1112" s="30" t="n"/>
      <c r="J1112" s="31" t="n"/>
      <c r="K1112" s="43" t="n"/>
      <c r="L1112" s="32" t="n"/>
      <c r="N1112" s="34" t="n"/>
      <c r="O1112" s="33" t="n"/>
      <c r="P1112" s="34" t="n"/>
      <c r="Q1112" s="36" t="n"/>
    </row>
    <row r="1113">
      <c r="C1113" s="36" t="n"/>
      <c r="D1113" s="36" t="n"/>
      <c r="E1113" s="36" t="n"/>
      <c r="F1113" s="36" t="n"/>
      <c r="G1113" s="42" t="n"/>
      <c r="H1113" s="30" t="n"/>
      <c r="I1113" s="30" t="n"/>
      <c r="J1113" s="31" t="n"/>
      <c r="K1113" s="43" t="n"/>
      <c r="L1113" s="32" t="n"/>
      <c r="N1113" s="34" t="n"/>
      <c r="O1113" s="33" t="n"/>
      <c r="P1113" s="34" t="n"/>
      <c r="Q1113" s="36" t="n"/>
    </row>
    <row r="1114">
      <c r="C1114" s="36" t="n"/>
      <c r="D1114" s="36" t="n"/>
      <c r="E1114" s="66" t="n"/>
      <c r="F1114" s="36" t="n"/>
      <c r="G1114" s="42" t="n"/>
      <c r="H1114" s="30" t="n"/>
      <c r="I1114" s="30" t="n"/>
      <c r="J1114" s="31" t="n"/>
      <c r="K1114" s="43" t="n"/>
      <c r="L1114" s="32" t="n"/>
      <c r="N1114" s="34" t="n"/>
      <c r="O1114" s="33" t="n"/>
      <c r="P1114" s="34" t="n"/>
      <c r="Q1114" s="36" t="n"/>
    </row>
    <row r="1115">
      <c r="C1115" s="36" t="n"/>
      <c r="D1115" s="36" t="n"/>
      <c r="E1115" s="36" t="n"/>
      <c r="F1115" s="36" t="n"/>
      <c r="G1115" s="42" t="n"/>
      <c r="H1115" s="30" t="n"/>
      <c r="I1115" s="30" t="n"/>
      <c r="J1115" s="31" t="n"/>
      <c r="K1115" s="43" t="n"/>
      <c r="L1115" s="32" t="n"/>
      <c r="N1115" s="34" t="n"/>
      <c r="O1115" s="33" t="n"/>
      <c r="P1115" s="34" t="n"/>
      <c r="Q1115" s="36" t="n"/>
    </row>
    <row r="1116">
      <c r="C1116" s="36" t="n"/>
      <c r="D1116" s="36" t="n"/>
      <c r="E1116" s="66" t="n"/>
      <c r="F1116" s="36" t="n"/>
      <c r="G1116" s="42" t="n"/>
      <c r="H1116" s="30" t="n"/>
      <c r="I1116" s="30" t="n"/>
      <c r="J1116" s="31" t="n"/>
      <c r="K1116" s="43" t="n"/>
      <c r="L1116" s="32" t="n"/>
      <c r="N1116" s="34" t="n"/>
      <c r="O1116" s="33" t="n"/>
      <c r="P1116" s="34" t="n"/>
      <c r="Q1116" s="36" t="n"/>
    </row>
    <row r="1117">
      <c r="C1117" s="36" t="n"/>
      <c r="D1117" s="36" t="n"/>
      <c r="E1117" s="66" t="n"/>
      <c r="F1117" s="36" t="n"/>
      <c r="G1117" s="42" t="n"/>
      <c r="H1117" s="30" t="n"/>
      <c r="I1117" s="30" t="n"/>
      <c r="J1117" s="31" t="n"/>
      <c r="K1117" s="43" t="n"/>
      <c r="L1117" s="32" t="n"/>
      <c r="N1117" s="34" t="n"/>
      <c r="O1117" s="33" t="n"/>
      <c r="P1117" s="34" t="n"/>
      <c r="Q1117" s="36" t="n"/>
    </row>
    <row r="1118">
      <c r="C1118" s="36" t="n"/>
      <c r="D1118" s="36" t="n"/>
      <c r="E1118" s="66" t="n"/>
      <c r="F1118" s="36" t="n"/>
      <c r="G1118" s="42" t="n"/>
      <c r="H1118" s="30" t="n"/>
      <c r="I1118" s="30" t="n"/>
      <c r="J1118" s="31" t="n"/>
      <c r="K1118" s="43" t="n"/>
      <c r="L1118" s="32" t="n"/>
      <c r="N1118" s="34" t="n"/>
      <c r="O1118" s="33" t="n"/>
      <c r="P1118" s="34" t="n"/>
      <c r="Q1118" s="36" t="n"/>
    </row>
    <row r="1119">
      <c r="C1119" s="36" t="n"/>
      <c r="D1119" s="36" t="n"/>
      <c r="E1119" s="36" t="n"/>
      <c r="F1119" s="36" t="n"/>
      <c r="G1119" s="42" t="n"/>
      <c r="H1119" s="30" t="n"/>
      <c r="I1119" s="30" t="n"/>
      <c r="J1119" s="31" t="n"/>
      <c r="K1119" s="43" t="n"/>
      <c r="L1119" s="32" t="n"/>
      <c r="N1119" s="34" t="n"/>
      <c r="O1119" s="33" t="n"/>
      <c r="P1119" s="34" t="n"/>
      <c r="Q1119" s="36" t="n"/>
    </row>
    <row r="1120">
      <c r="C1120" s="36" t="n"/>
      <c r="D1120" s="36" t="n"/>
      <c r="E1120" s="66" t="n"/>
      <c r="F1120" s="36" t="n"/>
      <c r="G1120" s="42" t="n"/>
      <c r="H1120" s="30" t="n"/>
      <c r="I1120" s="30" t="n"/>
      <c r="J1120" s="31" t="n"/>
      <c r="K1120" s="43" t="n"/>
      <c r="L1120" s="32" t="n"/>
      <c r="N1120" s="34" t="n"/>
      <c r="O1120" s="33" t="n"/>
      <c r="P1120" s="34" t="n"/>
      <c r="Q1120" s="36" t="n"/>
    </row>
    <row r="1121">
      <c r="C1121" s="36" t="n"/>
      <c r="D1121" s="36" t="n"/>
      <c r="E1121" s="66" t="n"/>
      <c r="F1121" s="36" t="n"/>
      <c r="G1121" s="42" t="n"/>
      <c r="H1121" s="30" t="n"/>
      <c r="I1121" s="30" t="n"/>
      <c r="J1121" s="31" t="n"/>
      <c r="K1121" s="43" t="n"/>
      <c r="L1121" s="32" t="n"/>
      <c r="N1121" s="34" t="n"/>
      <c r="O1121" s="33" t="n"/>
      <c r="P1121" s="34" t="n"/>
      <c r="Q1121" s="36" t="n"/>
    </row>
    <row r="1122">
      <c r="C1122" s="36" t="n"/>
      <c r="D1122" s="36" t="n"/>
      <c r="E1122" s="66" t="n"/>
      <c r="F1122" s="36" t="n"/>
      <c r="G1122" s="42" t="n"/>
      <c r="H1122" s="30" t="n"/>
      <c r="I1122" s="30" t="n"/>
      <c r="J1122" s="31" t="n"/>
      <c r="K1122" s="43" t="n"/>
      <c r="L1122" s="32" t="n"/>
      <c r="N1122" s="34" t="n"/>
      <c r="O1122" s="33" t="n"/>
      <c r="P1122" s="34" t="n"/>
      <c r="Q1122" s="36" t="n"/>
    </row>
    <row r="1123">
      <c r="C1123" s="36" t="n"/>
      <c r="D1123" s="36" t="n"/>
      <c r="E1123" s="66" t="n"/>
      <c r="F1123" s="36" t="n"/>
      <c r="G1123" s="42" t="n"/>
      <c r="H1123" s="30" t="n"/>
      <c r="I1123" s="30" t="n"/>
      <c r="J1123" s="31" t="n"/>
      <c r="K1123" s="43" t="n"/>
      <c r="L1123" s="32" t="n"/>
      <c r="N1123" s="34" t="n"/>
      <c r="O1123" s="33" t="n"/>
      <c r="P1123" s="34" t="n"/>
      <c r="Q1123" s="36" t="n"/>
    </row>
    <row r="1124">
      <c r="C1124" s="36" t="n"/>
      <c r="D1124" s="36" t="n"/>
      <c r="E1124" s="66" t="n"/>
      <c r="F1124" s="36" t="n"/>
      <c r="G1124" s="42" t="n"/>
      <c r="H1124" s="30" t="n"/>
      <c r="I1124" s="30" t="n"/>
      <c r="J1124" s="31" t="n"/>
      <c r="K1124" s="43" t="n"/>
      <c r="L1124" s="32" t="n"/>
      <c r="N1124" s="34" t="n"/>
      <c r="O1124" s="33" t="n"/>
      <c r="P1124" s="34" t="n"/>
      <c r="Q1124" s="36" t="n"/>
    </row>
    <row r="1125">
      <c r="C1125" s="36" t="n"/>
      <c r="D1125" s="36" t="n"/>
      <c r="E1125" s="66" t="n"/>
      <c r="F1125" s="36" t="n"/>
      <c r="G1125" s="42" t="n"/>
      <c r="H1125" s="30" t="n"/>
      <c r="I1125" s="30" t="n"/>
      <c r="J1125" s="31" t="n"/>
      <c r="K1125" s="43" t="n"/>
      <c r="L1125" s="32" t="n"/>
      <c r="N1125" s="34" t="n"/>
      <c r="O1125" s="33" t="n"/>
      <c r="P1125" s="34" t="n"/>
      <c r="Q1125" s="36" t="n"/>
    </row>
    <row r="1126">
      <c r="C1126" s="36" t="n"/>
      <c r="D1126" s="36" t="n"/>
      <c r="E1126" s="66" t="n"/>
      <c r="F1126" s="36" t="n"/>
      <c r="G1126" s="42" t="n"/>
      <c r="H1126" s="30" t="n"/>
      <c r="I1126" s="30" t="n"/>
      <c r="J1126" s="31" t="n"/>
      <c r="K1126" s="43" t="n"/>
      <c r="L1126" s="32" t="n"/>
      <c r="N1126" s="34" t="n"/>
      <c r="O1126" s="33" t="n"/>
      <c r="P1126" s="34" t="n"/>
      <c r="Q1126" s="36" t="n"/>
    </row>
    <row r="1127">
      <c r="C1127" s="36" t="n"/>
      <c r="D1127" s="36" t="n"/>
      <c r="E1127" s="36" t="n"/>
      <c r="F1127" s="36" t="n"/>
      <c r="G1127" s="42" t="n"/>
      <c r="H1127" s="30" t="n"/>
      <c r="I1127" s="30" t="n"/>
      <c r="J1127" s="31" t="n"/>
      <c r="K1127" s="43" t="n"/>
      <c r="L1127" s="32" t="n"/>
      <c r="N1127" s="34" t="n"/>
      <c r="O1127" s="33" t="n"/>
      <c r="P1127" s="34" t="n"/>
      <c r="Q1127" s="36" t="n"/>
    </row>
    <row r="1128">
      <c r="C1128" s="36" t="n"/>
      <c r="D1128" s="36" t="n"/>
      <c r="E1128" s="36" t="n"/>
      <c r="F1128" s="36" t="n"/>
      <c r="G1128" s="42" t="n"/>
      <c r="H1128" s="30" t="n"/>
      <c r="I1128" s="30" t="n"/>
      <c r="J1128" s="31" t="n"/>
      <c r="K1128" s="43" t="n"/>
      <c r="L1128" s="32" t="n"/>
      <c r="N1128" s="34" t="n"/>
      <c r="O1128" s="33" t="n"/>
      <c r="P1128" s="34" t="n"/>
      <c r="Q1128" s="36" t="n"/>
    </row>
    <row r="1129">
      <c r="C1129" s="36" t="n"/>
      <c r="D1129" s="36" t="n"/>
      <c r="E1129" s="36" t="n"/>
      <c r="F1129" s="36" t="n"/>
      <c r="G1129" s="42" t="n"/>
      <c r="H1129" s="30" t="n"/>
      <c r="I1129" s="30" t="n"/>
      <c r="J1129" s="31" t="n"/>
      <c r="K1129" s="43" t="n"/>
      <c r="L1129" s="32" t="n"/>
      <c r="N1129" s="34" t="n"/>
      <c r="O1129" s="33" t="n"/>
      <c r="P1129" s="34" t="n"/>
      <c r="Q1129" s="36" t="n"/>
    </row>
    <row r="1130">
      <c r="C1130" s="36" t="n"/>
      <c r="D1130" s="36" t="n"/>
      <c r="E1130" s="36" t="n"/>
      <c r="F1130" s="36" t="n"/>
      <c r="G1130" s="42" t="n"/>
      <c r="H1130" s="30" t="n"/>
      <c r="I1130" s="30" t="n"/>
      <c r="J1130" s="31" t="n"/>
      <c r="K1130" s="43" t="n"/>
      <c r="L1130" s="32" t="n"/>
      <c r="N1130" s="34" t="n"/>
      <c r="O1130" s="33" t="n"/>
      <c r="P1130" s="34" t="n"/>
      <c r="Q1130" s="36" t="n"/>
    </row>
    <row r="1131">
      <c r="C1131" s="36" t="n"/>
      <c r="D1131" s="36" t="n"/>
      <c r="E1131" s="36" t="n"/>
      <c r="F1131" s="36" t="n"/>
      <c r="G1131" s="42" t="n"/>
      <c r="H1131" s="30" t="n"/>
      <c r="I1131" s="30" t="n"/>
      <c r="J1131" s="31" t="n"/>
      <c r="K1131" s="43" t="n"/>
      <c r="L1131" s="32" t="n"/>
      <c r="N1131" s="34" t="n"/>
      <c r="O1131" s="33" t="n"/>
      <c r="P1131" s="34" t="n"/>
      <c r="Q1131" s="36" t="n"/>
    </row>
    <row r="1132">
      <c r="C1132" s="36" t="n"/>
      <c r="D1132" s="36" t="n"/>
      <c r="E1132" s="36" t="n"/>
      <c r="F1132" s="36" t="n"/>
      <c r="G1132" s="42" t="n"/>
      <c r="H1132" s="30" t="n"/>
      <c r="I1132" s="30" t="n"/>
      <c r="J1132" s="31" t="n"/>
      <c r="K1132" s="43" t="n"/>
      <c r="L1132" s="32" t="n"/>
      <c r="N1132" s="34" t="n"/>
      <c r="O1132" s="33" t="n"/>
      <c r="P1132" s="34" t="n"/>
      <c r="Q1132" s="36" t="n"/>
    </row>
    <row r="1133">
      <c r="C1133" s="36" t="n"/>
      <c r="D1133" s="36" t="n"/>
      <c r="E1133" s="36" t="n"/>
      <c r="F1133" s="36" t="n"/>
      <c r="G1133" s="42" t="n"/>
      <c r="H1133" s="30" t="n"/>
      <c r="I1133" s="30" t="n"/>
      <c r="J1133" s="31" t="n"/>
      <c r="K1133" s="43" t="n"/>
      <c r="L1133" s="32" t="n"/>
      <c r="N1133" s="34" t="n"/>
      <c r="O1133" s="33" t="n"/>
      <c r="P1133" s="34" t="n"/>
      <c r="Q1133" s="36" t="n"/>
    </row>
    <row r="1134">
      <c r="C1134" s="36" t="n"/>
      <c r="D1134" s="36" t="n"/>
      <c r="E1134" s="36" t="n"/>
      <c r="F1134" s="36" t="n"/>
      <c r="G1134" s="42" t="n"/>
      <c r="H1134" s="30" t="n"/>
      <c r="I1134" s="30" t="n"/>
      <c r="J1134" s="31" t="n"/>
      <c r="K1134" s="43" t="n"/>
      <c r="L1134" s="32" t="n"/>
      <c r="N1134" s="34" t="n"/>
      <c r="O1134" s="33" t="n"/>
      <c r="P1134" s="34" t="n"/>
      <c r="Q1134" s="36" t="n"/>
    </row>
    <row r="1135">
      <c r="C1135" s="36" t="n"/>
      <c r="D1135" s="36" t="n"/>
      <c r="E1135" s="36" t="n"/>
      <c r="F1135" s="36" t="n"/>
      <c r="G1135" s="42" t="n"/>
      <c r="H1135" s="30" t="n"/>
      <c r="I1135" s="30" t="n"/>
      <c r="J1135" s="31" t="n"/>
      <c r="K1135" s="43" t="n"/>
      <c r="L1135" s="32" t="n"/>
      <c r="N1135" s="34" t="n"/>
      <c r="O1135" s="33" t="n"/>
      <c r="P1135" s="34" t="n"/>
      <c r="Q1135" s="36" t="n"/>
    </row>
    <row r="1136">
      <c r="C1136" s="36" t="n"/>
      <c r="D1136" s="36" t="n"/>
      <c r="E1136" s="36" t="n"/>
      <c r="F1136" s="36" t="n"/>
      <c r="G1136" s="42" t="n"/>
      <c r="H1136" s="30" t="n"/>
      <c r="I1136" s="30" t="n"/>
      <c r="J1136" s="31" t="n"/>
      <c r="K1136" s="43" t="n"/>
      <c r="L1136" s="32" t="n"/>
      <c r="N1136" s="34" t="n"/>
      <c r="O1136" s="33" t="n"/>
      <c r="P1136" s="34" t="n"/>
      <c r="Q1136" s="36" t="n"/>
    </row>
    <row r="1137">
      <c r="C1137" s="36" t="n"/>
      <c r="D1137" s="36" t="n"/>
      <c r="E1137" s="36" t="n"/>
      <c r="F1137" s="36" t="n"/>
      <c r="G1137" s="42" t="n"/>
      <c r="H1137" s="30" t="n"/>
      <c r="I1137" s="30" t="n"/>
      <c r="J1137" s="31" t="n"/>
      <c r="K1137" s="43" t="n"/>
      <c r="L1137" s="32" t="n"/>
      <c r="N1137" s="34" t="n"/>
      <c r="O1137" s="33" t="n"/>
      <c r="P1137" s="34" t="n"/>
      <c r="Q1137" s="36" t="n"/>
    </row>
    <row r="1138">
      <c r="C1138" s="36" t="n"/>
      <c r="D1138" s="36" t="n"/>
      <c r="E1138" s="36" t="n"/>
      <c r="F1138" s="36" t="n"/>
      <c r="G1138" s="42" t="n"/>
      <c r="H1138" s="30" t="n"/>
      <c r="I1138" s="30" t="n"/>
      <c r="J1138" s="31" t="n"/>
      <c r="K1138" s="43" t="n"/>
      <c r="L1138" s="32" t="n"/>
      <c r="N1138" s="34" t="n"/>
      <c r="O1138" s="33" t="n"/>
      <c r="P1138" s="34" t="n"/>
      <c r="Q1138" s="36" t="n"/>
    </row>
    <row r="1139">
      <c r="C1139" s="36" t="n"/>
      <c r="D1139" s="36" t="n"/>
      <c r="E1139" s="36" t="n"/>
      <c r="F1139" s="36" t="n"/>
      <c r="G1139" s="42" t="n"/>
      <c r="H1139" s="30" t="n"/>
      <c r="I1139" s="30" t="n"/>
      <c r="J1139" s="31" t="n"/>
      <c r="K1139" s="43" t="n"/>
      <c r="L1139" s="32" t="n"/>
      <c r="N1139" s="34" t="n"/>
      <c r="O1139" s="33" t="n"/>
      <c r="P1139" s="34" t="n"/>
      <c r="Q1139" s="36" t="n"/>
    </row>
    <row r="1140">
      <c r="C1140" s="36" t="n"/>
      <c r="D1140" s="36" t="n"/>
      <c r="E1140" s="36" t="n"/>
      <c r="F1140" s="36" t="n"/>
      <c r="G1140" s="42" t="n"/>
      <c r="H1140" s="30" t="n"/>
      <c r="I1140" s="30" t="n"/>
      <c r="J1140" s="31" t="n"/>
      <c r="K1140" s="43" t="n"/>
      <c r="L1140" s="32" t="n"/>
      <c r="N1140" s="34" t="n"/>
      <c r="O1140" s="33" t="n"/>
      <c r="P1140" s="34" t="n"/>
      <c r="Q1140" s="36" t="n"/>
    </row>
    <row r="1141">
      <c r="C1141" s="36" t="n"/>
      <c r="D1141" s="36" t="n"/>
      <c r="E1141" s="36" t="n"/>
      <c r="F1141" s="36" t="n"/>
      <c r="G1141" s="42" t="n"/>
      <c r="H1141" s="30" t="n"/>
      <c r="I1141" s="30" t="n"/>
      <c r="J1141" s="31" t="n"/>
      <c r="K1141" s="43" t="n"/>
      <c r="L1141" s="32" t="n"/>
      <c r="N1141" s="34" t="n"/>
      <c r="O1141" s="33" t="n"/>
      <c r="P1141" s="34" t="n"/>
      <c r="Q1141" s="36" t="n"/>
    </row>
    <row r="1142">
      <c r="C1142" s="36" t="n"/>
      <c r="D1142" s="36" t="n"/>
      <c r="E1142" s="36" t="n"/>
      <c r="F1142" s="36" t="n"/>
      <c r="G1142" s="42" t="n"/>
      <c r="H1142" s="30" t="n"/>
      <c r="I1142" s="30" t="n"/>
      <c r="J1142" s="31" t="n"/>
      <c r="K1142" s="43" t="n"/>
      <c r="L1142" s="32" t="n"/>
      <c r="N1142" s="34" t="n"/>
      <c r="O1142" s="33" t="n"/>
      <c r="P1142" s="34" t="n"/>
      <c r="Q1142" s="36" t="n"/>
    </row>
    <row r="1143">
      <c r="C1143" s="36" t="n"/>
      <c r="D1143" s="36" t="n"/>
      <c r="E1143" s="36" t="n"/>
      <c r="F1143" s="36" t="n"/>
      <c r="G1143" s="42" t="n"/>
      <c r="H1143" s="30" t="n"/>
      <c r="I1143" s="30" t="n"/>
      <c r="J1143" s="31" t="n"/>
      <c r="K1143" s="43" t="n"/>
      <c r="L1143" s="32" t="n"/>
      <c r="N1143" s="34" t="n"/>
      <c r="O1143" s="33" t="n"/>
      <c r="P1143" s="34" t="n"/>
      <c r="Q1143" s="36" t="n"/>
    </row>
    <row r="1144">
      <c r="C1144" s="36" t="n"/>
      <c r="D1144" s="36" t="n"/>
      <c r="E1144" s="36" t="n"/>
      <c r="F1144" s="36" t="n"/>
      <c r="G1144" s="42" t="n"/>
      <c r="H1144" s="30" t="n"/>
      <c r="I1144" s="30" t="n"/>
      <c r="J1144" s="31" t="n"/>
      <c r="K1144" s="43" t="n"/>
      <c r="L1144" s="32" t="n"/>
      <c r="N1144" s="34" t="n"/>
      <c r="O1144" s="33" t="n"/>
      <c r="P1144" s="34" t="n"/>
      <c r="Q1144" s="36" t="n"/>
    </row>
    <row r="1145">
      <c r="C1145" s="36" t="n"/>
      <c r="D1145" s="36" t="n"/>
      <c r="E1145" s="36" t="n"/>
      <c r="F1145" s="36" t="n"/>
      <c r="G1145" s="42" t="n"/>
      <c r="H1145" s="30" t="n"/>
      <c r="I1145" s="30" t="n"/>
      <c r="J1145" s="31" t="n"/>
      <c r="K1145" s="43" t="n"/>
      <c r="L1145" s="32" t="n"/>
      <c r="N1145" s="34" t="n"/>
      <c r="O1145" s="33" t="n"/>
      <c r="P1145" s="34" t="n"/>
      <c r="Q1145" s="36" t="n"/>
    </row>
    <row r="1146">
      <c r="C1146" s="36" t="n"/>
      <c r="D1146" s="36" t="n"/>
      <c r="E1146" s="36" t="n"/>
      <c r="F1146" s="36" t="n"/>
      <c r="G1146" s="42" t="n"/>
      <c r="H1146" s="30" t="n"/>
      <c r="I1146" s="30" t="n"/>
      <c r="J1146" s="31" t="n"/>
      <c r="K1146" s="43" t="n"/>
      <c r="L1146" s="32" t="n"/>
      <c r="N1146" s="34" t="n"/>
      <c r="O1146" s="33" t="n"/>
      <c r="P1146" s="34" t="n"/>
      <c r="Q1146" s="36" t="n"/>
    </row>
    <row r="1147">
      <c r="C1147" s="36" t="n"/>
      <c r="D1147" s="36" t="n"/>
      <c r="E1147" s="36" t="n"/>
      <c r="F1147" s="36" t="n"/>
      <c r="G1147" s="42" t="n"/>
      <c r="H1147" s="30" t="n"/>
      <c r="I1147" s="30" t="n"/>
      <c r="J1147" s="31" t="n"/>
      <c r="K1147" s="43" t="n"/>
      <c r="L1147" s="32" t="n"/>
      <c r="N1147" s="34" t="n"/>
      <c r="O1147" s="33" t="n"/>
      <c r="P1147" s="34" t="n"/>
      <c r="Q1147" s="36" t="n"/>
    </row>
    <row r="1148">
      <c r="C1148" s="36" t="n"/>
      <c r="D1148" s="36" t="n"/>
      <c r="E1148" s="36" t="n"/>
      <c r="F1148" s="36" t="n"/>
      <c r="G1148" s="42" t="n"/>
      <c r="H1148" s="30" t="n"/>
      <c r="I1148" s="30" t="n"/>
      <c r="J1148" s="31" t="n"/>
      <c r="K1148" s="43" t="n"/>
      <c r="L1148" s="32" t="n"/>
      <c r="N1148" s="34" t="n"/>
      <c r="O1148" s="33" t="n"/>
      <c r="P1148" s="34" t="n"/>
      <c r="Q1148" s="36" t="n"/>
    </row>
    <row r="1149">
      <c r="C1149" s="36" t="n"/>
      <c r="D1149" s="36" t="n"/>
      <c r="E1149" s="36" t="n"/>
      <c r="F1149" s="36" t="n"/>
      <c r="G1149" s="42" t="n"/>
      <c r="H1149" s="30" t="n"/>
      <c r="I1149" s="30" t="n"/>
      <c r="J1149" s="31" t="n"/>
      <c r="K1149" s="43" t="n"/>
      <c r="L1149" s="32" t="n"/>
      <c r="N1149" s="34" t="n"/>
      <c r="O1149" s="33" t="n"/>
      <c r="P1149" s="34" t="n"/>
      <c r="Q1149" s="36" t="n"/>
    </row>
    <row r="1150">
      <c r="C1150" s="36" t="n"/>
      <c r="D1150" s="36" t="n"/>
      <c r="E1150" s="36" t="n"/>
      <c r="F1150" s="36" t="n"/>
      <c r="G1150" s="42" t="n"/>
      <c r="H1150" s="30" t="n"/>
      <c r="I1150" s="30" t="n"/>
      <c r="J1150" s="31" t="n"/>
      <c r="K1150" s="43" t="n"/>
      <c r="L1150" s="32" t="n"/>
      <c r="N1150" s="34" t="n"/>
      <c r="O1150" s="33" t="n"/>
      <c r="P1150" s="34" t="n"/>
      <c r="Q1150" s="36" t="n"/>
    </row>
    <row r="1151">
      <c r="C1151" s="36" t="n"/>
      <c r="D1151" s="36" t="n"/>
      <c r="E1151" s="36" t="n"/>
      <c r="F1151" s="36" t="n"/>
      <c r="G1151" s="42" t="n"/>
      <c r="H1151" s="30" t="n"/>
      <c r="I1151" s="30" t="n"/>
      <c r="J1151" s="31" t="n"/>
      <c r="K1151" s="43" t="n"/>
      <c r="L1151" s="32" t="n"/>
      <c r="N1151" s="34" t="n"/>
      <c r="O1151" s="33" t="n"/>
      <c r="P1151" s="34" t="n"/>
      <c r="Q1151" s="36" t="n"/>
    </row>
    <row r="1152">
      <c r="C1152" s="36" t="n"/>
      <c r="D1152" s="36" t="n"/>
      <c r="E1152" s="36" t="n"/>
      <c r="F1152" s="36" t="n"/>
      <c r="G1152" s="42" t="n"/>
      <c r="H1152" s="30" t="n"/>
      <c r="I1152" s="30" t="n"/>
      <c r="J1152" s="31" t="n"/>
      <c r="K1152" s="43" t="n"/>
      <c r="L1152" s="32" t="n"/>
      <c r="N1152" s="34" t="n"/>
      <c r="O1152" s="33" t="n"/>
      <c r="P1152" s="34" t="n"/>
      <c r="Q1152" s="36" t="n"/>
    </row>
    <row r="1153">
      <c r="C1153" s="36" t="n"/>
      <c r="D1153" s="36" t="n"/>
      <c r="E1153" s="36" t="n"/>
      <c r="F1153" s="36" t="n"/>
      <c r="G1153" s="42" t="n"/>
      <c r="H1153" s="30" t="n"/>
      <c r="I1153" s="30" t="n"/>
      <c r="J1153" s="31" t="n"/>
      <c r="K1153" s="43" t="n"/>
      <c r="L1153" s="32" t="n"/>
      <c r="N1153" s="34" t="n"/>
      <c r="O1153" s="33" t="n"/>
      <c r="P1153" s="34" t="n"/>
      <c r="Q1153" s="36" t="n"/>
    </row>
    <row r="1154">
      <c r="C1154" s="36" t="n"/>
      <c r="D1154" s="36" t="n"/>
      <c r="E1154" s="36" t="n"/>
      <c r="F1154" s="36" t="n"/>
      <c r="G1154" s="42" t="n"/>
      <c r="H1154" s="30" t="n"/>
      <c r="I1154" s="30" t="n"/>
      <c r="J1154" s="31" t="n"/>
      <c r="K1154" s="43" t="n"/>
      <c r="L1154" s="32" t="n"/>
      <c r="N1154" s="34" t="n"/>
      <c r="O1154" s="33" t="n"/>
      <c r="P1154" s="34" t="n"/>
      <c r="Q1154" s="36" t="n"/>
    </row>
    <row r="1155">
      <c r="C1155" s="36" t="n"/>
      <c r="D1155" s="36" t="n"/>
      <c r="E1155" s="36" t="n"/>
      <c r="F1155" s="36" t="n"/>
      <c r="G1155" s="42" t="n"/>
      <c r="H1155" s="30" t="n"/>
      <c r="I1155" s="30" t="n"/>
      <c r="J1155" s="31" t="n"/>
      <c r="K1155" s="43" t="n"/>
      <c r="L1155" s="32" t="n"/>
      <c r="N1155" s="34" t="n"/>
      <c r="O1155" s="33" t="n"/>
      <c r="P1155" s="34" t="n"/>
      <c r="Q1155" s="36" t="n"/>
    </row>
    <row r="1156">
      <c r="C1156" s="36" t="n"/>
      <c r="D1156" s="36" t="n"/>
      <c r="E1156" s="36" t="n"/>
      <c r="F1156" s="36" t="n"/>
      <c r="G1156" s="42" t="n"/>
      <c r="H1156" s="30" t="n"/>
      <c r="I1156" s="30" t="n"/>
      <c r="J1156" s="31" t="n"/>
      <c r="K1156" s="43" t="n"/>
      <c r="L1156" s="32" t="n"/>
      <c r="N1156" s="34" t="n"/>
      <c r="O1156" s="33" t="n"/>
      <c r="P1156" s="34" t="n"/>
      <c r="Q1156" s="36" t="n"/>
    </row>
    <row r="1157">
      <c r="C1157" s="36" t="n"/>
      <c r="D1157" s="36" t="n"/>
      <c r="E1157" s="36" t="n"/>
      <c r="F1157" s="36" t="n"/>
      <c r="G1157" s="42" t="n"/>
      <c r="H1157" s="30" t="n"/>
      <c r="I1157" s="30" t="n"/>
      <c r="J1157" s="31" t="n"/>
      <c r="K1157" s="43" t="n"/>
      <c r="L1157" s="32" t="n"/>
      <c r="N1157" s="34" t="n"/>
      <c r="O1157" s="33" t="n"/>
      <c r="P1157" s="34" t="n"/>
      <c r="Q1157" s="36" t="n"/>
    </row>
    <row r="1158">
      <c r="C1158" s="36" t="n"/>
      <c r="D1158" s="36" t="n"/>
      <c r="E1158" s="36" t="n"/>
      <c r="F1158" s="36" t="n"/>
      <c r="G1158" s="42" t="n"/>
      <c r="H1158" s="30" t="n"/>
      <c r="I1158" s="30" t="n"/>
      <c r="J1158" s="31" t="n"/>
      <c r="K1158" s="43" t="n"/>
      <c r="L1158" s="32" t="n"/>
      <c r="N1158" s="34" t="n"/>
      <c r="O1158" s="33" t="n"/>
      <c r="P1158" s="34" t="n"/>
      <c r="Q1158" s="36" t="n"/>
    </row>
    <row r="1159">
      <c r="C1159" s="36" t="n"/>
      <c r="D1159" s="36" t="n"/>
      <c r="E1159" s="36" t="n"/>
      <c r="F1159" s="36" t="n"/>
      <c r="G1159" s="42" t="n"/>
      <c r="H1159" s="30" t="n"/>
      <c r="I1159" s="30" t="n"/>
      <c r="J1159" s="31" t="n"/>
      <c r="K1159" s="43" t="n"/>
      <c r="L1159" s="32" t="n"/>
      <c r="N1159" s="34" t="n"/>
      <c r="O1159" s="33" t="n"/>
      <c r="P1159" s="34" t="n"/>
      <c r="Q1159" s="36" t="n"/>
    </row>
    <row r="1160">
      <c r="C1160" s="36" t="n"/>
      <c r="D1160" s="36" t="n"/>
      <c r="E1160" s="36" t="n"/>
      <c r="F1160" s="36" t="n"/>
      <c r="G1160" s="42" t="n"/>
      <c r="H1160" s="30" t="n"/>
      <c r="I1160" s="30" t="n"/>
      <c r="J1160" s="31" t="n"/>
      <c r="K1160" s="43" t="n"/>
      <c r="L1160" s="32" t="n"/>
      <c r="N1160" s="34" t="n"/>
      <c r="O1160" s="33" t="n"/>
      <c r="P1160" s="34" t="n"/>
      <c r="Q1160" s="36" t="n"/>
    </row>
    <row r="1161">
      <c r="C1161" s="36" t="n"/>
      <c r="D1161" s="36" t="n"/>
      <c r="E1161" s="36" t="n"/>
      <c r="F1161" s="36" t="n"/>
      <c r="G1161" s="42" t="n"/>
      <c r="H1161" s="30" t="n"/>
      <c r="I1161" s="30" t="n"/>
      <c r="J1161" s="31" t="n"/>
      <c r="K1161" s="43" t="n"/>
      <c r="L1161" s="32" t="n"/>
      <c r="N1161" s="34" t="n"/>
      <c r="O1161" s="33" t="n"/>
      <c r="P1161" s="34" t="n"/>
      <c r="Q1161" s="36" t="n"/>
    </row>
    <row r="1162">
      <c r="C1162" s="36" t="n"/>
      <c r="D1162" s="36" t="n"/>
      <c r="E1162" s="36" t="n"/>
      <c r="F1162" s="36" t="n"/>
      <c r="G1162" s="42" t="n"/>
      <c r="H1162" s="30" t="n"/>
      <c r="I1162" s="30" t="n"/>
      <c r="J1162" s="31" t="n"/>
      <c r="K1162" s="43" t="n"/>
      <c r="L1162" s="32" t="n"/>
      <c r="N1162" s="34" t="n"/>
      <c r="O1162" s="33" t="n"/>
      <c r="P1162" s="34" t="n"/>
      <c r="Q1162" s="36" t="n"/>
    </row>
    <row r="1163">
      <c r="C1163" s="36" t="n"/>
      <c r="D1163" s="36" t="n"/>
      <c r="E1163" s="36" t="n"/>
      <c r="F1163" s="36" t="n"/>
      <c r="G1163" s="42" t="n"/>
      <c r="H1163" s="30" t="n"/>
      <c r="I1163" s="30" t="n"/>
      <c r="J1163" s="31" t="n"/>
      <c r="K1163" s="43" t="n"/>
      <c r="L1163" s="32" t="n"/>
      <c r="N1163" s="34" t="n"/>
      <c r="O1163" s="33" t="n"/>
      <c r="P1163" s="34" t="n"/>
      <c r="Q1163" s="36" t="n"/>
    </row>
    <row r="1164">
      <c r="C1164" s="36" t="n"/>
      <c r="D1164" s="36" t="n"/>
      <c r="E1164" s="36" t="n"/>
      <c r="F1164" s="36" t="n"/>
      <c r="G1164" s="42" t="n"/>
      <c r="H1164" s="30" t="n"/>
      <c r="I1164" s="30" t="n"/>
      <c r="J1164" s="31" t="n"/>
      <c r="K1164" s="43" t="n"/>
      <c r="L1164" s="32" t="n"/>
      <c r="N1164" s="34" t="n"/>
      <c r="O1164" s="33" t="n"/>
      <c r="P1164" s="34" t="n"/>
      <c r="Q1164" s="36" t="n"/>
    </row>
    <row r="1165">
      <c r="C1165" s="36" t="n"/>
      <c r="D1165" s="36" t="n"/>
      <c r="E1165" s="36" t="n"/>
      <c r="F1165" s="36" t="n"/>
      <c r="G1165" s="42" t="n"/>
      <c r="H1165" s="30" t="n"/>
      <c r="I1165" s="30" t="n"/>
      <c r="J1165" s="31" t="n"/>
      <c r="K1165" s="43" t="n"/>
      <c r="L1165" s="32" t="n"/>
      <c r="N1165" s="34" t="n"/>
      <c r="O1165" s="33" t="n"/>
      <c r="P1165" s="34" t="n"/>
      <c r="Q1165" s="36" t="n"/>
    </row>
    <row r="1166">
      <c r="C1166" s="36" t="n"/>
      <c r="D1166" s="36" t="n"/>
      <c r="E1166" s="36" t="n"/>
      <c r="F1166" s="36" t="n"/>
      <c r="G1166" s="42" t="n"/>
      <c r="H1166" s="30" t="n"/>
      <c r="I1166" s="30" t="n"/>
      <c r="J1166" s="31" t="n"/>
      <c r="K1166" s="43" t="n"/>
      <c r="L1166" s="32" t="n"/>
      <c r="N1166" s="34" t="n"/>
      <c r="O1166" s="33" t="n"/>
      <c r="P1166" s="34" t="n"/>
      <c r="Q1166" s="36" t="n"/>
    </row>
    <row r="1167">
      <c r="C1167" s="36" t="n"/>
      <c r="D1167" s="36" t="n"/>
      <c r="E1167" s="36" t="n"/>
      <c r="F1167" s="36" t="n"/>
      <c r="G1167" s="42" t="n"/>
      <c r="H1167" s="30" t="n"/>
      <c r="I1167" s="30" t="n"/>
      <c r="J1167" s="31" t="n"/>
      <c r="K1167" s="43" t="n"/>
      <c r="L1167" s="32" t="n"/>
      <c r="N1167" s="34" t="n"/>
      <c r="O1167" s="33" t="n"/>
      <c r="P1167" s="34" t="n"/>
      <c r="Q1167" s="36" t="n"/>
    </row>
    <row r="1168">
      <c r="C1168" s="36" t="n"/>
      <c r="D1168" s="36" t="n"/>
      <c r="E1168" s="36" t="n"/>
      <c r="F1168" s="36" t="n"/>
      <c r="G1168" s="42" t="n"/>
      <c r="H1168" s="30" t="n"/>
      <c r="I1168" s="30" t="n"/>
      <c r="J1168" s="31" t="n"/>
      <c r="K1168" s="43" t="n"/>
      <c r="L1168" s="32" t="n"/>
      <c r="N1168" s="34" t="n"/>
      <c r="O1168" s="33" t="n"/>
      <c r="P1168" s="34" t="n"/>
      <c r="Q1168" s="36" t="n"/>
    </row>
    <row r="1169">
      <c r="C1169" s="36" t="n"/>
      <c r="D1169" s="36" t="n"/>
      <c r="E1169" s="36" t="n"/>
      <c r="F1169" s="36" t="n"/>
      <c r="G1169" s="42" t="n"/>
      <c r="H1169" s="30" t="n"/>
      <c r="I1169" s="30" t="n"/>
      <c r="J1169" s="31" t="n"/>
      <c r="K1169" s="43" t="n"/>
      <c r="L1169" s="32" t="n"/>
      <c r="N1169" s="34" t="n"/>
      <c r="O1169" s="33" t="n"/>
      <c r="P1169" s="34" t="n"/>
      <c r="Q1169" s="36" t="n"/>
    </row>
    <row r="1170">
      <c r="C1170" s="36" t="n"/>
      <c r="D1170" s="36" t="n"/>
      <c r="E1170" s="36" t="n"/>
      <c r="F1170" s="36" t="n"/>
      <c r="G1170" s="42" t="n"/>
      <c r="H1170" s="30" t="n"/>
      <c r="I1170" s="30" t="n"/>
      <c r="J1170" s="31" t="n"/>
      <c r="K1170" s="43" t="n"/>
      <c r="L1170" s="32" t="n"/>
      <c r="N1170" s="34" t="n"/>
      <c r="O1170" s="33" t="n"/>
      <c r="P1170" s="34" t="n"/>
      <c r="Q1170" s="36" t="n"/>
    </row>
    <row r="1171">
      <c r="C1171" s="36" t="n"/>
      <c r="D1171" s="36" t="n"/>
      <c r="E1171" s="36" t="n"/>
      <c r="F1171" s="36" t="n"/>
      <c r="G1171" s="42" t="n"/>
      <c r="H1171" s="30" t="n"/>
      <c r="I1171" s="30" t="n"/>
      <c r="J1171" s="31" t="n"/>
      <c r="K1171" s="43" t="n"/>
      <c r="L1171" s="32" t="n"/>
      <c r="N1171" s="34" t="n"/>
      <c r="O1171" s="33" t="n"/>
      <c r="P1171" s="34" t="n"/>
      <c r="Q1171" s="36" t="n"/>
    </row>
    <row r="1172">
      <c r="C1172" s="36" t="n"/>
      <c r="D1172" s="36" t="n"/>
      <c r="E1172" s="36" t="n"/>
      <c r="F1172" s="36" t="n"/>
      <c r="G1172" s="42" t="n"/>
      <c r="H1172" s="30" t="n"/>
      <c r="I1172" s="30" t="n"/>
      <c r="J1172" s="31" t="n"/>
      <c r="K1172" s="43" t="n"/>
      <c r="L1172" s="32" t="n"/>
      <c r="N1172" s="34" t="n"/>
      <c r="O1172" s="33" t="n"/>
      <c r="P1172" s="34" t="n"/>
      <c r="Q1172" s="36" t="n"/>
    </row>
    <row r="1173">
      <c r="C1173" s="36" t="n"/>
      <c r="D1173" s="36" t="n"/>
      <c r="E1173" s="36" t="n"/>
      <c r="F1173" s="36" t="n"/>
      <c r="G1173" s="42" t="n"/>
      <c r="H1173" s="30" t="n"/>
      <c r="I1173" s="30" t="n"/>
      <c r="J1173" s="31" t="n"/>
      <c r="K1173" s="43" t="n"/>
      <c r="L1173" s="32" t="n"/>
      <c r="N1173" s="34" t="n"/>
      <c r="O1173" s="33" t="n"/>
      <c r="P1173" s="34" t="n"/>
      <c r="Q1173" s="36" t="n"/>
    </row>
    <row r="1174">
      <c r="C1174" s="36" t="n"/>
      <c r="D1174" s="36" t="n"/>
      <c r="E1174" s="36" t="n"/>
      <c r="F1174" s="36" t="n"/>
      <c r="G1174" s="42" t="n"/>
      <c r="H1174" s="30" t="n"/>
      <c r="I1174" s="30" t="n"/>
      <c r="J1174" s="31" t="n"/>
      <c r="K1174" s="43" t="n"/>
      <c r="L1174" s="32" t="n"/>
      <c r="N1174" s="34" t="n"/>
      <c r="O1174" s="33" t="n"/>
      <c r="P1174" s="34" t="n"/>
      <c r="Q1174" s="36" t="n"/>
    </row>
    <row r="1175">
      <c r="C1175" s="36" t="n"/>
      <c r="D1175" s="36" t="n"/>
      <c r="E1175" s="36" t="n"/>
      <c r="F1175" s="36" t="n"/>
      <c r="G1175" s="42" t="n"/>
      <c r="H1175" s="30" t="n"/>
      <c r="I1175" s="30" t="n"/>
      <c r="J1175" s="31" t="n"/>
      <c r="K1175" s="43" t="n"/>
      <c r="L1175" s="32" t="n"/>
      <c r="N1175" s="34" t="n"/>
      <c r="O1175" s="33" t="n"/>
      <c r="P1175" s="34" t="n"/>
      <c r="Q1175" s="36" t="n"/>
    </row>
    <row r="1176">
      <c r="C1176" s="36" t="n"/>
      <c r="D1176" s="36" t="n"/>
      <c r="E1176" s="36" t="n"/>
      <c r="F1176" s="36" t="n"/>
      <c r="G1176" s="42" t="n"/>
      <c r="H1176" s="30" t="n"/>
      <c r="I1176" s="30" t="n"/>
      <c r="J1176" s="31" t="n"/>
      <c r="K1176" s="43" t="n"/>
      <c r="L1176" s="32" t="n"/>
      <c r="N1176" s="34" t="n"/>
      <c r="O1176" s="33" t="n"/>
      <c r="P1176" s="34" t="n"/>
      <c r="Q1176" s="36" t="n"/>
    </row>
    <row r="1177">
      <c r="C1177" s="36" t="n"/>
      <c r="D1177" s="36" t="n"/>
      <c r="E1177" s="36" t="n"/>
      <c r="F1177" s="36" t="n"/>
      <c r="G1177" s="42" t="n"/>
      <c r="H1177" s="30" t="n"/>
      <c r="I1177" s="30" t="n"/>
      <c r="J1177" s="31" t="n"/>
      <c r="K1177" s="43" t="n"/>
      <c r="L1177" s="32" t="n"/>
      <c r="N1177" s="34" t="n"/>
      <c r="O1177" s="33" t="n"/>
      <c r="P1177" s="34" t="n"/>
      <c r="Q1177" s="36" t="n"/>
    </row>
    <row r="1178">
      <c r="C1178" s="36" t="n"/>
      <c r="D1178" s="36" t="n"/>
      <c r="E1178" s="36" t="n"/>
      <c r="F1178" s="36" t="n"/>
      <c r="G1178" s="42" t="n"/>
      <c r="H1178" s="30" t="n"/>
      <c r="I1178" s="30" t="n"/>
      <c r="J1178" s="31" t="n"/>
      <c r="K1178" s="43" t="n"/>
      <c r="L1178" s="32" t="n"/>
      <c r="N1178" s="34" t="n"/>
      <c r="O1178" s="33" t="n"/>
      <c r="P1178" s="34" t="n"/>
      <c r="Q1178" s="36" t="n"/>
    </row>
    <row r="1179">
      <c r="C1179" s="36" t="n"/>
      <c r="D1179" s="36" t="n"/>
      <c r="E1179" s="36" t="n"/>
      <c r="F1179" s="36" t="n"/>
      <c r="G1179" s="42" t="n"/>
      <c r="H1179" s="30" t="n"/>
      <c r="I1179" s="30" t="n"/>
      <c r="J1179" s="31" t="n"/>
      <c r="K1179" s="43" t="n"/>
      <c r="L1179" s="32" t="n"/>
      <c r="N1179" s="34" t="n"/>
      <c r="O1179" s="33" t="n"/>
      <c r="P1179" s="34" t="n"/>
      <c r="Q1179" s="36" t="n"/>
    </row>
    <row r="1180">
      <c r="C1180" s="36" t="n"/>
      <c r="D1180" s="36" t="n"/>
      <c r="E1180" s="36" t="n"/>
      <c r="F1180" s="36" t="n"/>
      <c r="G1180" s="42" t="n"/>
      <c r="H1180" s="30" t="n"/>
      <c r="I1180" s="30" t="n"/>
      <c r="J1180" s="31" t="n"/>
      <c r="K1180" s="43" t="n"/>
      <c r="L1180" s="32" t="n"/>
      <c r="N1180" s="34" t="n"/>
      <c r="O1180" s="33" t="n"/>
      <c r="P1180" s="34" t="n"/>
      <c r="Q1180" s="36" t="n"/>
    </row>
    <row r="1181">
      <c r="C1181" s="36" t="n"/>
      <c r="D1181" s="36" t="n"/>
      <c r="E1181" s="36" t="n"/>
      <c r="F1181" s="36" t="n"/>
      <c r="G1181" s="42" t="n"/>
      <c r="H1181" s="30" t="n"/>
      <c r="I1181" s="30" t="n"/>
      <c r="J1181" s="31" t="n"/>
      <c r="K1181" s="43" t="n"/>
      <c r="L1181" s="32" t="n"/>
      <c r="N1181" s="34" t="n"/>
      <c r="O1181" s="33" t="n"/>
      <c r="P1181" s="34" t="n"/>
      <c r="Q1181" s="36" t="n"/>
    </row>
    <row r="1182">
      <c r="C1182" s="36" t="n"/>
      <c r="D1182" s="36" t="n"/>
      <c r="E1182" s="36" t="n"/>
      <c r="F1182" s="36" t="n"/>
      <c r="G1182" s="42" t="n"/>
      <c r="H1182" s="30" t="n"/>
      <c r="I1182" s="30" t="n"/>
      <c r="J1182" s="31" t="n"/>
      <c r="K1182" s="43" t="n"/>
      <c r="L1182" s="32" t="n"/>
      <c r="N1182" s="34" t="n"/>
      <c r="O1182" s="33" t="n"/>
      <c r="P1182" s="34" t="n"/>
      <c r="Q1182" s="36" t="n"/>
    </row>
    <row r="1183">
      <c r="C1183" s="36" t="n"/>
      <c r="D1183" s="36" t="n"/>
      <c r="E1183" s="36" t="n"/>
      <c r="F1183" s="36" t="n"/>
      <c r="G1183" s="42" t="n"/>
      <c r="H1183" s="30" t="n"/>
      <c r="I1183" s="30" t="n"/>
      <c r="J1183" s="31" t="n"/>
      <c r="K1183" s="43" t="n"/>
      <c r="L1183" s="32" t="n"/>
      <c r="N1183" s="34" t="n"/>
      <c r="O1183" s="33" t="n"/>
      <c r="P1183" s="34" t="n"/>
      <c r="Q1183" s="36" t="n"/>
    </row>
    <row r="1184">
      <c r="C1184" s="36" t="n"/>
      <c r="D1184" s="36" t="n"/>
      <c r="E1184" s="36" t="n"/>
      <c r="F1184" s="36" t="n"/>
      <c r="G1184" s="42" t="n"/>
      <c r="H1184" s="30" t="n"/>
      <c r="I1184" s="30" t="n"/>
      <c r="J1184" s="31" t="n"/>
      <c r="K1184" s="43" t="n"/>
      <c r="L1184" s="32" t="n"/>
      <c r="N1184" s="34" t="n"/>
      <c r="O1184" s="33" t="n"/>
      <c r="P1184" s="34" t="n"/>
      <c r="Q1184" s="36" t="n"/>
    </row>
    <row r="1185">
      <c r="C1185" s="36" t="n"/>
      <c r="D1185" s="36" t="n"/>
      <c r="E1185" s="36" t="n"/>
      <c r="F1185" s="36" t="n"/>
      <c r="G1185" s="42" t="n"/>
      <c r="H1185" s="30" t="n"/>
      <c r="I1185" s="30" t="n"/>
      <c r="J1185" s="31" t="n"/>
      <c r="K1185" s="43" t="n"/>
      <c r="L1185" s="32" t="n"/>
      <c r="N1185" s="34" t="n"/>
      <c r="O1185" s="33" t="n"/>
      <c r="P1185" s="34" t="n"/>
      <c r="Q1185" s="36" t="n"/>
    </row>
    <row r="1186">
      <c r="C1186" s="36" t="n"/>
      <c r="D1186" s="36" t="n"/>
      <c r="E1186" s="36" t="n"/>
      <c r="F1186" s="36" t="n"/>
      <c r="G1186" s="42" t="n"/>
      <c r="H1186" s="30" t="n"/>
      <c r="I1186" s="30" t="n"/>
      <c r="J1186" s="31" t="n"/>
      <c r="K1186" s="43" t="n"/>
      <c r="L1186" s="32" t="n"/>
      <c r="N1186" s="34" t="n"/>
      <c r="O1186" s="33" t="n"/>
      <c r="P1186" s="34" t="n"/>
      <c r="Q1186" s="36" t="n"/>
    </row>
    <row r="1187">
      <c r="C1187" s="36" t="n"/>
      <c r="D1187" s="36" t="n"/>
      <c r="E1187" s="36" t="n"/>
      <c r="F1187" s="36" t="n"/>
      <c r="G1187" s="42" t="n"/>
      <c r="H1187" s="30" t="n"/>
      <c r="I1187" s="30" t="n"/>
      <c r="J1187" s="31" t="n"/>
      <c r="K1187" s="43" t="n"/>
      <c r="L1187" s="32" t="n"/>
      <c r="N1187" s="34" t="n"/>
      <c r="O1187" s="33" t="n"/>
      <c r="P1187" s="34" t="n"/>
      <c r="Q1187" s="36" t="n"/>
    </row>
    <row r="1188">
      <c r="C1188" s="36" t="n"/>
      <c r="D1188" s="36" t="n"/>
      <c r="E1188" s="36" t="n"/>
      <c r="F1188" s="36" t="n"/>
      <c r="G1188" s="42" t="n"/>
      <c r="H1188" s="30" t="n"/>
      <c r="I1188" s="30" t="n"/>
      <c r="J1188" s="31" t="n"/>
      <c r="K1188" s="43" t="n"/>
      <c r="L1188" s="32" t="n"/>
      <c r="N1188" s="34" t="n"/>
      <c r="O1188" s="33" t="n"/>
      <c r="P1188" s="34" t="n"/>
      <c r="Q1188" s="36" t="n"/>
    </row>
    <row r="1189">
      <c r="C1189" s="36" t="n"/>
      <c r="D1189" s="36" t="n"/>
      <c r="E1189" s="36" t="n"/>
      <c r="F1189" s="36" t="n"/>
      <c r="G1189" s="42" t="n"/>
      <c r="H1189" s="30" t="n"/>
      <c r="I1189" s="30" t="n"/>
      <c r="J1189" s="31" t="n"/>
      <c r="K1189" s="43" t="n"/>
      <c r="L1189" s="32" t="n"/>
      <c r="N1189" s="34" t="n"/>
      <c r="O1189" s="33" t="n"/>
      <c r="P1189" s="34" t="n"/>
      <c r="Q1189" s="36" t="n"/>
    </row>
    <row r="1190">
      <c r="C1190" s="36" t="n"/>
      <c r="D1190" s="36" t="n"/>
      <c r="E1190" s="36" t="n"/>
      <c r="F1190" s="36" t="n"/>
      <c r="G1190" s="42" t="n"/>
      <c r="H1190" s="30" t="n"/>
      <c r="I1190" s="30" t="n"/>
      <c r="J1190" s="31" t="n"/>
      <c r="K1190" s="43" t="n"/>
      <c r="L1190" s="32" t="n"/>
      <c r="N1190" s="34" t="n"/>
      <c r="O1190" s="33" t="n"/>
      <c r="P1190" s="34" t="n"/>
      <c r="Q1190" s="36" t="n"/>
    </row>
    <row r="1191">
      <c r="C1191" s="36" t="n"/>
      <c r="D1191" s="36" t="n"/>
      <c r="E1191" s="36" t="n"/>
      <c r="F1191" s="36" t="n"/>
      <c r="G1191" s="42" t="n"/>
      <c r="H1191" s="30" t="n"/>
      <c r="I1191" s="30" t="n"/>
      <c r="J1191" s="31" t="n"/>
      <c r="K1191" s="43" t="n"/>
      <c r="L1191" s="32" t="n"/>
      <c r="N1191" s="34" t="n"/>
      <c r="O1191" s="33" t="n"/>
      <c r="P1191" s="34" t="n"/>
      <c r="Q1191" s="36" t="n"/>
    </row>
    <row r="1192">
      <c r="C1192" s="36" t="n"/>
      <c r="D1192" s="36" t="n"/>
      <c r="E1192" s="36" t="n"/>
      <c r="F1192" s="36" t="n"/>
      <c r="G1192" s="42" t="n"/>
      <c r="H1192" s="30" t="n"/>
      <c r="I1192" s="30" t="n"/>
      <c r="J1192" s="31" t="n"/>
      <c r="K1192" s="43" t="n"/>
      <c r="L1192" s="32" t="n"/>
      <c r="N1192" s="34" t="n"/>
      <c r="O1192" s="33" t="n"/>
      <c r="P1192" s="34" t="n"/>
      <c r="Q1192" s="36" t="n"/>
    </row>
    <row r="1193">
      <c r="C1193" s="36" t="n"/>
      <c r="D1193" s="36" t="n"/>
      <c r="E1193" s="36" t="n"/>
      <c r="F1193" s="36" t="n"/>
      <c r="G1193" s="42" t="n"/>
      <c r="H1193" s="30" t="n"/>
      <c r="I1193" s="30" t="n"/>
      <c r="J1193" s="31" t="n"/>
      <c r="K1193" s="43" t="n"/>
      <c r="L1193" s="32" t="n"/>
      <c r="N1193" s="34" t="n"/>
      <c r="O1193" s="33" t="n"/>
      <c r="P1193" s="34" t="n"/>
      <c r="Q1193" s="36" t="n"/>
    </row>
    <row r="1194">
      <c r="C1194" s="36" t="n"/>
      <c r="D1194" s="36" t="n"/>
      <c r="E1194" s="36" t="n"/>
      <c r="F1194" s="36" t="n"/>
      <c r="G1194" s="42" t="n"/>
      <c r="H1194" s="30" t="n"/>
      <c r="I1194" s="30" t="n"/>
      <c r="J1194" s="31" t="n"/>
      <c r="K1194" s="43" t="n"/>
      <c r="L1194" s="32" t="n"/>
      <c r="N1194" s="34" t="n"/>
      <c r="O1194" s="33" t="n"/>
      <c r="P1194" s="34" t="n"/>
      <c r="Q1194" s="36" t="n"/>
    </row>
    <row r="1195">
      <c r="C1195" s="36" t="n"/>
      <c r="D1195" s="36" t="n"/>
      <c r="E1195" s="36" t="n"/>
      <c r="F1195" s="36" t="n"/>
      <c r="G1195" s="42" t="n"/>
      <c r="H1195" s="30" t="n"/>
      <c r="I1195" s="30" t="n"/>
      <c r="J1195" s="31" t="n"/>
      <c r="K1195" s="36" t="n"/>
      <c r="L1195" s="32" t="n"/>
      <c r="N1195" s="34" t="n"/>
      <c r="O1195" s="33" t="n"/>
      <c r="P1195" s="34" t="n"/>
      <c r="Q1195" s="36" t="n"/>
    </row>
    <row r="1196">
      <c r="C1196" s="36" t="n"/>
      <c r="D1196" s="36" t="n"/>
      <c r="E1196" s="36" t="n"/>
      <c r="F1196" s="36" t="n"/>
      <c r="G1196" s="42" t="n"/>
      <c r="H1196" s="30" t="n"/>
      <c r="I1196" s="30" t="n"/>
      <c r="J1196" s="31" t="n"/>
      <c r="K1196" s="43" t="n"/>
      <c r="L1196" s="32" t="n"/>
      <c r="N1196" s="34" t="n"/>
      <c r="O1196" s="33" t="n"/>
      <c r="P1196" s="34" t="n"/>
      <c r="Q1196" s="36" t="n"/>
    </row>
    <row r="1197">
      <c r="C1197" s="36" t="n"/>
      <c r="D1197" s="36" t="n"/>
      <c r="E1197" s="36" t="n"/>
      <c r="F1197" s="36" t="n"/>
      <c r="G1197" s="42" t="n"/>
      <c r="H1197" s="30" t="n"/>
      <c r="I1197" s="30" t="n"/>
      <c r="J1197" s="31" t="n"/>
      <c r="K1197" s="43" t="n"/>
      <c r="L1197" s="32" t="n"/>
      <c r="N1197" s="34" t="n"/>
      <c r="O1197" s="33" t="n"/>
      <c r="P1197" s="34" t="n"/>
      <c r="Q1197" s="36" t="n"/>
    </row>
    <row r="1198">
      <c r="C1198" s="36" t="n"/>
      <c r="D1198" s="36" t="n"/>
      <c r="E1198" s="36" t="n"/>
      <c r="F1198" s="36" t="n"/>
      <c r="G1198" s="42" t="n"/>
      <c r="H1198" s="30" t="n"/>
      <c r="I1198" s="30" t="n"/>
      <c r="J1198" s="31" t="n"/>
      <c r="K1198" s="43" t="n"/>
      <c r="L1198" s="32" t="n"/>
      <c r="N1198" s="34" t="n"/>
      <c r="O1198" s="33" t="n"/>
      <c r="P1198" s="34" t="n"/>
      <c r="Q1198" s="36" t="n"/>
    </row>
    <row r="1199">
      <c r="C1199" s="36" t="n"/>
      <c r="D1199" s="36" t="n"/>
      <c r="E1199" s="36" t="n"/>
      <c r="F1199" s="36" t="n"/>
      <c r="G1199" s="42" t="n"/>
      <c r="H1199" s="30" t="n"/>
      <c r="I1199" s="30" t="n"/>
      <c r="J1199" s="31" t="n"/>
      <c r="K1199" s="43" t="n"/>
      <c r="L1199" s="32" t="n"/>
      <c r="N1199" s="34" t="n"/>
      <c r="O1199" s="33" t="n"/>
      <c r="P1199" s="34" t="n"/>
      <c r="Q1199" s="36" t="n"/>
    </row>
    <row r="1200">
      <c r="C1200" s="36" t="n"/>
      <c r="D1200" s="36" t="n"/>
      <c r="E1200" s="36" t="n"/>
      <c r="F1200" s="36" t="n"/>
      <c r="G1200" s="42" t="n"/>
      <c r="H1200" s="30" t="n"/>
      <c r="I1200" s="30" t="n"/>
      <c r="J1200" s="31" t="n"/>
      <c r="K1200" s="43" t="n"/>
      <c r="L1200" s="32" t="n"/>
      <c r="N1200" s="34" t="n"/>
      <c r="O1200" s="33" t="n"/>
      <c r="P1200" s="34" t="n"/>
      <c r="Q1200" s="36" t="n"/>
    </row>
    <row r="1201">
      <c r="C1201" s="36" t="n"/>
      <c r="D1201" s="36" t="n"/>
      <c r="E1201" s="36" t="n"/>
      <c r="F1201" s="36" t="n"/>
      <c r="G1201" s="42" t="n"/>
      <c r="H1201" s="30" t="n"/>
      <c r="I1201" s="30" t="n"/>
      <c r="J1201" s="31" t="n"/>
      <c r="K1201" s="43" t="n"/>
      <c r="L1201" s="32" t="n"/>
      <c r="N1201" s="34" t="n"/>
      <c r="O1201" s="33" t="n"/>
      <c r="P1201" s="34" t="n"/>
      <c r="Q1201" s="36" t="n"/>
    </row>
    <row r="1202">
      <c r="C1202" s="36" t="n"/>
      <c r="D1202" s="36" t="n"/>
      <c r="E1202" s="36" t="n"/>
      <c r="F1202" s="36" t="n"/>
      <c r="G1202" s="42" t="n"/>
      <c r="H1202" s="30" t="n"/>
      <c r="I1202" s="30" t="n"/>
      <c r="J1202" s="31" t="n"/>
      <c r="K1202" s="43" t="n"/>
      <c r="L1202" s="32" t="n"/>
      <c r="N1202" s="34" t="n"/>
      <c r="O1202" s="33" t="n"/>
      <c r="P1202" s="34" t="n"/>
      <c r="Q1202" s="36" t="n"/>
    </row>
    <row r="1203">
      <c r="C1203" s="36" t="n"/>
      <c r="D1203" s="36" t="n"/>
      <c r="E1203" s="36" t="n"/>
      <c r="F1203" s="36" t="n"/>
      <c r="G1203" s="42" t="n"/>
      <c r="H1203" s="30" t="n"/>
      <c r="I1203" s="30" t="n"/>
      <c r="J1203" s="31" t="n"/>
      <c r="K1203" s="43" t="n"/>
      <c r="L1203" s="32" t="n"/>
      <c r="N1203" s="34" t="n"/>
      <c r="O1203" s="33" t="n"/>
      <c r="P1203" s="34" t="n"/>
      <c r="Q1203" s="36" t="n"/>
    </row>
    <row r="1204">
      <c r="C1204" s="36" t="n"/>
      <c r="D1204" s="36" t="n"/>
      <c r="E1204" s="36" t="n"/>
      <c r="F1204" s="36" t="n"/>
      <c r="G1204" s="42" t="n"/>
      <c r="H1204" s="30" t="n"/>
      <c r="I1204" s="30" t="n"/>
      <c r="J1204" s="31" t="n"/>
      <c r="K1204" s="43" t="n"/>
      <c r="L1204" s="32" t="n"/>
      <c r="N1204" s="34" t="n"/>
      <c r="O1204" s="33" t="n"/>
      <c r="P1204" s="34" t="n"/>
      <c r="Q1204" s="36" t="n"/>
    </row>
    <row r="1205">
      <c r="C1205" s="36" t="n"/>
      <c r="D1205" s="36" t="n"/>
      <c r="E1205" s="36" t="n"/>
      <c r="F1205" s="36" t="n"/>
      <c r="G1205" s="42" t="n"/>
      <c r="H1205" s="30" t="n"/>
      <c r="I1205" s="30" t="n"/>
      <c r="J1205" s="31" t="n"/>
      <c r="K1205" s="43" t="n"/>
      <c r="L1205" s="32" t="n"/>
      <c r="N1205" s="34" t="n"/>
      <c r="O1205" s="33" t="n"/>
      <c r="P1205" s="34" t="n"/>
      <c r="Q1205" s="36" t="n"/>
    </row>
    <row r="1206">
      <c r="C1206" s="36" t="n"/>
      <c r="D1206" s="36" t="n"/>
      <c r="E1206" s="36" t="n"/>
      <c r="F1206" s="36" t="n"/>
      <c r="G1206" s="42" t="n"/>
      <c r="H1206" s="30" t="n"/>
      <c r="I1206" s="30" t="n"/>
      <c r="J1206" s="31" t="n"/>
      <c r="K1206" s="43" t="n"/>
      <c r="L1206" s="32" t="n"/>
      <c r="N1206" s="34" t="n"/>
      <c r="O1206" s="33" t="n"/>
      <c r="P1206" s="34" t="n"/>
      <c r="Q1206" s="36" t="n"/>
    </row>
    <row r="1207">
      <c r="C1207" s="36" t="n"/>
      <c r="D1207" s="36" t="n"/>
      <c r="E1207" s="36" t="n"/>
      <c r="F1207" s="36" t="n"/>
      <c r="G1207" s="42" t="n"/>
      <c r="H1207" s="30" t="n"/>
      <c r="I1207" s="30" t="n"/>
      <c r="J1207" s="31" t="n"/>
      <c r="K1207" s="43" t="n"/>
      <c r="L1207" s="32" t="n"/>
      <c r="N1207" s="34" t="n"/>
      <c r="O1207" s="33" t="n"/>
      <c r="P1207" s="34" t="n"/>
      <c r="Q1207" s="36" t="n"/>
    </row>
    <row r="1208">
      <c r="C1208" s="36" t="n"/>
      <c r="D1208" s="36" t="n"/>
      <c r="E1208" s="36" t="n"/>
      <c r="F1208" s="36" t="n"/>
      <c r="G1208" s="42" t="n"/>
      <c r="H1208" s="30" t="n"/>
      <c r="I1208" s="30" t="n"/>
      <c r="J1208" s="31" t="n"/>
      <c r="K1208" s="43" t="n"/>
      <c r="L1208" s="32" t="n"/>
      <c r="N1208" s="34" t="n"/>
      <c r="O1208" s="33" t="n"/>
      <c r="P1208" s="34" t="n"/>
      <c r="Q1208" s="36" t="n"/>
    </row>
    <row r="1209">
      <c r="C1209" s="36" t="n"/>
      <c r="D1209" s="36" t="n"/>
      <c r="E1209" s="36" t="n"/>
      <c r="F1209" s="36" t="n"/>
      <c r="G1209" s="42" t="n"/>
      <c r="H1209" s="30" t="n"/>
      <c r="I1209" s="30" t="n"/>
      <c r="J1209" s="31" t="n"/>
      <c r="K1209" s="43" t="n"/>
      <c r="L1209" s="32" t="n"/>
      <c r="N1209" s="34" t="n"/>
      <c r="O1209" s="33" t="n"/>
      <c r="P1209" s="34" t="n"/>
      <c r="Q1209" s="36" t="n"/>
    </row>
    <row r="1210">
      <c r="C1210" s="36" t="n"/>
      <c r="D1210" s="36" t="n"/>
      <c r="E1210" s="36" t="n"/>
      <c r="F1210" s="36" t="n"/>
      <c r="G1210" s="42" t="n"/>
      <c r="H1210" s="30" t="n"/>
      <c r="I1210" s="30" t="n"/>
      <c r="J1210" s="31" t="n"/>
      <c r="K1210" s="43" t="n"/>
      <c r="L1210" s="32" t="n"/>
      <c r="N1210" s="34" t="n"/>
      <c r="O1210" s="33" t="n"/>
      <c r="P1210" s="34" t="n"/>
      <c r="Q1210" s="36" t="n"/>
    </row>
    <row r="1211">
      <c r="C1211" s="36" t="n"/>
      <c r="D1211" s="36" t="n"/>
      <c r="E1211" s="36" t="n"/>
      <c r="F1211" s="36" t="n"/>
      <c r="G1211" s="42" t="n"/>
      <c r="H1211" s="30" t="n"/>
      <c r="I1211" s="30" t="n"/>
      <c r="J1211" s="31" t="n"/>
      <c r="K1211" s="43" t="n"/>
      <c r="L1211" s="32" t="n"/>
      <c r="N1211" s="34" t="n"/>
      <c r="O1211" s="33" t="n"/>
      <c r="P1211" s="34" t="n"/>
      <c r="Q1211" s="36" t="n"/>
    </row>
    <row r="1212">
      <c r="C1212" s="36" t="n"/>
      <c r="D1212" s="36" t="n"/>
      <c r="E1212" s="36" t="n"/>
      <c r="F1212" s="36" t="n"/>
      <c r="G1212" s="42" t="n"/>
      <c r="H1212" s="30" t="n"/>
      <c r="I1212" s="30" t="n"/>
      <c r="J1212" s="31" t="n"/>
      <c r="K1212" s="43" t="n"/>
      <c r="L1212" s="32" t="n"/>
      <c r="N1212" s="34" t="n"/>
      <c r="O1212" s="33" t="n"/>
      <c r="P1212" s="34" t="n"/>
      <c r="Q1212" s="36" t="n"/>
    </row>
    <row r="1213">
      <c r="C1213" s="36" t="n"/>
      <c r="D1213" s="36" t="n"/>
      <c r="E1213" s="36" t="n"/>
      <c r="F1213" s="36" t="n"/>
      <c r="G1213" s="42" t="n"/>
      <c r="H1213" s="30" t="n"/>
      <c r="I1213" s="30" t="n"/>
      <c r="J1213" s="31" t="n"/>
      <c r="K1213" s="43" t="n"/>
      <c r="L1213" s="32" t="n"/>
      <c r="N1213" s="34" t="n"/>
      <c r="O1213" s="33" t="n"/>
      <c r="P1213" s="34" t="n"/>
      <c r="Q1213" s="36" t="n"/>
    </row>
    <row r="1214">
      <c r="C1214" s="36" t="n"/>
      <c r="D1214" s="36" t="n"/>
      <c r="E1214" s="36" t="n"/>
      <c r="F1214" s="36" t="n"/>
      <c r="G1214" s="42" t="n"/>
      <c r="H1214" s="30" t="n"/>
      <c r="I1214" s="30" t="n"/>
      <c r="J1214" s="31" t="n"/>
      <c r="K1214" s="43" t="n"/>
      <c r="L1214" s="32" t="n"/>
      <c r="N1214" s="34" t="n"/>
      <c r="O1214" s="33" t="n"/>
      <c r="P1214" s="34" t="n"/>
      <c r="Q1214" s="36" t="n"/>
    </row>
    <row r="1215">
      <c r="C1215" s="36" t="n"/>
      <c r="D1215" s="36" t="n"/>
      <c r="E1215" s="36" t="n"/>
      <c r="F1215" s="36" t="n"/>
      <c r="G1215" s="42" t="n"/>
      <c r="H1215" s="30" t="n"/>
      <c r="I1215" s="30" t="n"/>
      <c r="J1215" s="31" t="n"/>
      <c r="K1215" s="43" t="n"/>
      <c r="L1215" s="32" t="n"/>
      <c r="N1215" s="34" t="n"/>
      <c r="O1215" s="33" t="n"/>
      <c r="P1215" s="34" t="n"/>
      <c r="Q1215" s="36" t="n"/>
    </row>
    <row r="1216">
      <c r="C1216" s="36" t="n"/>
      <c r="D1216" s="36" t="n"/>
      <c r="E1216" s="36" t="n"/>
      <c r="F1216" s="36" t="n"/>
      <c r="G1216" s="42" t="n"/>
      <c r="H1216" s="30" t="n"/>
      <c r="I1216" s="30" t="n"/>
      <c r="J1216" s="31" t="n"/>
      <c r="K1216" s="43" t="n"/>
      <c r="L1216" s="32" t="n"/>
      <c r="N1216" s="34" t="n"/>
      <c r="O1216" s="33" t="n"/>
      <c r="P1216" s="34" t="n"/>
      <c r="Q1216" s="36" t="n"/>
    </row>
    <row r="1217">
      <c r="C1217" s="36" t="n"/>
      <c r="D1217" s="36" t="n"/>
      <c r="E1217" s="36" t="n"/>
      <c r="F1217" s="36" t="n"/>
      <c r="G1217" s="42" t="n"/>
      <c r="H1217" s="30" t="n"/>
      <c r="I1217" s="30" t="n"/>
      <c r="J1217" s="31" t="n"/>
      <c r="K1217" s="43" t="n"/>
      <c r="L1217" s="32" t="n"/>
      <c r="N1217" s="34" t="n"/>
      <c r="O1217" s="33" t="n"/>
      <c r="P1217" s="34" t="n"/>
      <c r="Q1217" s="36" t="n"/>
    </row>
    <row r="1218">
      <c r="C1218" s="36" t="n"/>
      <c r="D1218" s="36" t="n"/>
      <c r="E1218" s="36" t="n"/>
      <c r="F1218" s="36" t="n"/>
      <c r="G1218" s="42" t="n"/>
      <c r="H1218" s="30" t="n"/>
      <c r="I1218" s="30" t="n"/>
      <c r="J1218" s="31" t="n"/>
      <c r="K1218" s="43" t="n"/>
      <c r="L1218" s="32" t="n"/>
      <c r="N1218" s="34" t="n"/>
      <c r="O1218" s="33" t="n"/>
      <c r="P1218" s="34" t="n"/>
      <c r="Q1218" s="36" t="n"/>
    </row>
    <row r="1219">
      <c r="C1219" s="36" t="n"/>
      <c r="D1219" s="36" t="n"/>
      <c r="E1219" s="36" t="n"/>
      <c r="F1219" s="36" t="n"/>
      <c r="G1219" s="42" t="n"/>
      <c r="H1219" s="30" t="n"/>
      <c r="I1219" s="30" t="n"/>
      <c r="J1219" s="31" t="n"/>
      <c r="K1219" s="43" t="n"/>
      <c r="L1219" s="32" t="n"/>
      <c r="N1219" s="34" t="n"/>
      <c r="O1219" s="33" t="n"/>
      <c r="P1219" s="34" t="n"/>
      <c r="Q1219" s="36" t="n"/>
    </row>
    <row r="1220">
      <c r="C1220" s="36" t="n"/>
      <c r="D1220" s="36" t="n"/>
      <c r="E1220" s="36" t="n"/>
      <c r="F1220" s="36" t="n"/>
      <c r="G1220" s="42" t="n"/>
      <c r="H1220" s="30" t="n"/>
      <c r="I1220" s="30" t="n"/>
      <c r="J1220" s="31" t="n"/>
      <c r="K1220" s="43" t="n"/>
      <c r="L1220" s="32" t="n"/>
      <c r="N1220" s="34" t="n"/>
      <c r="O1220" s="33" t="n"/>
      <c r="P1220" s="34" t="n"/>
      <c r="Q1220" s="36" t="n"/>
    </row>
    <row r="1221">
      <c r="C1221" s="36" t="n"/>
      <c r="D1221" s="36" t="n"/>
      <c r="E1221" s="36" t="n"/>
      <c r="F1221" s="36" t="n"/>
      <c r="G1221" s="42" t="n"/>
      <c r="H1221" s="30" t="n"/>
      <c r="I1221" s="30" t="n"/>
      <c r="J1221" s="31" t="n"/>
      <c r="K1221" s="43" t="n"/>
      <c r="L1221" s="32" t="n"/>
      <c r="N1221" s="34" t="n"/>
      <c r="O1221" s="33" t="n"/>
      <c r="P1221" s="34" t="n"/>
      <c r="Q1221" s="36" t="n"/>
    </row>
    <row r="1222">
      <c r="C1222" s="36" t="n"/>
      <c r="D1222" s="36" t="n"/>
      <c r="E1222" s="36" t="n"/>
      <c r="F1222" s="36" t="n"/>
      <c r="G1222" s="42" t="n"/>
      <c r="H1222" s="30" t="n"/>
      <c r="I1222" s="30" t="n"/>
      <c r="J1222" s="31" t="n"/>
      <c r="K1222" s="43" t="n"/>
      <c r="L1222" s="32" t="n"/>
      <c r="N1222" s="34" t="n"/>
      <c r="O1222" s="33" t="n"/>
      <c r="P1222" s="34" t="n"/>
      <c r="Q1222" s="36" t="n"/>
    </row>
    <row r="1223">
      <c r="C1223" s="36" t="n"/>
      <c r="D1223" s="36" t="n"/>
      <c r="E1223" s="36" t="n"/>
      <c r="F1223" s="36" t="n"/>
      <c r="G1223" s="42" t="n"/>
      <c r="H1223" s="30" t="n"/>
      <c r="I1223" s="30" t="n"/>
      <c r="J1223" s="31" t="n"/>
      <c r="K1223" s="43" t="n"/>
      <c r="L1223" s="32" t="n"/>
      <c r="N1223" s="34" t="n"/>
      <c r="O1223" s="33" t="n"/>
      <c r="P1223" s="34" t="n"/>
      <c r="Q1223" s="36" t="n"/>
    </row>
    <row r="1224">
      <c r="C1224" s="36" t="n"/>
      <c r="D1224" s="36" t="n"/>
      <c r="E1224" s="36" t="n"/>
      <c r="F1224" s="36" t="n"/>
      <c r="G1224" s="42" t="n"/>
      <c r="H1224" s="30" t="n"/>
      <c r="I1224" s="30" t="n"/>
      <c r="J1224" s="31" t="n"/>
      <c r="K1224" s="43" t="n"/>
      <c r="L1224" s="32" t="n"/>
      <c r="N1224" s="34" t="n"/>
      <c r="O1224" s="33" t="n"/>
      <c r="P1224" s="34" t="n"/>
      <c r="Q1224" s="36" t="n"/>
    </row>
    <row r="1225">
      <c r="C1225" s="36" t="n"/>
      <c r="D1225" s="36" t="n"/>
      <c r="E1225" s="36" t="n"/>
      <c r="F1225" s="36" t="n"/>
      <c r="G1225" s="42" t="n"/>
      <c r="H1225" s="30" t="n"/>
      <c r="I1225" s="30" t="n"/>
      <c r="J1225" s="31" t="n"/>
      <c r="K1225" s="43" t="n"/>
      <c r="L1225" s="32" t="n"/>
      <c r="N1225" s="34" t="n"/>
      <c r="O1225" s="33" t="n"/>
      <c r="P1225" s="34" t="n"/>
      <c r="Q1225" s="36" t="n"/>
    </row>
    <row r="1226">
      <c r="C1226" s="36" t="n"/>
      <c r="D1226" s="36" t="n"/>
      <c r="E1226" s="36" t="n"/>
      <c r="F1226" s="36" t="n"/>
      <c r="G1226" s="42" t="n"/>
      <c r="H1226" s="30" t="n"/>
      <c r="I1226" s="30" t="n"/>
      <c r="J1226" s="31" t="n"/>
      <c r="K1226" s="43" t="n"/>
      <c r="L1226" s="32" t="n"/>
      <c r="N1226" s="34" t="n"/>
      <c r="O1226" s="33" t="n"/>
      <c r="P1226" s="34" t="n"/>
      <c r="Q1226" s="36" t="n"/>
    </row>
    <row r="1227">
      <c r="C1227" s="36" t="n"/>
      <c r="D1227" s="36" t="n"/>
      <c r="E1227" s="36" t="n"/>
      <c r="F1227" s="36" t="n"/>
      <c r="G1227" s="42" t="n"/>
      <c r="H1227" s="30" t="n"/>
      <c r="I1227" s="30" t="n"/>
      <c r="J1227" s="31" t="n"/>
      <c r="K1227" s="43" t="n"/>
      <c r="L1227" s="32" t="n"/>
      <c r="N1227" s="34" t="n"/>
      <c r="O1227" s="33" t="n"/>
      <c r="P1227" s="34" t="n"/>
      <c r="Q1227" s="36" t="n"/>
    </row>
    <row r="1228">
      <c r="C1228" s="36" t="n"/>
      <c r="D1228" s="36" t="n"/>
      <c r="E1228" s="36" t="n"/>
      <c r="F1228" s="36" t="n"/>
      <c r="G1228" s="42" t="n"/>
      <c r="H1228" s="30" t="n"/>
      <c r="I1228" s="30" t="n"/>
      <c r="J1228" s="31" t="n"/>
      <c r="K1228" s="43" t="n"/>
      <c r="L1228" s="32" t="n"/>
      <c r="N1228" s="34" t="n"/>
      <c r="O1228" s="33" t="n"/>
      <c r="P1228" s="34" t="n"/>
      <c r="Q1228" s="36" t="n"/>
    </row>
    <row r="1229">
      <c r="C1229" s="36" t="n"/>
      <c r="D1229" s="36" t="n"/>
      <c r="E1229" s="36" t="n"/>
      <c r="F1229" s="36" t="n"/>
      <c r="G1229" s="42" t="n"/>
      <c r="H1229" s="30" t="n"/>
      <c r="I1229" s="30" t="n"/>
      <c r="J1229" s="31" t="n"/>
      <c r="K1229" s="43" t="n"/>
      <c r="L1229" s="32" t="n"/>
      <c r="N1229" s="34" t="n"/>
      <c r="O1229" s="33" t="n"/>
      <c r="P1229" s="34" t="n"/>
      <c r="Q1229" s="36" t="n"/>
    </row>
    <row r="1230">
      <c r="C1230" s="36" t="n"/>
      <c r="D1230" s="36" t="n"/>
      <c r="E1230" s="36" t="n"/>
      <c r="F1230" s="36" t="n"/>
      <c r="G1230" s="42" t="n"/>
      <c r="H1230" s="30" t="n"/>
      <c r="I1230" s="30" t="n"/>
      <c r="J1230" s="31" t="n"/>
      <c r="K1230" s="43" t="n"/>
      <c r="L1230" s="32" t="n"/>
      <c r="N1230" s="34" t="n"/>
      <c r="O1230" s="33" t="n"/>
      <c r="P1230" s="34" t="n"/>
      <c r="Q1230" s="36" t="n"/>
    </row>
    <row r="1231">
      <c r="C1231" s="36" t="n"/>
      <c r="D1231" s="36" t="n"/>
      <c r="E1231" s="36" t="n"/>
      <c r="F1231" s="36" t="n"/>
      <c r="G1231" s="42" t="n"/>
      <c r="H1231" s="30" t="n"/>
      <c r="I1231" s="30" t="n"/>
      <c r="J1231" s="31" t="n"/>
      <c r="K1231" s="43" t="n"/>
      <c r="L1231" s="32" t="n"/>
      <c r="N1231" s="34" t="n"/>
      <c r="O1231" s="33" t="n"/>
      <c r="P1231" s="34" t="n"/>
      <c r="Q1231" s="36" t="n"/>
    </row>
    <row r="1232">
      <c r="C1232" s="36" t="n"/>
      <c r="D1232" s="36" t="n"/>
      <c r="E1232" s="36" t="n"/>
      <c r="F1232" s="36" t="n"/>
      <c r="G1232" s="42" t="n"/>
      <c r="H1232" s="30" t="n"/>
      <c r="I1232" s="30" t="n"/>
      <c r="J1232" s="31" t="n"/>
      <c r="K1232" s="43" t="n"/>
      <c r="L1232" s="32" t="n"/>
      <c r="N1232" s="34" t="n"/>
      <c r="O1232" s="33" t="n"/>
      <c r="P1232" s="34" t="n"/>
      <c r="Q1232" s="36" t="n"/>
    </row>
    <row r="1233">
      <c r="C1233" s="36" t="n"/>
      <c r="D1233" s="36" t="n"/>
      <c r="E1233" s="36" t="n"/>
      <c r="F1233" s="36" t="n"/>
      <c r="G1233" s="42" t="n"/>
      <c r="H1233" s="30" t="n"/>
      <c r="I1233" s="30" t="n"/>
      <c r="J1233" s="31" t="n"/>
      <c r="K1233" s="43" t="n"/>
      <c r="L1233" s="32" t="n"/>
      <c r="N1233" s="34" t="n"/>
      <c r="O1233" s="33" t="n"/>
      <c r="P1233" s="34" t="n"/>
      <c r="Q1233" s="36" t="n"/>
    </row>
    <row r="1234">
      <c r="C1234" s="36" t="n"/>
      <c r="D1234" s="36" t="n"/>
      <c r="E1234" s="36" t="n"/>
      <c r="F1234" s="36" t="n"/>
      <c r="G1234" s="42" t="n"/>
      <c r="H1234" s="30" t="n"/>
      <c r="I1234" s="30" t="n"/>
      <c r="J1234" s="31" t="n"/>
      <c r="K1234" s="43" t="n"/>
      <c r="L1234" s="32" t="n"/>
      <c r="N1234" s="34" t="n"/>
      <c r="O1234" s="33" t="n"/>
      <c r="P1234" s="34" t="n"/>
      <c r="Q1234" s="36" t="n"/>
    </row>
    <row r="1235">
      <c r="C1235" s="36" t="n"/>
      <c r="D1235" s="36" t="n"/>
      <c r="E1235" s="36" t="n"/>
      <c r="F1235" s="36" t="n"/>
      <c r="G1235" s="42" t="n"/>
      <c r="H1235" s="30" t="n"/>
      <c r="I1235" s="30" t="n"/>
      <c r="J1235" s="31" t="n"/>
      <c r="K1235" s="43" t="n"/>
      <c r="L1235" s="32" t="n"/>
      <c r="N1235" s="34" t="n"/>
      <c r="O1235" s="33" t="n"/>
      <c r="P1235" s="34" t="n"/>
      <c r="Q1235" s="36" t="n"/>
    </row>
    <row r="1236">
      <c r="C1236" s="36" t="n"/>
      <c r="D1236" s="36" t="n"/>
      <c r="E1236" s="36" t="n"/>
      <c r="F1236" s="36" t="n"/>
      <c r="G1236" s="42" t="n"/>
      <c r="H1236" s="30" t="n"/>
      <c r="I1236" s="30" t="n"/>
      <c r="J1236" s="31" t="n"/>
      <c r="K1236" s="43" t="n"/>
      <c r="L1236" s="32" t="n"/>
      <c r="N1236" s="34" t="n"/>
      <c r="O1236" s="33" t="n"/>
      <c r="P1236" s="34" t="n"/>
      <c r="Q1236" s="36" t="n"/>
    </row>
    <row r="1237">
      <c r="C1237" s="36" t="n"/>
      <c r="D1237" s="36" t="n"/>
      <c r="E1237" s="36" t="n"/>
      <c r="F1237" s="36" t="n"/>
      <c r="G1237" s="42" t="n"/>
      <c r="H1237" s="30" t="n"/>
      <c r="I1237" s="30" t="n"/>
      <c r="J1237" s="31" t="n"/>
      <c r="K1237" s="43" t="n"/>
      <c r="L1237" s="32" t="n"/>
      <c r="N1237" s="34" t="n"/>
      <c r="O1237" s="33" t="n"/>
      <c r="P1237" s="34" t="n"/>
      <c r="Q1237" s="36" t="n"/>
    </row>
    <row r="1238">
      <c r="C1238" s="36" t="n"/>
      <c r="D1238" s="36" t="n"/>
      <c r="E1238" s="36" t="n"/>
      <c r="F1238" s="36" t="n"/>
      <c r="G1238" s="42" t="n"/>
      <c r="H1238" s="30" t="n"/>
      <c r="I1238" s="30" t="n"/>
      <c r="J1238" s="31" t="n"/>
      <c r="K1238" s="43" t="n"/>
      <c r="L1238" s="32" t="n"/>
      <c r="N1238" s="34" t="n"/>
      <c r="O1238" s="33" t="n"/>
      <c r="P1238" s="34" t="n"/>
      <c r="Q1238" s="36" t="n"/>
    </row>
    <row r="1239">
      <c r="C1239" s="36" t="n"/>
      <c r="D1239" s="36" t="n"/>
      <c r="E1239" s="36" t="n"/>
      <c r="F1239" s="36" t="n"/>
      <c r="G1239" s="42" t="n"/>
      <c r="H1239" s="30" t="n"/>
      <c r="I1239" s="30" t="n"/>
      <c r="J1239" s="31" t="n"/>
      <c r="K1239" s="43" t="n"/>
      <c r="L1239" s="32" t="n"/>
      <c r="N1239" s="34" t="n"/>
      <c r="O1239" s="33" t="n"/>
      <c r="P1239" s="34" t="n"/>
      <c r="Q1239" s="36" t="n"/>
    </row>
    <row r="1240">
      <c r="C1240" s="36" t="n"/>
      <c r="D1240" s="36" t="n"/>
      <c r="E1240" s="36" t="n"/>
      <c r="F1240" s="36" t="n"/>
      <c r="G1240" s="42" t="n"/>
      <c r="H1240" s="30" t="n"/>
      <c r="I1240" s="30" t="n"/>
      <c r="J1240" s="31" t="n"/>
      <c r="K1240" s="43" t="n"/>
      <c r="L1240" s="32" t="n"/>
      <c r="N1240" s="34" t="n"/>
      <c r="O1240" s="33" t="n"/>
      <c r="P1240" s="34" t="n"/>
      <c r="Q1240" s="36" t="n"/>
    </row>
    <row r="1241">
      <c r="C1241" s="36" t="n"/>
      <c r="D1241" s="36" t="n"/>
      <c r="E1241" s="36" t="n"/>
      <c r="F1241" s="36" t="n"/>
      <c r="G1241" s="42" t="n"/>
      <c r="H1241" s="30" t="n"/>
      <c r="I1241" s="30" t="n"/>
      <c r="J1241" s="31" t="n"/>
      <c r="K1241" s="43" t="n"/>
      <c r="L1241" s="32" t="n"/>
      <c r="N1241" s="34" t="n"/>
      <c r="O1241" s="33" t="n"/>
      <c r="P1241" s="34" t="n"/>
      <c r="Q1241" s="36" t="n"/>
    </row>
    <row r="1242">
      <c r="C1242" s="36" t="n"/>
      <c r="D1242" s="36" t="n"/>
      <c r="E1242" s="36" t="n"/>
      <c r="F1242" s="36" t="n"/>
      <c r="G1242" s="42" t="n"/>
      <c r="H1242" s="30" t="n"/>
      <c r="I1242" s="30" t="n"/>
      <c r="J1242" s="31" t="n"/>
      <c r="K1242" s="43" t="n"/>
      <c r="L1242" s="32" t="n"/>
      <c r="N1242" s="34" t="n"/>
      <c r="O1242" s="33" t="n"/>
      <c r="P1242" s="34" t="n"/>
      <c r="Q1242" s="36" t="n"/>
    </row>
    <row r="1243">
      <c r="C1243" s="36" t="n"/>
      <c r="D1243" s="36" t="n"/>
      <c r="E1243" s="36" t="n"/>
      <c r="F1243" s="36" t="n"/>
      <c r="G1243" s="42" t="n"/>
      <c r="H1243" s="30" t="n"/>
      <c r="I1243" s="30" t="n"/>
      <c r="J1243" s="31" t="n"/>
      <c r="K1243" s="43" t="n"/>
      <c r="L1243" s="32" t="n"/>
      <c r="N1243" s="34" t="n"/>
      <c r="O1243" s="33" t="n"/>
      <c r="P1243" s="34" t="n"/>
      <c r="Q1243" s="36" t="n"/>
    </row>
    <row r="1244">
      <c r="C1244" s="36" t="n"/>
      <c r="D1244" s="36" t="n"/>
      <c r="E1244" s="36" t="n"/>
      <c r="F1244" s="36" t="n"/>
      <c r="G1244" s="42" t="n"/>
      <c r="H1244" s="30" t="n"/>
      <c r="I1244" s="30" t="n"/>
      <c r="J1244" s="31" t="n"/>
      <c r="K1244" s="43" t="n"/>
      <c r="L1244" s="32" t="n"/>
      <c r="N1244" s="34" t="n"/>
      <c r="O1244" s="33" t="n"/>
      <c r="P1244" s="34" t="n"/>
      <c r="Q1244" s="36" t="n"/>
    </row>
    <row r="1245">
      <c r="C1245" s="36" t="n"/>
      <c r="D1245" s="36" t="n"/>
      <c r="E1245" s="36" t="n"/>
      <c r="F1245" s="36" t="n"/>
      <c r="G1245" s="42" t="n"/>
      <c r="H1245" s="30" t="n"/>
      <c r="I1245" s="30" t="n"/>
      <c r="J1245" s="31" t="n"/>
      <c r="K1245" s="43" t="n"/>
      <c r="L1245" s="32" t="n"/>
      <c r="N1245" s="34" t="n"/>
      <c r="O1245" s="33" t="n"/>
      <c r="P1245" s="34" t="n"/>
      <c r="Q1245" s="36" t="n"/>
    </row>
    <row r="1246">
      <c r="C1246" s="36" t="n"/>
      <c r="D1246" s="36" t="n"/>
      <c r="E1246" s="36" t="n"/>
      <c r="F1246" s="36" t="n"/>
      <c r="G1246" s="42" t="n"/>
      <c r="H1246" s="30" t="n"/>
      <c r="I1246" s="30" t="n"/>
      <c r="J1246" s="31" t="n"/>
      <c r="K1246" s="43" t="n"/>
      <c r="L1246" s="32" t="n"/>
      <c r="N1246" s="34" t="n"/>
      <c r="O1246" s="33" t="n"/>
      <c r="P1246" s="34" t="n"/>
      <c r="Q1246" s="36" t="n"/>
    </row>
    <row r="1247">
      <c r="C1247" s="36" t="n"/>
      <c r="D1247" s="36" t="n"/>
      <c r="E1247" s="36" t="n"/>
      <c r="F1247" s="36" t="n"/>
      <c r="G1247" s="42" t="n"/>
      <c r="H1247" s="30" t="n"/>
      <c r="I1247" s="30" t="n"/>
      <c r="J1247" s="31" t="n"/>
      <c r="K1247" s="43" t="n"/>
      <c r="L1247" s="32" t="n"/>
      <c r="N1247" s="34" t="n"/>
      <c r="O1247" s="33" t="n"/>
      <c r="P1247" s="34" t="n"/>
      <c r="Q1247" s="36" t="n"/>
    </row>
    <row r="1248">
      <c r="C1248" s="36" t="n"/>
      <c r="D1248" s="36" t="n"/>
      <c r="E1248" s="36" t="n"/>
      <c r="F1248" s="36" t="n"/>
      <c r="G1248" s="42" t="n"/>
      <c r="H1248" s="30" t="n"/>
      <c r="I1248" s="30" t="n"/>
      <c r="J1248" s="31" t="n"/>
      <c r="K1248" s="43" t="n"/>
      <c r="L1248" s="32" t="n"/>
      <c r="N1248" s="34" t="n"/>
      <c r="O1248" s="33" t="n"/>
      <c r="P1248" s="34" t="n"/>
      <c r="Q1248" s="36" t="n"/>
    </row>
    <row r="1249">
      <c r="C1249" s="36" t="n"/>
      <c r="D1249" s="36" t="n"/>
      <c r="E1249" s="36" t="n"/>
      <c r="F1249" s="36" t="n"/>
      <c r="G1249" s="42" t="n"/>
      <c r="H1249" s="30" t="n"/>
      <c r="I1249" s="30" t="n"/>
      <c r="J1249" s="31" t="n"/>
      <c r="K1249" s="43" t="n"/>
      <c r="L1249" s="32" t="n"/>
      <c r="N1249" s="34" t="n"/>
      <c r="O1249" s="33" t="n"/>
      <c r="P1249" s="34" t="n"/>
      <c r="Q1249" s="36" t="n"/>
    </row>
    <row r="1250">
      <c r="C1250" s="36" t="n"/>
      <c r="D1250" s="36" t="n"/>
      <c r="E1250" s="36" t="n"/>
      <c r="F1250" s="36" t="n"/>
      <c r="G1250" s="42" t="n"/>
      <c r="H1250" s="30" t="n"/>
      <c r="I1250" s="30" t="n"/>
      <c r="J1250" s="31" t="n"/>
      <c r="K1250" s="43" t="n"/>
      <c r="L1250" s="32" t="n"/>
      <c r="N1250" s="34" t="n"/>
      <c r="O1250" s="33" t="n"/>
      <c r="P1250" s="34" t="n"/>
      <c r="Q1250" s="36" t="n"/>
    </row>
    <row r="1251">
      <c r="C1251" s="36" t="n"/>
      <c r="D1251" s="36" t="n"/>
      <c r="E1251" s="36" t="n"/>
      <c r="F1251" s="36" t="n"/>
      <c r="G1251" s="42" t="n"/>
      <c r="H1251" s="30" t="n"/>
      <c r="I1251" s="30" t="n"/>
      <c r="J1251" s="31" t="n"/>
      <c r="K1251" s="43" t="n"/>
      <c r="L1251" s="32" t="n"/>
      <c r="N1251" s="34" t="n"/>
      <c r="O1251" s="33" t="n"/>
      <c r="P1251" s="34" t="n"/>
      <c r="Q1251" s="36" t="n"/>
    </row>
    <row r="1252">
      <c r="C1252" s="36" t="n"/>
      <c r="D1252" s="36" t="n"/>
      <c r="E1252" s="36" t="n"/>
      <c r="F1252" s="36" t="n"/>
      <c r="G1252" s="42" t="n"/>
      <c r="H1252" s="30" t="n"/>
      <c r="I1252" s="30" t="n"/>
      <c r="J1252" s="31" t="n"/>
      <c r="K1252" s="43" t="n"/>
      <c r="L1252" s="32" t="n"/>
      <c r="N1252" s="34" t="n"/>
      <c r="O1252" s="33" t="n"/>
      <c r="P1252" s="34" t="n"/>
      <c r="Q1252" s="36" t="n"/>
    </row>
    <row r="1253">
      <c r="C1253" s="36" t="n"/>
      <c r="D1253" s="36" t="n"/>
      <c r="E1253" s="36" t="n"/>
      <c r="F1253" s="95" t="n"/>
      <c r="G1253" s="42" t="n"/>
      <c r="H1253" s="30" t="n"/>
      <c r="I1253" s="30" t="n"/>
      <c r="J1253" s="31" t="n"/>
      <c r="K1253" s="43" t="n"/>
      <c r="L1253" s="32" t="n"/>
      <c r="N1253" s="34" t="n"/>
      <c r="O1253" s="33" t="n"/>
      <c r="P1253" s="34" t="n"/>
      <c r="Q1253" s="36" t="n"/>
    </row>
    <row r="1254">
      <c r="C1254" s="36" t="n"/>
      <c r="D1254" s="36" t="n"/>
      <c r="E1254" s="95" t="n"/>
      <c r="F1254" s="36" t="n"/>
      <c r="G1254" s="42" t="n"/>
      <c r="H1254" s="30" t="n"/>
      <c r="I1254" s="30" t="n"/>
      <c r="J1254" s="31" t="n"/>
      <c r="K1254" s="43" t="n"/>
      <c r="L1254" s="32" t="n"/>
      <c r="N1254" s="34" t="n"/>
      <c r="O1254" s="33" t="n"/>
      <c r="P1254" s="34" t="n"/>
      <c r="Q1254" s="36" t="n"/>
    </row>
    <row r="1255">
      <c r="C1255" s="95" t="n"/>
      <c r="D1255" s="95" t="n"/>
      <c r="E1255" s="36" t="n"/>
      <c r="F1255" s="36" t="n"/>
      <c r="G1255" s="96" t="n"/>
      <c r="H1255" s="97" t="n"/>
      <c r="I1255" s="97" t="n"/>
      <c r="J1255" s="98" t="n"/>
      <c r="K1255" s="99" t="n"/>
      <c r="L1255" s="100" t="n"/>
      <c r="N1255" s="34" t="n"/>
      <c r="O1255" s="33" t="n"/>
      <c r="P1255" s="34" t="n"/>
      <c r="Q1255" s="95" t="n"/>
    </row>
    <row r="1256">
      <c r="C1256" s="36" t="n"/>
      <c r="D1256" s="36" t="n"/>
      <c r="E1256" s="36" t="n"/>
      <c r="F1256" s="36" t="n"/>
      <c r="G1256" s="42" t="n"/>
      <c r="H1256" s="30" t="n"/>
      <c r="I1256" s="30" t="n"/>
      <c r="J1256" s="31" t="n"/>
      <c r="K1256" s="43" t="n"/>
      <c r="L1256" s="32" t="n"/>
      <c r="M1256" s="36" t="n"/>
      <c r="N1256" s="34" t="n"/>
      <c r="O1256" s="33" t="n"/>
      <c r="P1256" s="34" t="n"/>
      <c r="Q1256" s="36" t="n"/>
    </row>
    <row r="1257">
      <c r="C1257" s="36" t="n"/>
      <c r="D1257" s="36" t="n"/>
      <c r="E1257" s="36" t="n"/>
      <c r="F1257" s="36" t="n"/>
      <c r="G1257" s="42" t="n"/>
      <c r="H1257" s="30" t="n"/>
      <c r="I1257" s="30" t="n"/>
      <c r="J1257" s="31" t="n"/>
      <c r="K1257" s="43" t="n"/>
      <c r="L1257" s="32" t="n"/>
      <c r="M1257" s="36" t="n"/>
      <c r="N1257" s="34" t="n"/>
      <c r="O1257" s="33" t="n"/>
      <c r="P1257" s="34" t="n"/>
      <c r="Q1257" s="36" t="n"/>
    </row>
    <row r="1258">
      <c r="C1258" s="36" t="n"/>
      <c r="D1258" s="36" t="n"/>
      <c r="E1258" s="36" t="n"/>
      <c r="F1258" s="36" t="n"/>
      <c r="G1258" s="42" t="n"/>
      <c r="H1258" s="30" t="n"/>
      <c r="I1258" s="30" t="n"/>
      <c r="J1258" s="31" t="n"/>
      <c r="K1258" s="43" t="n"/>
      <c r="L1258" s="32" t="n"/>
      <c r="M1258" s="36" t="n"/>
      <c r="N1258" s="34" t="n"/>
      <c r="O1258" s="33" t="n"/>
      <c r="P1258" s="34" t="n"/>
      <c r="Q1258" s="36" t="n"/>
    </row>
    <row r="1259">
      <c r="C1259" s="36" t="n"/>
      <c r="D1259" s="36" t="n"/>
      <c r="E1259" s="36" t="n"/>
      <c r="F1259" s="36" t="n"/>
      <c r="G1259" s="42" t="n"/>
      <c r="H1259" s="30" t="n"/>
      <c r="I1259" s="30" t="n"/>
      <c r="J1259" s="31" t="n"/>
      <c r="K1259" s="43" t="n"/>
      <c r="L1259" s="32" t="n"/>
      <c r="M1259" s="36" t="n"/>
      <c r="N1259" s="34" t="n"/>
      <c r="O1259" s="33" t="n"/>
      <c r="P1259" s="34" t="n"/>
      <c r="Q1259" s="36" t="n"/>
    </row>
    <row r="1260">
      <c r="C1260" s="36" t="n"/>
      <c r="D1260" s="36" t="n"/>
      <c r="E1260" s="36" t="n"/>
      <c r="F1260" s="36" t="n"/>
      <c r="G1260" s="42" t="n"/>
      <c r="H1260" s="30" t="n"/>
      <c r="I1260" s="30" t="n"/>
      <c r="J1260" s="31" t="n"/>
      <c r="K1260" s="43" t="n"/>
      <c r="L1260" s="32" t="n"/>
      <c r="M1260" s="36" t="n"/>
      <c r="N1260" s="34" t="n"/>
      <c r="O1260" s="33" t="n"/>
      <c r="P1260" s="34" t="n"/>
      <c r="Q1260" s="36" t="n"/>
    </row>
    <row r="1261">
      <c r="C1261" s="36" t="n"/>
      <c r="D1261" s="36" t="n"/>
      <c r="E1261" s="36" t="n"/>
      <c r="F1261" s="36" t="n"/>
      <c r="G1261" s="42" t="n"/>
      <c r="H1261" s="30" t="n"/>
      <c r="I1261" s="30" t="n"/>
      <c r="J1261" s="31" t="n"/>
      <c r="K1261" s="43" t="n"/>
      <c r="L1261" s="32" t="n"/>
      <c r="M1261" s="36" t="n"/>
      <c r="N1261" s="34" t="n"/>
      <c r="O1261" s="33" t="n"/>
      <c r="P1261" s="34" t="n"/>
      <c r="Q1261" s="36" t="n"/>
    </row>
    <row r="1262">
      <c r="C1262" s="36" t="n"/>
      <c r="D1262" s="36" t="n"/>
      <c r="E1262" s="36" t="n"/>
      <c r="F1262" s="36" t="n"/>
      <c r="G1262" s="42" t="n"/>
      <c r="H1262" s="30" t="n"/>
      <c r="I1262" s="30" t="n"/>
      <c r="J1262" s="31" t="n"/>
      <c r="K1262" s="43" t="n"/>
      <c r="L1262" s="32" t="n"/>
      <c r="M1262" s="36" t="n"/>
      <c r="N1262" s="34" t="n"/>
      <c r="O1262" s="33" t="n"/>
      <c r="P1262" s="34" t="n"/>
      <c r="Q1262" s="36" t="n"/>
    </row>
    <row r="1263">
      <c r="C1263" s="36" t="n"/>
      <c r="D1263" s="36" t="n"/>
      <c r="E1263" s="36" t="n"/>
      <c r="F1263" s="36" t="n"/>
      <c r="G1263" s="42" t="n"/>
      <c r="H1263" s="30" t="n"/>
      <c r="I1263" s="30" t="n"/>
      <c r="J1263" s="31" t="n"/>
      <c r="K1263" s="43" t="n"/>
      <c r="L1263" s="32" t="n"/>
      <c r="M1263" s="36" t="n"/>
      <c r="N1263" s="34" t="n"/>
      <c r="O1263" s="33" t="n"/>
      <c r="P1263" s="34" t="n"/>
      <c r="Q1263" s="36" t="n"/>
    </row>
    <row r="1264">
      <c r="C1264" s="36" t="n"/>
      <c r="D1264" s="36" t="n"/>
      <c r="E1264" s="36" t="n"/>
      <c r="F1264" s="36" t="n"/>
      <c r="G1264" s="42" t="n"/>
      <c r="H1264" s="30" t="n"/>
      <c r="I1264" s="30" t="n"/>
      <c r="J1264" s="31" t="n"/>
      <c r="K1264" s="43" t="n"/>
      <c r="L1264" s="32" t="n"/>
      <c r="M1264" s="36" t="n"/>
      <c r="N1264" s="34" t="n"/>
      <c r="O1264" s="33" t="n"/>
      <c r="P1264" s="34" t="n"/>
      <c r="Q1264" s="36" t="n"/>
    </row>
    <row r="1265">
      <c r="C1265" s="36" t="n"/>
      <c r="D1265" s="36" t="n"/>
      <c r="E1265" s="36" t="n"/>
      <c r="F1265" s="36" t="n"/>
      <c r="G1265" s="42" t="n"/>
      <c r="H1265" s="30" t="n"/>
      <c r="I1265" s="30" t="n"/>
      <c r="J1265" s="31" t="n"/>
      <c r="K1265" s="43" t="n"/>
      <c r="L1265" s="32" t="n"/>
      <c r="M1265" s="36" t="n"/>
      <c r="N1265" s="34" t="n"/>
      <c r="O1265" s="33" t="n"/>
      <c r="P1265" s="34" t="n"/>
      <c r="Q1265" s="36" t="n"/>
    </row>
    <row r="1266">
      <c r="C1266" s="36" t="n"/>
      <c r="D1266" s="36" t="n"/>
      <c r="E1266" s="36" t="n"/>
      <c r="F1266" s="36" t="n"/>
      <c r="G1266" s="42" t="n"/>
      <c r="H1266" s="30" t="n"/>
      <c r="I1266" s="30" t="n"/>
      <c r="J1266" s="31" t="n"/>
      <c r="K1266" s="43" t="n"/>
      <c r="L1266" s="32" t="n"/>
      <c r="M1266" s="36" t="n"/>
      <c r="N1266" s="34" t="n"/>
      <c r="O1266" s="33" t="n"/>
      <c r="P1266" s="34" t="n"/>
      <c r="Q1266" s="36" t="n"/>
    </row>
    <row r="1267">
      <c r="C1267" s="36" t="n"/>
      <c r="D1267" s="36" t="n"/>
      <c r="E1267" s="36" t="n"/>
      <c r="F1267" s="36" t="n"/>
      <c r="G1267" s="42" t="n"/>
      <c r="H1267" s="30" t="n"/>
      <c r="I1267" s="30" t="n"/>
      <c r="J1267" s="31" t="n"/>
      <c r="K1267" s="43" t="n"/>
      <c r="L1267" s="32" t="n"/>
      <c r="M1267" s="36" t="n"/>
      <c r="N1267" s="34" t="n"/>
      <c r="O1267" s="33" t="n"/>
      <c r="P1267" s="34" t="n"/>
      <c r="Q1267" s="36" t="n"/>
    </row>
    <row r="1268">
      <c r="C1268" s="36" t="n"/>
      <c r="D1268" s="36" t="n"/>
      <c r="E1268" s="36" t="n"/>
      <c r="F1268" s="36" t="n"/>
      <c r="G1268" s="42" t="n"/>
      <c r="H1268" s="30" t="n"/>
      <c r="I1268" s="30" t="n"/>
      <c r="J1268" s="31" t="n"/>
      <c r="K1268" s="43" t="n"/>
      <c r="L1268" s="32" t="n"/>
      <c r="M1268" s="36" t="n"/>
      <c r="N1268" s="36" t="n"/>
      <c r="O1268" s="33" t="n"/>
      <c r="P1268" s="34" t="n"/>
      <c r="Q1268" s="36" t="n"/>
    </row>
    <row r="1269">
      <c r="C1269" s="36" t="n"/>
      <c r="D1269" s="36" t="n"/>
      <c r="E1269" s="36" t="n"/>
      <c r="F1269" s="36" t="n"/>
      <c r="G1269" s="42" t="n"/>
      <c r="H1269" s="30" t="n"/>
      <c r="I1269" s="30" t="n"/>
      <c r="J1269" s="31" t="n"/>
      <c r="K1269" s="43" t="n"/>
      <c r="L1269" s="32" t="n"/>
      <c r="M1269" s="36" t="n"/>
      <c r="N1269" s="36" t="n"/>
      <c r="O1269" s="33" t="n"/>
      <c r="P1269" s="34" t="n"/>
      <c r="Q1269" s="36" t="n"/>
    </row>
    <row r="1270">
      <c r="C1270" s="36" t="n"/>
      <c r="D1270" s="36" t="n"/>
      <c r="E1270" s="36" t="n"/>
      <c r="F1270" s="36" t="n"/>
      <c r="G1270" s="42" t="n"/>
      <c r="H1270" s="30" t="n"/>
      <c r="I1270" s="30" t="n"/>
      <c r="J1270" s="31" t="n"/>
      <c r="K1270" s="43" t="n"/>
      <c r="L1270" s="32" t="n"/>
      <c r="M1270" s="36" t="n"/>
      <c r="N1270" s="34" t="n"/>
      <c r="O1270" s="33" t="n"/>
      <c r="P1270" s="34" t="n"/>
      <c r="Q1270" s="36" t="n"/>
    </row>
    <row r="1271">
      <c r="C1271" s="36" t="n"/>
      <c r="D1271" s="36" t="n"/>
      <c r="E1271" s="36" t="n"/>
      <c r="F1271" s="36" t="n"/>
      <c r="G1271" s="42" t="n"/>
      <c r="H1271" s="30" t="n"/>
      <c r="I1271" s="30" t="n"/>
      <c r="J1271" s="31" t="n"/>
      <c r="K1271" s="43" t="n"/>
      <c r="L1271" s="32" t="n"/>
      <c r="M1271" s="36" t="n"/>
      <c r="N1271" s="34" t="n"/>
      <c r="O1271" s="33" t="n"/>
      <c r="P1271" s="34" t="n"/>
      <c r="Q1271" s="36" t="n"/>
    </row>
    <row r="1272">
      <c r="C1272" s="36" t="n"/>
      <c r="D1272" s="36" t="n"/>
      <c r="E1272" s="36" t="n"/>
      <c r="F1272" s="36" t="n"/>
      <c r="G1272" s="42" t="n"/>
      <c r="H1272" s="30" t="n"/>
      <c r="I1272" s="30" t="n"/>
      <c r="J1272" s="31" t="n"/>
      <c r="K1272" s="43" t="n"/>
      <c r="L1272" s="32" t="n"/>
      <c r="M1272" s="36" t="n"/>
      <c r="N1272" s="34" t="n"/>
      <c r="O1272" s="33" t="n"/>
      <c r="P1272" s="34" t="n"/>
      <c r="Q1272" s="36" t="n"/>
    </row>
    <row r="1273">
      <c r="C1273" s="36" t="n"/>
      <c r="D1273" s="36" t="n"/>
      <c r="E1273" s="36" t="n"/>
      <c r="F1273" s="36" t="n"/>
      <c r="G1273" s="42" t="n"/>
      <c r="H1273" s="30" t="n"/>
      <c r="I1273" s="30" t="n"/>
      <c r="J1273" s="31" t="n"/>
      <c r="K1273" s="43" t="n"/>
      <c r="L1273" s="32" t="n"/>
      <c r="M1273" s="36" t="n"/>
      <c r="N1273" s="34" t="n"/>
      <c r="O1273" s="33" t="n"/>
      <c r="P1273" s="34" t="n"/>
      <c r="Q1273" s="36" t="n"/>
    </row>
    <row r="1274">
      <c r="C1274" s="36" t="n"/>
      <c r="D1274" s="36" t="n"/>
      <c r="E1274" s="36" t="n"/>
      <c r="F1274" s="36" t="n"/>
      <c r="G1274" s="42" t="n"/>
      <c r="H1274" s="30" t="n"/>
      <c r="I1274" s="30" t="n"/>
      <c r="J1274" s="31" t="n"/>
      <c r="K1274" s="43" t="n"/>
      <c r="L1274" s="32" t="n"/>
      <c r="M1274" s="36" t="n"/>
      <c r="N1274" s="34" t="n"/>
      <c r="O1274" s="33" t="n"/>
      <c r="P1274" s="34" t="n"/>
      <c r="Q1274" s="36" t="n"/>
    </row>
    <row r="1275">
      <c r="C1275" s="36" t="n"/>
      <c r="D1275" s="36" t="n"/>
      <c r="E1275" s="36" t="n"/>
      <c r="F1275" s="36" t="n"/>
      <c r="G1275" s="42" t="n"/>
      <c r="H1275" s="30" t="n"/>
      <c r="I1275" s="30" t="n"/>
      <c r="J1275" s="31" t="n"/>
      <c r="K1275" s="43" t="n"/>
      <c r="L1275" s="32" t="n"/>
      <c r="M1275" s="36" t="n"/>
      <c r="N1275" s="34" t="n"/>
      <c r="O1275" s="33" t="n"/>
      <c r="P1275" s="34" t="n"/>
      <c r="Q1275" s="36" t="n"/>
    </row>
    <row r="1276">
      <c r="C1276" s="36" t="n"/>
      <c r="D1276" s="36" t="n"/>
      <c r="E1276" s="36" t="n"/>
      <c r="F1276" s="36" t="n"/>
      <c r="G1276" s="42" t="n"/>
      <c r="H1276" s="30" t="n"/>
      <c r="I1276" s="30" t="n"/>
      <c r="J1276" s="31" t="n"/>
      <c r="K1276" s="43" t="n"/>
      <c r="L1276" s="32" t="n"/>
      <c r="M1276" s="36" t="n"/>
      <c r="N1276" s="34" t="n"/>
      <c r="O1276" s="33" t="n"/>
      <c r="P1276" s="34" t="n"/>
      <c r="Q1276" s="36" t="n"/>
    </row>
    <row r="1277">
      <c r="C1277" s="36" t="n"/>
      <c r="D1277" s="36" t="n"/>
      <c r="E1277" s="36" t="n"/>
      <c r="F1277" s="36" t="n"/>
      <c r="G1277" s="42" t="n"/>
      <c r="H1277" s="30" t="n"/>
      <c r="I1277" s="30" t="n"/>
      <c r="J1277" s="31" t="n"/>
      <c r="K1277" s="43" t="n"/>
      <c r="L1277" s="32" t="n"/>
      <c r="M1277" s="36" t="n"/>
      <c r="N1277" s="34" t="n"/>
      <c r="O1277" s="33" t="n"/>
      <c r="P1277" s="34" t="n"/>
      <c r="Q1277" s="36" t="n"/>
    </row>
    <row r="1278">
      <c r="C1278" s="36" t="n"/>
      <c r="D1278" s="36" t="n"/>
      <c r="E1278" s="36" t="n"/>
      <c r="F1278" s="36" t="n"/>
      <c r="G1278" s="42" t="n"/>
      <c r="H1278" s="30" t="n"/>
      <c r="I1278" s="30" t="n"/>
      <c r="J1278" s="31" t="n"/>
      <c r="K1278" s="43" t="n"/>
      <c r="L1278" s="32" t="n"/>
      <c r="M1278" s="36" t="n"/>
      <c r="N1278" s="34" t="n"/>
      <c r="O1278" s="33" t="n"/>
      <c r="P1278" s="34" t="n"/>
      <c r="Q1278" s="36" t="n"/>
    </row>
    <row r="1279">
      <c r="C1279" s="36" t="n"/>
      <c r="D1279" s="36" t="n"/>
      <c r="E1279" s="36" t="n"/>
      <c r="F1279" s="36" t="n"/>
      <c r="G1279" s="42" t="n"/>
      <c r="H1279" s="30" t="n"/>
      <c r="I1279" s="30" t="n"/>
      <c r="J1279" s="31" t="n"/>
      <c r="K1279" s="43" t="n"/>
      <c r="L1279" s="32" t="n"/>
      <c r="M1279" s="36" t="n"/>
      <c r="N1279" s="34" t="n"/>
      <c r="O1279" s="33" t="n"/>
      <c r="P1279" s="34" t="n"/>
      <c r="Q1279" s="36" t="n"/>
    </row>
    <row r="1280">
      <c r="C1280" s="36" t="n"/>
      <c r="D1280" s="36" t="n"/>
      <c r="E1280" s="36" t="n"/>
      <c r="F1280" s="36" t="n"/>
      <c r="G1280" s="42" t="n"/>
      <c r="H1280" s="30" t="n"/>
      <c r="I1280" s="30" t="n"/>
      <c r="J1280" s="31" t="n"/>
      <c r="K1280" s="43" t="n"/>
      <c r="L1280" s="32" t="n"/>
      <c r="M1280" s="36" t="n"/>
      <c r="N1280" s="34" t="n"/>
      <c r="O1280" s="33" t="n"/>
      <c r="P1280" s="34" t="n"/>
      <c r="Q1280" s="36" t="n"/>
    </row>
    <row r="1281">
      <c r="C1281" s="36" t="n"/>
      <c r="D1281" s="36" t="n"/>
      <c r="E1281" s="36" t="n"/>
      <c r="F1281" s="36" t="n"/>
      <c r="G1281" s="42" t="n"/>
      <c r="H1281" s="30" t="n"/>
      <c r="I1281" s="30" t="n"/>
      <c r="J1281" s="31" t="n"/>
      <c r="K1281" s="43" t="n"/>
      <c r="L1281" s="32" t="n"/>
      <c r="M1281" s="36" t="n"/>
      <c r="N1281" s="34" t="n"/>
      <c r="O1281" s="33" t="n"/>
      <c r="P1281" s="34" t="n"/>
      <c r="Q1281" s="36" t="n"/>
    </row>
    <row r="1282">
      <c r="C1282" s="36" t="n"/>
      <c r="D1282" s="36" t="n"/>
      <c r="E1282" s="36" t="n"/>
      <c r="F1282" s="36" t="n"/>
      <c r="G1282" s="42" t="n"/>
      <c r="H1282" s="30" t="n"/>
      <c r="I1282" s="30" t="n"/>
      <c r="J1282" s="31" t="n"/>
      <c r="K1282" s="43" t="n"/>
      <c r="L1282" s="32" t="n"/>
      <c r="M1282" s="36" t="n"/>
      <c r="N1282" s="34" t="n"/>
      <c r="O1282" s="33" t="n"/>
      <c r="P1282" s="34" t="n"/>
      <c r="Q1282" s="36" t="n"/>
    </row>
    <row r="1283">
      <c r="C1283" s="36" t="n"/>
      <c r="D1283" s="36" t="n"/>
      <c r="E1283" s="36" t="n"/>
      <c r="F1283" s="36" t="n"/>
      <c r="G1283" s="42" t="n"/>
      <c r="H1283" s="30" t="n"/>
      <c r="I1283" s="30" t="n"/>
      <c r="J1283" s="31" t="n"/>
      <c r="K1283" s="43" t="n"/>
      <c r="L1283" s="32" t="n"/>
      <c r="M1283" s="36" t="n"/>
      <c r="N1283" s="34" t="n"/>
      <c r="O1283" s="33" t="n"/>
      <c r="P1283" s="34" t="n"/>
      <c r="Q1283" s="36" t="n"/>
    </row>
    <row r="1284">
      <c r="C1284" s="36" t="n"/>
      <c r="D1284" s="36" t="n"/>
      <c r="E1284" s="36" t="n"/>
      <c r="F1284" s="36" t="n"/>
      <c r="G1284" s="42" t="n"/>
      <c r="H1284" s="30" t="n"/>
      <c r="I1284" s="30" t="n"/>
      <c r="J1284" s="31" t="n"/>
      <c r="K1284" s="43" t="n"/>
      <c r="L1284" s="32" t="n"/>
      <c r="M1284" s="36" t="n"/>
      <c r="N1284" s="34" t="n"/>
      <c r="O1284" s="33" t="n"/>
      <c r="P1284" s="34" t="n"/>
      <c r="Q1284" s="36" t="n"/>
    </row>
    <row r="1285">
      <c r="C1285" s="36" t="n"/>
      <c r="D1285" s="36" t="n"/>
      <c r="E1285" s="36" t="n"/>
      <c r="F1285" s="36" t="n"/>
      <c r="G1285" s="42" t="n"/>
      <c r="H1285" s="30" t="n"/>
      <c r="I1285" s="30" t="n"/>
      <c r="J1285" s="31" t="n"/>
      <c r="K1285" s="43" t="n"/>
      <c r="L1285" s="32" t="n"/>
      <c r="M1285" s="36" t="n"/>
      <c r="N1285" s="34" t="n"/>
      <c r="O1285" s="33" t="n"/>
      <c r="P1285" s="34" t="n"/>
      <c r="Q1285" s="36" t="n"/>
    </row>
    <row r="1286">
      <c r="C1286" s="36" t="n"/>
      <c r="D1286" s="36" t="n"/>
      <c r="E1286" s="36" t="n"/>
      <c r="F1286" s="36" t="n"/>
      <c r="G1286" s="42" t="n"/>
      <c r="H1286" s="30" t="n"/>
      <c r="I1286" s="30" t="n"/>
      <c r="J1286" s="31" t="n"/>
      <c r="K1286" s="43" t="n"/>
      <c r="L1286" s="32" t="n"/>
      <c r="M1286" s="36" t="n"/>
      <c r="N1286" s="34" t="n"/>
      <c r="O1286" s="33" t="n"/>
      <c r="P1286" s="34" t="n"/>
      <c r="Q1286" s="36" t="n"/>
    </row>
    <row r="1287">
      <c r="C1287" s="36" t="n"/>
      <c r="D1287" s="36" t="n"/>
      <c r="E1287" s="36" t="n"/>
      <c r="F1287" s="101" t="n"/>
      <c r="G1287" s="42" t="n"/>
      <c r="H1287" s="30" t="n"/>
      <c r="I1287" s="30" t="n"/>
      <c r="J1287" s="31" t="n"/>
      <c r="K1287" s="43" t="n"/>
      <c r="L1287" s="32" t="n"/>
      <c r="M1287" s="36" t="n"/>
      <c r="N1287" s="34" t="n"/>
      <c r="O1287" s="33" t="n"/>
      <c r="P1287" s="34" t="n"/>
      <c r="Q1287" s="36" t="n"/>
    </row>
    <row r="1288">
      <c r="C1288" s="36" t="n"/>
      <c r="D1288" s="36" t="n"/>
      <c r="E1288" s="101" t="n"/>
      <c r="F1288" s="36" t="n"/>
      <c r="G1288" s="42" t="n"/>
      <c r="H1288" s="30" t="n"/>
      <c r="I1288" s="30" t="n"/>
      <c r="J1288" s="31" t="n"/>
      <c r="K1288" s="43" t="n"/>
      <c r="L1288" s="32" t="n"/>
      <c r="M1288" s="36" t="n"/>
      <c r="N1288" s="34" t="n"/>
      <c r="O1288" s="33" t="n"/>
      <c r="P1288" s="34" t="n"/>
      <c r="Q1288" s="36" t="n"/>
    </row>
    <row r="1289">
      <c r="C1289" s="101" t="n"/>
      <c r="D1289" s="101" t="n"/>
      <c r="E1289" s="36" t="n"/>
      <c r="F1289" s="36" t="n"/>
      <c r="G1289" s="93" t="n"/>
      <c r="H1289" s="102" t="n"/>
      <c r="I1289" s="102" t="n"/>
      <c r="J1289" s="103" t="n"/>
      <c r="K1289" s="104" t="n"/>
      <c r="L1289" s="105" t="n"/>
      <c r="N1289" s="106" t="n"/>
      <c r="O1289" s="33" t="n"/>
      <c r="P1289" s="34" t="n"/>
      <c r="Q1289" s="101" t="n"/>
    </row>
    <row r="1290">
      <c r="C1290" s="36" t="n"/>
      <c r="D1290" s="36" t="n"/>
      <c r="E1290" s="36" t="n"/>
      <c r="F1290" s="36" t="n"/>
      <c r="G1290" s="42" t="n"/>
      <c r="H1290" s="30" t="n"/>
      <c r="I1290" s="30" t="n"/>
      <c r="J1290" s="31" t="n"/>
      <c r="K1290" s="43" t="n"/>
      <c r="L1290" s="32" t="n"/>
      <c r="N1290" s="34" t="n"/>
      <c r="O1290" s="33" t="n"/>
      <c r="P1290" s="34" t="n"/>
      <c r="Q1290" s="36" t="n"/>
    </row>
    <row r="1291">
      <c r="C1291" s="36" t="n"/>
      <c r="D1291" s="36" t="n"/>
      <c r="E1291" s="36" t="n"/>
      <c r="F1291" s="36" t="n"/>
      <c r="G1291" s="42" t="n"/>
      <c r="H1291" s="30" t="n"/>
      <c r="I1291" s="30" t="n"/>
      <c r="J1291" s="31" t="n"/>
      <c r="K1291" s="43" t="n"/>
      <c r="L1291" s="32" t="n"/>
      <c r="N1291" s="34" t="n"/>
      <c r="O1291" s="33" t="n"/>
      <c r="P1291" s="34" t="n"/>
      <c r="Q1291" s="36" t="n"/>
    </row>
    <row r="1292">
      <c r="C1292" s="36" t="n"/>
      <c r="D1292" s="36" t="n"/>
      <c r="E1292" s="36" t="n"/>
      <c r="F1292" s="36" t="n"/>
      <c r="G1292" s="42" t="n"/>
      <c r="H1292" s="30" t="n"/>
      <c r="I1292" s="30" t="n"/>
      <c r="J1292" s="31" t="n"/>
      <c r="K1292" s="43" t="n"/>
      <c r="L1292" s="32" t="n"/>
      <c r="N1292" s="34" t="n"/>
      <c r="O1292" s="33" t="n"/>
      <c r="P1292" s="34" t="n"/>
      <c r="Q1292" s="36" t="n"/>
    </row>
    <row r="1293">
      <c r="C1293" s="36" t="n"/>
      <c r="D1293" s="36" t="n"/>
      <c r="E1293" s="36" t="n"/>
      <c r="F1293" s="36" t="n"/>
      <c r="G1293" s="42" t="n"/>
      <c r="H1293" s="30" t="n"/>
      <c r="I1293" s="30" t="n"/>
      <c r="J1293" s="31" t="n"/>
      <c r="K1293" s="43" t="n"/>
      <c r="L1293" s="32" t="n"/>
      <c r="N1293" s="36" t="n"/>
      <c r="O1293" s="33" t="n"/>
      <c r="P1293" s="34" t="n"/>
      <c r="Q1293" s="36" t="n"/>
    </row>
    <row r="1294">
      <c r="C1294" s="36" t="n"/>
      <c r="D1294" s="36" t="n"/>
      <c r="E1294" s="36" t="n"/>
      <c r="F1294" s="36" t="n"/>
      <c r="G1294" s="42" t="n"/>
      <c r="H1294" s="30" t="n"/>
      <c r="I1294" s="30" t="n"/>
      <c r="J1294" s="31" t="n"/>
      <c r="K1294" s="43" t="n"/>
      <c r="L1294" s="32" t="n"/>
      <c r="N1294" s="36" t="n"/>
      <c r="O1294" s="33" t="n"/>
      <c r="P1294" s="34" t="n"/>
      <c r="Q1294" s="36" t="n"/>
    </row>
    <row r="1295">
      <c r="C1295" s="36" t="n"/>
      <c r="D1295" s="36" t="n"/>
      <c r="E1295" s="36" t="n"/>
      <c r="F1295" s="36" t="n"/>
      <c r="G1295" s="42" t="n"/>
      <c r="H1295" s="30" t="n"/>
      <c r="I1295" s="30" t="n"/>
      <c r="J1295" s="31" t="n"/>
      <c r="K1295" s="43" t="n"/>
      <c r="L1295" s="32" t="n"/>
      <c r="N1295" s="36" t="n"/>
      <c r="O1295" s="33" t="n"/>
      <c r="P1295" s="34" t="n"/>
      <c r="Q1295" s="36" t="n"/>
    </row>
    <row r="1296">
      <c r="C1296" s="36" t="n"/>
      <c r="D1296" s="36" t="n"/>
      <c r="E1296" s="36" t="n"/>
      <c r="F1296" s="36" t="n"/>
      <c r="G1296" s="42" t="n"/>
      <c r="H1296" s="30" t="n"/>
      <c r="I1296" s="30" t="n"/>
      <c r="J1296" s="31" t="n"/>
      <c r="K1296" s="43" t="n"/>
      <c r="L1296" s="32" t="n"/>
      <c r="N1296" s="36" t="n"/>
      <c r="O1296" s="33" t="n"/>
      <c r="P1296" s="34" t="n"/>
      <c r="Q1296" s="36" t="n"/>
    </row>
    <row r="1297">
      <c r="C1297" s="36" t="n"/>
      <c r="D1297" s="36" t="n"/>
      <c r="E1297" s="36" t="n"/>
      <c r="F1297" s="36" t="n"/>
      <c r="G1297" s="42" t="n"/>
      <c r="H1297" s="30" t="n"/>
      <c r="I1297" s="30" t="n"/>
      <c r="J1297" s="31" t="n"/>
      <c r="K1297" s="43" t="n"/>
      <c r="L1297" s="32" t="n"/>
      <c r="N1297" s="36" t="n"/>
      <c r="O1297" s="33" t="n"/>
      <c r="P1297" s="34" t="n"/>
      <c r="Q1297" s="36" t="n"/>
    </row>
    <row r="1298">
      <c r="C1298" s="36" t="n"/>
      <c r="D1298" s="36" t="n"/>
      <c r="E1298" s="36" t="n"/>
      <c r="F1298" s="36" t="n"/>
      <c r="G1298" s="42" t="n"/>
      <c r="H1298" s="30" t="n"/>
      <c r="I1298" s="30" t="n"/>
      <c r="J1298" s="31" t="n"/>
      <c r="K1298" s="43" t="n"/>
      <c r="L1298" s="32" t="n"/>
      <c r="N1298" s="36" t="n"/>
      <c r="O1298" s="33" t="n"/>
      <c r="P1298" s="34" t="n"/>
      <c r="Q1298" s="36" t="n"/>
    </row>
    <row r="1299">
      <c r="C1299" s="36" t="n"/>
      <c r="D1299" s="36" t="n"/>
      <c r="E1299" s="36" t="n"/>
      <c r="F1299" s="36" t="n"/>
      <c r="G1299" s="42" t="n"/>
      <c r="H1299" s="30" t="n"/>
      <c r="I1299" s="30" t="n"/>
      <c r="J1299" s="31" t="n"/>
      <c r="K1299" s="43" t="n"/>
      <c r="L1299" s="32" t="n"/>
      <c r="N1299" s="36" t="n"/>
      <c r="O1299" s="33" t="n"/>
      <c r="P1299" s="34" t="n"/>
      <c r="Q1299" s="36" t="n"/>
    </row>
    <row r="1300">
      <c r="C1300" s="36" t="n"/>
      <c r="D1300" s="36" t="n"/>
      <c r="E1300" s="36" t="n"/>
      <c r="F1300" s="36" t="n"/>
      <c r="G1300" s="42" t="n"/>
      <c r="H1300" s="30" t="n"/>
      <c r="I1300" s="30" t="n"/>
      <c r="J1300" s="31" t="n"/>
      <c r="K1300" s="43" t="n"/>
      <c r="L1300" s="32" t="n"/>
      <c r="N1300" s="36" t="n"/>
      <c r="O1300" s="33" t="n"/>
      <c r="P1300" s="36" t="n"/>
      <c r="Q1300" s="36" t="n"/>
    </row>
    <row r="1301">
      <c r="C1301" s="36" t="n"/>
      <c r="D1301" s="36" t="n"/>
      <c r="E1301" s="36" t="n"/>
      <c r="F1301" s="36" t="n"/>
      <c r="G1301" s="42" t="n"/>
      <c r="H1301" s="30" t="n"/>
      <c r="I1301" s="30" t="n"/>
      <c r="J1301" s="31" t="n"/>
      <c r="K1301" s="43" t="n"/>
      <c r="L1301" s="32" t="n"/>
      <c r="N1301" s="36" t="n"/>
      <c r="O1301" s="36" t="n"/>
      <c r="P1301" s="36" t="n"/>
      <c r="Q1301" s="36" t="n"/>
    </row>
    <row r="1302">
      <c r="C1302" s="36" t="n"/>
      <c r="D1302" s="36" t="n"/>
      <c r="E1302" s="36" t="n"/>
      <c r="F1302" s="36" t="n"/>
      <c r="G1302" s="42" t="n"/>
      <c r="H1302" s="30" t="n"/>
      <c r="I1302" s="30" t="n"/>
      <c r="J1302" s="31" t="n"/>
      <c r="K1302" s="43" t="n"/>
      <c r="L1302" s="32" t="n"/>
      <c r="N1302" s="36" t="n"/>
      <c r="O1302" s="36" t="n"/>
      <c r="P1302" s="36" t="n"/>
      <c r="Q1302" s="36" t="n"/>
    </row>
    <row r="1303">
      <c r="C1303" s="36" t="n"/>
      <c r="D1303" s="36" t="n"/>
      <c r="E1303" s="36" t="n"/>
      <c r="F1303" s="36" t="n"/>
      <c r="G1303" s="42" t="n"/>
      <c r="H1303" s="30" t="n"/>
      <c r="I1303" s="30" t="n"/>
      <c r="J1303" s="31" t="n"/>
      <c r="K1303" s="43" t="n"/>
      <c r="L1303" s="32" t="n"/>
      <c r="N1303" s="36" t="n"/>
      <c r="O1303" s="36" t="n"/>
      <c r="P1303" s="36" t="n"/>
      <c r="Q1303" s="36" t="n"/>
    </row>
    <row r="1304">
      <c r="C1304" s="36" t="n"/>
      <c r="D1304" s="36" t="n"/>
      <c r="E1304" s="36" t="n"/>
      <c r="F1304" s="36" t="n"/>
      <c r="G1304" s="42" t="n"/>
      <c r="H1304" s="30" t="n"/>
      <c r="I1304" s="30" t="n"/>
      <c r="J1304" s="31" t="n"/>
      <c r="K1304" s="43" t="n"/>
      <c r="L1304" s="32" t="n"/>
      <c r="N1304" s="36" t="n"/>
      <c r="O1304" s="36" t="n"/>
      <c r="P1304" s="36" t="n"/>
      <c r="Q1304" s="36" t="n"/>
    </row>
    <row r="1305">
      <c r="C1305" s="36" t="n"/>
      <c r="D1305" s="36" t="n"/>
      <c r="E1305" s="36" t="n"/>
      <c r="F1305" s="36" t="n"/>
      <c r="G1305" s="42" t="n"/>
      <c r="H1305" s="30" t="n"/>
      <c r="I1305" s="30" t="n"/>
      <c r="J1305" s="31" t="n"/>
      <c r="K1305" s="43" t="n"/>
      <c r="L1305" s="32" t="n"/>
      <c r="N1305" s="36" t="n"/>
      <c r="O1305" s="36" t="n"/>
      <c r="P1305" s="36" t="n"/>
      <c r="Q1305" s="36" t="n"/>
    </row>
    <row r="1306">
      <c r="C1306" s="36" t="n"/>
      <c r="D1306" s="36" t="n"/>
      <c r="E1306" s="36" t="n"/>
      <c r="F1306" s="36" t="n"/>
      <c r="G1306" s="42" t="n"/>
      <c r="H1306" s="30" t="n"/>
      <c r="I1306" s="30" t="n"/>
      <c r="J1306" s="31" t="n"/>
      <c r="K1306" s="43" t="n"/>
      <c r="L1306" s="32" t="n"/>
      <c r="N1306" s="36" t="n"/>
      <c r="O1306" s="36" t="n"/>
      <c r="P1306" s="36" t="n"/>
      <c r="Q1306" s="36" t="n"/>
    </row>
    <row r="1307">
      <c r="C1307" s="36" t="n"/>
      <c r="D1307" s="36" t="n"/>
      <c r="E1307" s="36" t="n"/>
      <c r="F1307" s="36" t="n"/>
      <c r="G1307" s="42" t="n"/>
      <c r="H1307" s="30" t="n"/>
      <c r="I1307" s="30" t="n"/>
      <c r="J1307" s="31" t="n"/>
      <c r="K1307" s="43" t="n"/>
      <c r="L1307" s="32" t="n"/>
      <c r="N1307" s="36" t="n"/>
      <c r="O1307" s="36" t="n"/>
      <c r="P1307" s="36" t="n"/>
      <c r="Q1307" s="36" t="n"/>
    </row>
    <row r="1308">
      <c r="C1308" s="36" t="n"/>
      <c r="D1308" s="36" t="n"/>
      <c r="E1308" s="36" t="n"/>
      <c r="F1308" s="36" t="n"/>
      <c r="G1308" s="42" t="n"/>
      <c r="H1308" s="30" t="n"/>
      <c r="I1308" s="30" t="n"/>
      <c r="J1308" s="31" t="n"/>
      <c r="K1308" s="43" t="n"/>
      <c r="L1308" s="32" t="n"/>
      <c r="N1308" s="36" t="n"/>
      <c r="O1308" s="36" t="n"/>
      <c r="P1308" s="36" t="n"/>
      <c r="Q1308" s="36" t="n"/>
    </row>
    <row r="1309">
      <c r="C1309" s="36" t="n"/>
      <c r="D1309" s="36" t="n"/>
      <c r="E1309" s="36" t="n"/>
      <c r="F1309" s="95" t="n"/>
      <c r="G1309" s="42" t="n"/>
      <c r="H1309" s="30" t="n"/>
      <c r="I1309" s="30" t="n"/>
      <c r="J1309" s="31" t="n"/>
      <c r="K1309" s="43" t="n"/>
      <c r="L1309" s="32" t="n"/>
      <c r="N1309" s="36" t="n"/>
      <c r="O1309" s="36" t="n"/>
      <c r="P1309" s="36" t="n"/>
      <c r="Q1309" s="36" t="n"/>
    </row>
    <row r="1310">
      <c r="C1310" s="36" t="n"/>
      <c r="D1310" s="36" t="n"/>
      <c r="E1310" s="95" t="n"/>
      <c r="F1310" s="36" t="n"/>
      <c r="G1310" s="42" t="n"/>
      <c r="H1310" s="30" t="n"/>
      <c r="I1310" s="30" t="n"/>
      <c r="J1310" s="31" t="n"/>
      <c r="K1310" s="43" t="n"/>
      <c r="L1310" s="32" t="n"/>
      <c r="N1310" s="36" t="n"/>
      <c r="O1310" s="36" t="n"/>
      <c r="P1310" s="36" t="n"/>
      <c r="Q1310" s="36" t="n"/>
    </row>
    <row r="1311">
      <c r="C1311" s="95" t="n"/>
      <c r="D1311" s="95" t="n"/>
      <c r="E1311" s="36" t="n"/>
      <c r="F1311" s="36" t="n"/>
      <c r="G1311" s="96" t="n"/>
      <c r="H1311" s="97" t="n"/>
      <c r="I1311" s="97" t="n"/>
      <c r="J1311" s="98" t="n"/>
      <c r="K1311" s="99" t="n"/>
      <c r="L1311" s="100" t="n"/>
      <c r="N1311" s="95" t="n"/>
      <c r="O1311" s="95" t="n"/>
      <c r="P1311" s="95" t="n"/>
      <c r="Q1311" s="95" t="n"/>
    </row>
    <row r="1312">
      <c r="C1312" s="36" t="n"/>
      <c r="D1312" s="36" t="n"/>
      <c r="E1312" s="36" t="n"/>
      <c r="F1312" s="36" t="n"/>
      <c r="G1312" s="42" t="n"/>
      <c r="H1312" s="30" t="n"/>
      <c r="I1312" s="30" t="n"/>
      <c r="J1312" s="31" t="n"/>
      <c r="K1312" s="43" t="n"/>
      <c r="L1312" s="32" t="n"/>
      <c r="M1312" s="36" t="n"/>
      <c r="N1312" s="36" t="n"/>
      <c r="O1312" s="36" t="n"/>
      <c r="P1312" s="36" t="n"/>
      <c r="Q1312" s="36" t="n"/>
    </row>
    <row r="1313">
      <c r="C1313" s="36" t="n"/>
      <c r="D1313" s="36" t="n"/>
      <c r="E1313" s="36" t="n"/>
      <c r="F1313" s="36" t="n"/>
      <c r="G1313" s="42" t="n"/>
      <c r="H1313" s="30" t="n"/>
      <c r="I1313" s="30" t="n"/>
      <c r="J1313" s="31" t="n"/>
      <c r="K1313" s="43" t="n"/>
      <c r="L1313" s="32" t="n"/>
      <c r="M1313" s="36" t="n"/>
      <c r="N1313" s="36" t="n"/>
      <c r="O1313" s="36" t="n"/>
      <c r="P1313" s="36" t="n"/>
      <c r="Q1313" s="36" t="n"/>
    </row>
    <row r="1314">
      <c r="C1314" s="36" t="n"/>
      <c r="D1314" s="36" t="n"/>
      <c r="E1314" s="36" t="n"/>
      <c r="F1314" s="36" t="n"/>
      <c r="G1314" s="42" t="n"/>
      <c r="H1314" s="30" t="n"/>
      <c r="I1314" s="30" t="n"/>
      <c r="J1314" s="31" t="n"/>
      <c r="K1314" s="43" t="n"/>
      <c r="L1314" s="32" t="n"/>
      <c r="M1314" s="36" t="n"/>
      <c r="N1314" s="36" t="n"/>
      <c r="O1314" s="36" t="n"/>
      <c r="P1314" s="36" t="n"/>
      <c r="Q1314" s="36" t="n"/>
    </row>
    <row r="1315">
      <c r="C1315" s="36" t="n"/>
      <c r="D1315" s="36" t="n"/>
      <c r="E1315" s="36" t="n"/>
      <c r="F1315" s="36" t="n"/>
      <c r="G1315" s="42" t="n"/>
      <c r="H1315" s="30" t="n"/>
      <c r="I1315" s="30" t="n"/>
      <c r="J1315" s="31" t="n"/>
      <c r="K1315" s="43" t="n"/>
      <c r="L1315" s="32" t="n"/>
      <c r="M1315" s="36" t="n"/>
      <c r="N1315" s="36" t="n"/>
      <c r="O1315" s="36" t="n"/>
      <c r="P1315" s="36" t="n"/>
      <c r="Q1315" s="36" t="n"/>
    </row>
    <row r="1316">
      <c r="C1316" s="36" t="n"/>
      <c r="D1316" s="36" t="n"/>
      <c r="E1316" s="36" t="n"/>
      <c r="F1316" s="36" t="n"/>
      <c r="G1316" s="42" t="n"/>
      <c r="H1316" s="30" t="n"/>
      <c r="I1316" s="30" t="n"/>
      <c r="J1316" s="31" t="n"/>
      <c r="K1316" s="43" t="n"/>
      <c r="L1316" s="32" t="n"/>
      <c r="M1316" s="36" t="n"/>
      <c r="N1316" s="36" t="n"/>
      <c r="O1316" s="36" t="n"/>
      <c r="P1316" s="36" t="n"/>
      <c r="Q1316" s="36" t="n"/>
    </row>
    <row r="1317">
      <c r="C1317" s="36" t="n"/>
      <c r="D1317" s="36" t="n"/>
      <c r="E1317" s="36" t="n"/>
      <c r="F1317" s="36" t="n"/>
      <c r="G1317" s="42" t="n"/>
      <c r="H1317" s="30" t="n"/>
      <c r="I1317" s="30" t="n"/>
      <c r="J1317" s="31" t="n"/>
      <c r="K1317" s="43" t="n"/>
      <c r="L1317" s="32" t="n"/>
      <c r="M1317" s="36" t="n"/>
      <c r="N1317" s="36" t="n"/>
      <c r="O1317" s="36" t="n"/>
      <c r="P1317" s="36" t="n"/>
      <c r="Q1317" s="36" t="n"/>
    </row>
    <row r="1318">
      <c r="C1318" s="36" t="n"/>
      <c r="D1318" s="36" t="n"/>
      <c r="E1318" s="36" t="n"/>
      <c r="F1318" s="36" t="n"/>
      <c r="G1318" s="42" t="n"/>
      <c r="H1318" s="30" t="n"/>
      <c r="I1318" s="30" t="n"/>
      <c r="J1318" s="31" t="n"/>
      <c r="K1318" s="43" t="n"/>
      <c r="L1318" s="32" t="n"/>
      <c r="M1318" s="36" t="n"/>
      <c r="N1318" s="36" t="n"/>
      <c r="O1318" s="36" t="n"/>
      <c r="P1318" s="36" t="n"/>
      <c r="Q1318" s="36" t="n"/>
    </row>
    <row r="1319">
      <c r="C1319" s="36" t="n"/>
      <c r="D1319" s="36" t="n"/>
      <c r="E1319" s="36" t="n"/>
      <c r="F1319" s="36" t="n"/>
      <c r="G1319" s="42" t="n"/>
      <c r="H1319" s="30" t="n"/>
      <c r="I1319" s="30" t="n"/>
      <c r="J1319" s="31" t="n"/>
      <c r="K1319" s="43" t="n"/>
      <c r="L1319" s="32" t="n"/>
      <c r="M1319" s="36" t="n"/>
      <c r="N1319" s="36" t="n"/>
      <c r="O1319" s="36" t="n"/>
      <c r="P1319" s="36" t="n"/>
      <c r="Q1319" s="36" t="n"/>
    </row>
    <row r="1320">
      <c r="C1320" s="36" t="n"/>
      <c r="D1320" s="36" t="n"/>
      <c r="E1320" s="36" t="n"/>
      <c r="F1320" s="36" t="n"/>
      <c r="G1320" s="42" t="n"/>
      <c r="H1320" s="30" t="n"/>
      <c r="I1320" s="30" t="n"/>
      <c r="J1320" s="31" t="n"/>
      <c r="K1320" s="43" t="n"/>
      <c r="L1320" s="32" t="n"/>
      <c r="M1320" s="36" t="n"/>
      <c r="N1320" s="36" t="n"/>
      <c r="O1320" s="36" t="n"/>
      <c r="P1320" s="36" t="n"/>
      <c r="Q1320" s="36" t="n"/>
    </row>
    <row r="1321">
      <c r="C1321" s="36" t="n"/>
      <c r="D1321" s="36" t="n"/>
      <c r="E1321" s="36" t="n"/>
      <c r="F1321" s="36" t="n"/>
      <c r="G1321" s="42" t="n"/>
      <c r="H1321" s="30" t="n"/>
      <c r="I1321" s="30" t="n"/>
      <c r="J1321" s="31" t="n"/>
      <c r="K1321" s="43" t="n"/>
      <c r="L1321" s="32" t="n"/>
      <c r="M1321" s="36" t="n"/>
      <c r="N1321" s="36" t="n"/>
      <c r="O1321" s="36" t="n"/>
      <c r="P1321" s="36" t="n"/>
      <c r="Q1321" s="36" t="n"/>
    </row>
    <row r="1322">
      <c r="C1322" s="36" t="n"/>
      <c r="D1322" s="36" t="n"/>
      <c r="E1322" s="36" t="n"/>
      <c r="F1322" s="36" t="n"/>
      <c r="G1322" s="42" t="n"/>
      <c r="H1322" s="30" t="n"/>
      <c r="I1322" s="30" t="n"/>
      <c r="J1322" s="31" t="n"/>
      <c r="K1322" s="43" t="n"/>
      <c r="L1322" s="32" t="n"/>
      <c r="M1322" s="36" t="n"/>
      <c r="N1322" s="36" t="n"/>
      <c r="O1322" s="36" t="n"/>
      <c r="P1322" s="36" t="n"/>
      <c r="Q1322" s="36" t="n"/>
    </row>
    <row r="1323">
      <c r="C1323" s="36" t="n"/>
      <c r="D1323" s="36" t="n"/>
      <c r="E1323" s="36" t="n"/>
      <c r="F1323" s="36" t="n"/>
      <c r="G1323" s="42" t="n"/>
      <c r="H1323" s="30" t="n"/>
      <c r="I1323" s="30" t="n"/>
      <c r="J1323" s="31" t="n"/>
      <c r="K1323" s="43" t="n"/>
      <c r="L1323" s="32" t="n"/>
      <c r="M1323" s="36" t="n"/>
      <c r="N1323" s="36" t="n"/>
      <c r="O1323" s="36" t="n"/>
      <c r="P1323" s="36" t="n"/>
      <c r="Q1323" s="36" t="n"/>
    </row>
    <row r="1324">
      <c r="C1324" s="36" t="n"/>
      <c r="D1324" s="36" t="n"/>
      <c r="E1324" s="36" t="n"/>
      <c r="F1324" s="36" t="n"/>
      <c r="G1324" s="42" t="n"/>
      <c r="H1324" s="30" t="n"/>
      <c r="I1324" s="30" t="n"/>
      <c r="J1324" s="31" t="n"/>
      <c r="K1324" s="43" t="n"/>
      <c r="L1324" s="32" t="n"/>
      <c r="M1324" s="36" t="n"/>
      <c r="N1324" s="36" t="n"/>
      <c r="O1324" s="36" t="n"/>
      <c r="P1324" s="36" t="n"/>
      <c r="Q1324" s="36" t="n"/>
    </row>
    <row r="1325">
      <c r="C1325" s="36" t="n"/>
      <c r="D1325" s="36" t="n"/>
      <c r="E1325" s="36" t="n"/>
      <c r="F1325" s="36" t="n"/>
      <c r="G1325" s="42" t="n"/>
      <c r="H1325" s="30" t="n"/>
      <c r="I1325" s="30" t="n"/>
      <c r="J1325" s="31" t="n"/>
      <c r="K1325" s="43" t="n"/>
      <c r="L1325" s="32" t="n"/>
      <c r="M1325" s="36" t="n"/>
      <c r="N1325" s="36" t="n"/>
      <c r="O1325" s="36" t="n"/>
      <c r="P1325" s="36" t="n"/>
      <c r="Q1325" s="36" t="n"/>
    </row>
    <row r="1326">
      <c r="C1326" s="36" t="n"/>
      <c r="D1326" s="36" t="n"/>
      <c r="E1326" s="36" t="n"/>
      <c r="F1326" s="36" t="n"/>
      <c r="G1326" s="42" t="n"/>
      <c r="H1326" s="30" t="n"/>
      <c r="I1326" s="30" t="n"/>
      <c r="J1326" s="31" t="n"/>
      <c r="K1326" s="43" t="n"/>
      <c r="L1326" s="32" t="n"/>
      <c r="M1326" s="36" t="n"/>
      <c r="N1326" s="36" t="n"/>
      <c r="O1326" s="36" t="n"/>
      <c r="P1326" s="36" t="n"/>
      <c r="Q1326" s="36" t="n"/>
    </row>
    <row r="1327">
      <c r="C1327" s="36" t="n"/>
      <c r="D1327" s="36" t="n"/>
      <c r="E1327" s="36" t="n"/>
      <c r="F1327" s="36" t="n"/>
      <c r="G1327" s="42" t="n"/>
      <c r="H1327" s="30" t="n"/>
      <c r="I1327" s="30" t="n"/>
      <c r="J1327" s="31" t="n"/>
      <c r="K1327" s="43" t="n"/>
      <c r="L1327" s="32" t="n"/>
      <c r="M1327" s="36" t="n"/>
      <c r="N1327" s="36" t="n"/>
      <c r="O1327" s="36" t="n"/>
      <c r="P1327" s="36" t="n"/>
      <c r="Q1327" s="36" t="n"/>
    </row>
    <row r="1328">
      <c r="C1328" s="36" t="n"/>
      <c r="D1328" s="36" t="n"/>
      <c r="E1328" s="36" t="n"/>
      <c r="F1328" s="36" t="n"/>
      <c r="G1328" s="42" t="n"/>
      <c r="H1328" s="30" t="n"/>
      <c r="I1328" s="30" t="n"/>
      <c r="J1328" s="31" t="n"/>
      <c r="K1328" s="43" t="n"/>
      <c r="L1328" s="32" t="n"/>
      <c r="M1328" s="36" t="n"/>
      <c r="N1328" s="36" t="n"/>
      <c r="O1328" s="36" t="n"/>
      <c r="P1328" s="36" t="n"/>
      <c r="Q1328" s="36" t="n"/>
    </row>
    <row r="1329">
      <c r="C1329" s="36" t="n"/>
      <c r="D1329" s="36" t="n"/>
      <c r="E1329" s="36" t="n"/>
      <c r="F1329" s="36" t="n"/>
      <c r="G1329" s="42" t="n"/>
      <c r="H1329" s="30" t="n"/>
      <c r="I1329" s="30" t="n"/>
      <c r="J1329" s="31" t="n"/>
      <c r="K1329" s="43" t="n"/>
      <c r="L1329" s="32" t="n"/>
      <c r="M1329" s="36" t="n"/>
      <c r="N1329" s="36" t="n"/>
      <c r="O1329" s="36" t="n"/>
      <c r="P1329" s="36" t="n"/>
      <c r="Q1329" s="36" t="n"/>
    </row>
    <row r="1330">
      <c r="C1330" s="36" t="n"/>
      <c r="D1330" s="36" t="n"/>
      <c r="E1330" s="36" t="n"/>
      <c r="F1330" s="36" t="n"/>
      <c r="G1330" s="42" t="n"/>
      <c r="H1330" s="30" t="n"/>
      <c r="I1330" s="30" t="n"/>
      <c r="J1330" s="31" t="n"/>
      <c r="K1330" s="43" t="n"/>
      <c r="L1330" s="32" t="n"/>
      <c r="M1330" s="36" t="n"/>
      <c r="N1330" s="36" t="n"/>
      <c r="O1330" s="36" t="n"/>
      <c r="P1330" s="36" t="n"/>
      <c r="Q1330" s="36" t="n"/>
    </row>
    <row r="1331">
      <c r="C1331" s="36" t="n"/>
      <c r="D1331" s="36" t="n"/>
      <c r="E1331" s="36" t="n"/>
      <c r="F1331" s="36" t="n"/>
      <c r="G1331" s="42" t="n"/>
      <c r="H1331" s="30" t="n"/>
      <c r="I1331" s="30" t="n"/>
      <c r="J1331" s="31" t="n"/>
      <c r="K1331" s="43" t="n"/>
      <c r="L1331" s="32" t="n"/>
      <c r="M1331" s="36" t="n"/>
      <c r="N1331" s="36" t="n"/>
      <c r="O1331" s="36" t="n"/>
      <c r="P1331" s="36" t="n"/>
      <c r="Q1331" s="36" t="n"/>
    </row>
    <row r="1332">
      <c r="C1332" s="36" t="n"/>
      <c r="D1332" s="36" t="n"/>
      <c r="E1332" s="36" t="n"/>
      <c r="F1332" s="36" t="n"/>
      <c r="G1332" s="42" t="n"/>
      <c r="H1332" s="30" t="n"/>
      <c r="I1332" s="30" t="n"/>
      <c r="J1332" s="31" t="n"/>
      <c r="K1332" s="43" t="n"/>
      <c r="L1332" s="32" t="n"/>
      <c r="M1332" s="36" t="n"/>
      <c r="N1332" s="36" t="n"/>
      <c r="O1332" s="36" t="n"/>
      <c r="P1332" s="36" t="n"/>
      <c r="Q1332" s="36" t="n"/>
    </row>
    <row r="1333">
      <c r="C1333" s="36" t="n"/>
      <c r="D1333" s="36" t="n"/>
      <c r="E1333" s="36" t="n"/>
      <c r="F1333" s="36" t="n"/>
      <c r="G1333" s="42" t="n"/>
      <c r="H1333" s="30" t="n"/>
      <c r="I1333" s="30" t="n"/>
      <c r="J1333" s="31" t="n"/>
      <c r="K1333" s="43" t="n"/>
      <c r="L1333" s="32" t="n"/>
      <c r="M1333" s="36" t="n"/>
      <c r="N1333" s="36" t="n"/>
      <c r="O1333" s="36" t="n"/>
      <c r="P1333" s="36" t="n"/>
      <c r="Q1333" s="36" t="n"/>
    </row>
    <row r="1334">
      <c r="C1334" s="36" t="n"/>
      <c r="D1334" s="36" t="n"/>
      <c r="E1334" s="36" t="n"/>
      <c r="F1334" s="36" t="n"/>
      <c r="G1334" s="42" t="n"/>
      <c r="H1334" s="30" t="n"/>
      <c r="I1334" s="30" t="n"/>
      <c r="J1334" s="31" t="n"/>
      <c r="K1334" s="43" t="n"/>
      <c r="L1334" s="32" t="n"/>
      <c r="M1334" s="36" t="n"/>
      <c r="N1334" s="36" t="n"/>
      <c r="O1334" s="36" t="n"/>
      <c r="P1334" s="36" t="n"/>
      <c r="Q1334" s="36" t="n"/>
    </row>
    <row r="1335">
      <c r="C1335" s="36" t="n"/>
      <c r="D1335" s="36" t="n"/>
      <c r="E1335" s="36" t="n"/>
      <c r="F1335" s="36" t="n"/>
      <c r="G1335" s="42" t="n"/>
      <c r="H1335" s="30" t="n"/>
      <c r="I1335" s="30" t="n"/>
      <c r="J1335" s="31" t="n"/>
      <c r="K1335" s="43" t="n"/>
      <c r="L1335" s="32" t="n"/>
      <c r="M1335" s="36" t="n"/>
      <c r="N1335" s="36" t="n"/>
      <c r="O1335" s="36" t="n"/>
      <c r="P1335" s="36" t="n"/>
      <c r="Q1335" s="36" t="n"/>
    </row>
    <row r="1336">
      <c r="C1336" s="36" t="n"/>
      <c r="D1336" s="36" t="n"/>
      <c r="E1336" s="36" t="n"/>
      <c r="F1336" s="36" t="n"/>
      <c r="G1336" s="42" t="n"/>
      <c r="H1336" s="30" t="n"/>
      <c r="I1336" s="30" t="n"/>
      <c r="J1336" s="31" t="n"/>
      <c r="K1336" s="43" t="n"/>
      <c r="L1336" s="32" t="n"/>
      <c r="M1336" s="36" t="n"/>
      <c r="N1336" s="36" t="n"/>
      <c r="O1336" s="36" t="n"/>
      <c r="P1336" s="36" t="n"/>
      <c r="Q1336" s="36" t="n"/>
    </row>
    <row r="1337">
      <c r="C1337" s="36" t="n"/>
      <c r="D1337" s="36" t="n"/>
      <c r="E1337" s="36" t="n"/>
      <c r="F1337" s="36" t="n"/>
      <c r="G1337" s="42" t="n"/>
      <c r="H1337" s="30" t="n"/>
      <c r="I1337" s="30" t="n"/>
      <c r="J1337" s="31" t="n"/>
      <c r="K1337" s="43" t="n"/>
      <c r="L1337" s="32" t="n"/>
      <c r="M1337" s="36" t="n"/>
      <c r="N1337" s="36" t="n"/>
      <c r="O1337" s="36" t="n"/>
      <c r="P1337" s="36" t="n"/>
      <c r="Q1337" s="36" t="n"/>
    </row>
    <row r="1338">
      <c r="C1338" s="36" t="n"/>
      <c r="D1338" s="36" t="n"/>
      <c r="E1338" s="36" t="n"/>
      <c r="F1338" s="36" t="n"/>
      <c r="G1338" s="42" t="n"/>
      <c r="H1338" s="30" t="n"/>
      <c r="I1338" s="30" t="n"/>
      <c r="J1338" s="31" t="n"/>
      <c r="K1338" s="43" t="n"/>
      <c r="L1338" s="32" t="n"/>
      <c r="M1338" s="36" t="n"/>
      <c r="N1338" s="36" t="n"/>
      <c r="O1338" s="36" t="n"/>
      <c r="P1338" s="36" t="n"/>
      <c r="Q1338" s="36" t="n"/>
    </row>
    <row r="1339">
      <c r="C1339" s="36" t="n"/>
      <c r="D1339" s="36" t="n"/>
      <c r="E1339" s="36" t="n"/>
      <c r="F1339" s="36" t="n"/>
      <c r="G1339" s="42" t="n"/>
      <c r="H1339" s="30" t="n"/>
      <c r="I1339" s="30" t="n"/>
      <c r="J1339" s="31" t="n"/>
      <c r="K1339" s="43" t="n"/>
      <c r="L1339" s="32" t="n"/>
      <c r="M1339" s="36" t="n"/>
      <c r="N1339" s="36" t="n"/>
      <c r="O1339" s="36" t="n"/>
      <c r="P1339" s="36" t="n"/>
      <c r="Q1339" s="36" t="n"/>
    </row>
    <row r="1340">
      <c r="C1340" s="36" t="n"/>
      <c r="D1340" s="36" t="n"/>
      <c r="E1340" s="36" t="n"/>
      <c r="F1340" s="36" t="n"/>
      <c r="G1340" s="42" t="n"/>
      <c r="H1340" s="30" t="n"/>
      <c r="I1340" s="30" t="n"/>
      <c r="J1340" s="31" t="n"/>
      <c r="K1340" s="43" t="n"/>
      <c r="L1340" s="32" t="n"/>
      <c r="M1340" s="36" t="n"/>
      <c r="N1340" s="36" t="n"/>
      <c r="O1340" s="36" t="n"/>
      <c r="P1340" s="36" t="n"/>
      <c r="Q1340" s="36" t="n"/>
    </row>
    <row r="1341">
      <c r="C1341" s="36" t="n"/>
      <c r="D1341" s="36" t="n"/>
      <c r="E1341" s="36" t="n"/>
      <c r="F1341" s="36" t="n"/>
      <c r="G1341" s="42" t="n"/>
      <c r="H1341" s="30" t="n"/>
      <c r="I1341" s="30" t="n"/>
      <c r="J1341" s="31" t="n"/>
      <c r="K1341" s="43" t="n"/>
      <c r="L1341" s="32" t="n"/>
      <c r="M1341" s="36" t="n"/>
      <c r="N1341" s="36" t="n"/>
      <c r="O1341" s="36" t="n"/>
      <c r="P1341" s="36" t="n"/>
      <c r="Q1341" s="36" t="n"/>
    </row>
    <row r="1342">
      <c r="C1342" s="36" t="n"/>
      <c r="D1342" s="36" t="n"/>
      <c r="E1342" s="36" t="n"/>
      <c r="F1342" s="36" t="n"/>
      <c r="G1342" s="42" t="n"/>
      <c r="H1342" s="30" t="n"/>
      <c r="I1342" s="30" t="n"/>
      <c r="J1342" s="31" t="n"/>
      <c r="K1342" s="43" t="n"/>
      <c r="L1342" s="32" t="n"/>
      <c r="M1342" s="36" t="n"/>
      <c r="N1342" s="36" t="n"/>
      <c r="O1342" s="36" t="n"/>
      <c r="P1342" s="36" t="n"/>
      <c r="Q1342" s="36" t="n"/>
    </row>
    <row r="1343">
      <c r="C1343" s="36" t="n"/>
      <c r="D1343" s="36" t="n"/>
      <c r="E1343" s="36" t="n"/>
      <c r="F1343" s="36" t="n"/>
      <c r="G1343" s="42" t="n"/>
      <c r="H1343" s="30" t="n"/>
      <c r="I1343" s="30" t="n"/>
      <c r="J1343" s="31" t="n"/>
      <c r="K1343" s="43" t="n"/>
      <c r="L1343" s="32" t="n"/>
      <c r="M1343" s="36" t="n"/>
      <c r="N1343" s="36" t="n"/>
      <c r="O1343" s="36" t="n"/>
      <c r="P1343" s="36" t="n"/>
      <c r="Q1343" s="36" t="n"/>
    </row>
    <row r="1344">
      <c r="C1344" s="36" t="n"/>
      <c r="D1344" s="36" t="n"/>
      <c r="E1344" s="36" t="n"/>
      <c r="F1344" s="36" t="n"/>
      <c r="G1344" s="42" t="n"/>
      <c r="H1344" s="30" t="n"/>
      <c r="I1344" s="30" t="n"/>
      <c r="J1344" s="31" t="n"/>
      <c r="K1344" s="43" t="n"/>
      <c r="L1344" s="32" t="n"/>
      <c r="M1344" s="36" t="n"/>
      <c r="N1344" s="36" t="n"/>
      <c r="O1344" s="36" t="n"/>
      <c r="P1344" s="36" t="n"/>
      <c r="Q1344" s="36" t="n"/>
    </row>
    <row r="1345">
      <c r="C1345" s="36" t="n"/>
      <c r="D1345" s="36" t="n"/>
      <c r="E1345" s="36" t="n"/>
      <c r="F1345" s="36" t="n"/>
      <c r="G1345" s="42" t="n"/>
      <c r="H1345" s="30" t="n"/>
      <c r="I1345" s="30" t="n"/>
      <c r="J1345" s="31" t="n"/>
      <c r="K1345" s="43" t="n"/>
      <c r="L1345" s="32" t="n"/>
      <c r="M1345" s="36" t="n"/>
      <c r="N1345" s="36" t="n"/>
      <c r="O1345" s="36" t="n"/>
      <c r="P1345" s="36" t="n"/>
      <c r="Q1345" s="36" t="n"/>
    </row>
    <row r="1346">
      <c r="C1346" s="36" t="n"/>
      <c r="D1346" s="36" t="n"/>
      <c r="E1346" s="36" t="n"/>
      <c r="F1346" s="36" t="n"/>
      <c r="G1346" s="42" t="n"/>
      <c r="H1346" s="30" t="n"/>
      <c r="I1346" s="30" t="n"/>
      <c r="J1346" s="31" t="n"/>
      <c r="K1346" s="43" t="n"/>
      <c r="L1346" s="32" t="n"/>
      <c r="M1346" s="36" t="n"/>
      <c r="N1346" s="36" t="n"/>
      <c r="O1346" s="36" t="n"/>
      <c r="P1346" s="36" t="n"/>
      <c r="Q1346" s="36" t="n"/>
    </row>
    <row r="1347">
      <c r="C1347" s="36" t="n"/>
      <c r="D1347" s="36" t="n"/>
      <c r="E1347" s="36" t="n"/>
      <c r="F1347" s="36" t="n"/>
      <c r="G1347" s="42" t="n"/>
      <c r="H1347" s="30" t="n"/>
      <c r="I1347" s="30" t="n"/>
      <c r="J1347" s="31" t="n"/>
      <c r="K1347" s="43" t="n"/>
      <c r="L1347" s="32" t="n"/>
      <c r="M1347" s="36" t="n"/>
      <c r="N1347" s="36" t="n"/>
      <c r="O1347" s="36" t="n"/>
      <c r="P1347" s="36" t="n"/>
      <c r="Q1347" s="36" t="n"/>
    </row>
    <row r="1348">
      <c r="C1348" s="36" t="n"/>
      <c r="D1348" s="36" t="n"/>
      <c r="E1348" s="36" t="n"/>
      <c r="F1348" s="36" t="n"/>
      <c r="G1348" s="42" t="n"/>
      <c r="H1348" s="30" t="n"/>
      <c r="I1348" s="30" t="n"/>
      <c r="J1348" s="31" t="n"/>
      <c r="K1348" s="43" t="n"/>
      <c r="L1348" s="32" t="n"/>
      <c r="M1348" s="36" t="n"/>
      <c r="N1348" s="36" t="n"/>
      <c r="O1348" s="36" t="n"/>
      <c r="P1348" s="36" t="n"/>
      <c r="Q1348" s="36" t="n"/>
    </row>
    <row r="1349">
      <c r="C1349" s="36" t="n"/>
      <c r="D1349" s="36" t="n"/>
      <c r="E1349" s="36" t="n"/>
      <c r="F1349" s="36" t="n"/>
      <c r="G1349" s="42" t="n"/>
      <c r="H1349" s="30" t="n"/>
      <c r="I1349" s="30" t="n"/>
      <c r="J1349" s="31" t="n"/>
      <c r="K1349" s="43" t="n"/>
      <c r="L1349" s="32" t="n"/>
      <c r="M1349" s="36" t="n"/>
      <c r="N1349" s="36" t="n"/>
      <c r="O1349" s="36" t="n"/>
      <c r="P1349" s="36" t="n"/>
      <c r="Q1349" s="36" t="n"/>
    </row>
    <row r="1350">
      <c r="C1350" s="36" t="n"/>
      <c r="D1350" s="36" t="n"/>
      <c r="E1350" s="36" t="n"/>
      <c r="F1350" s="36" t="n"/>
      <c r="G1350" s="42" t="n"/>
      <c r="H1350" s="30" t="n"/>
      <c r="I1350" s="30" t="n"/>
      <c r="J1350" s="31" t="n"/>
      <c r="K1350" s="43" t="n"/>
      <c r="L1350" s="32" t="n"/>
      <c r="M1350" s="36" t="n"/>
      <c r="N1350" s="36" t="n"/>
      <c r="O1350" s="36" t="n"/>
      <c r="P1350" s="36" t="n"/>
      <c r="Q1350" s="36" t="n"/>
    </row>
    <row r="1351">
      <c r="C1351" s="36" t="n"/>
      <c r="D1351" s="36" t="n"/>
      <c r="E1351" s="36" t="n"/>
      <c r="F1351" s="36" t="n"/>
      <c r="G1351" s="42" t="n"/>
      <c r="H1351" s="30" t="n"/>
      <c r="I1351" s="30" t="n"/>
      <c r="J1351" s="31" t="n"/>
      <c r="K1351" s="43" t="n"/>
      <c r="L1351" s="32" t="n"/>
      <c r="M1351" s="36" t="n"/>
      <c r="N1351" s="36" t="n"/>
      <c r="O1351" s="36" t="n"/>
      <c r="P1351" s="36" t="n"/>
      <c r="Q1351" s="36" t="n"/>
    </row>
    <row r="1352">
      <c r="C1352" s="36" t="n"/>
      <c r="D1352" s="36" t="n"/>
      <c r="E1352" s="36" t="n"/>
      <c r="F1352" s="36" t="n"/>
      <c r="G1352" s="42" t="n"/>
      <c r="H1352" s="30" t="n"/>
      <c r="I1352" s="30" t="n"/>
      <c r="J1352" s="31" t="n"/>
      <c r="K1352" s="43" t="n"/>
      <c r="L1352" s="32" t="n"/>
      <c r="M1352" s="36" t="n"/>
      <c r="N1352" s="36" t="n"/>
      <c r="O1352" s="36" t="n"/>
      <c r="P1352" s="36" t="n"/>
      <c r="Q1352" s="36" t="n"/>
    </row>
    <row r="1353">
      <c r="C1353" s="36" t="n"/>
      <c r="D1353" s="36" t="n"/>
      <c r="E1353" s="36" t="n"/>
      <c r="F1353" s="36" t="n"/>
      <c r="G1353" s="42" t="n"/>
      <c r="H1353" s="30" t="n"/>
      <c r="I1353" s="30" t="n"/>
      <c r="J1353" s="31" t="n"/>
      <c r="K1353" s="43" t="n"/>
      <c r="L1353" s="32" t="n"/>
      <c r="M1353" s="36" t="n"/>
      <c r="N1353" s="36" t="n"/>
      <c r="O1353" s="36" t="n"/>
      <c r="P1353" s="36" t="n"/>
      <c r="Q1353" s="36" t="n"/>
    </row>
    <row r="1354">
      <c r="C1354" s="36" t="n"/>
      <c r="D1354" s="36" t="n"/>
      <c r="E1354" s="36" t="n"/>
      <c r="F1354" s="36" t="n"/>
      <c r="G1354" s="42" t="n"/>
      <c r="H1354" s="30" t="n"/>
      <c r="I1354" s="30" t="n"/>
      <c r="J1354" s="31" t="n"/>
      <c r="K1354" s="43" t="n"/>
      <c r="L1354" s="32" t="n"/>
      <c r="M1354" s="36" t="n"/>
      <c r="N1354" s="36" t="n"/>
      <c r="O1354" s="36" t="n"/>
      <c r="P1354" s="36" t="n"/>
      <c r="Q1354" s="36" t="n"/>
    </row>
    <row r="1355">
      <c r="C1355" s="36" t="n"/>
      <c r="D1355" s="36" t="n"/>
      <c r="E1355" s="36" t="n"/>
      <c r="F1355" s="36" t="n"/>
      <c r="G1355" s="42" t="n"/>
      <c r="H1355" s="30" t="n"/>
      <c r="I1355" s="30" t="n"/>
      <c r="J1355" s="31" t="n"/>
      <c r="K1355" s="43" t="n"/>
      <c r="L1355" s="32" t="n"/>
      <c r="M1355" s="36" t="n"/>
      <c r="N1355" s="36" t="n"/>
      <c r="O1355" s="36" t="n"/>
      <c r="P1355" s="36" t="n"/>
      <c r="Q1355" s="36" t="n"/>
    </row>
    <row r="1356">
      <c r="C1356" s="36" t="n"/>
      <c r="D1356" s="36" t="n"/>
      <c r="E1356" s="36" t="n"/>
      <c r="F1356" s="36" t="n"/>
      <c r="G1356" s="42" t="n"/>
      <c r="H1356" s="30" t="n"/>
      <c r="I1356" s="30" t="n"/>
      <c r="J1356" s="31" t="n"/>
      <c r="K1356" s="43" t="n"/>
      <c r="L1356" s="32" t="n"/>
      <c r="M1356" s="36" t="n"/>
      <c r="N1356" s="36" t="n"/>
      <c r="O1356" s="36" t="n"/>
      <c r="P1356" s="36" t="n"/>
      <c r="Q1356" s="36" t="n"/>
    </row>
    <row r="1357">
      <c r="C1357" s="36" t="n"/>
      <c r="D1357" s="36" t="n"/>
      <c r="E1357" s="36" t="n"/>
      <c r="F1357" s="36" t="n"/>
      <c r="G1357" s="42" t="n"/>
      <c r="H1357" s="30" t="n"/>
      <c r="I1357" s="30" t="n"/>
      <c r="J1357" s="31" t="n"/>
      <c r="K1357" s="43" t="n"/>
      <c r="L1357" s="32" t="n"/>
      <c r="M1357" s="36" t="n"/>
      <c r="N1357" s="36" t="n"/>
      <c r="O1357" s="36" t="n"/>
      <c r="P1357" s="36" t="n"/>
      <c r="Q1357" s="36" t="n"/>
    </row>
    <row r="1358">
      <c r="C1358" s="36" t="n"/>
      <c r="D1358" s="36" t="n"/>
      <c r="E1358" s="36" t="n"/>
      <c r="F1358" s="36" t="n"/>
      <c r="G1358" s="42" t="n"/>
      <c r="H1358" s="30" t="n"/>
      <c r="I1358" s="30" t="n"/>
      <c r="J1358" s="31" t="n"/>
      <c r="K1358" s="43" t="n"/>
      <c r="L1358" s="32" t="n"/>
      <c r="M1358" s="36" t="n"/>
      <c r="N1358" s="36" t="n"/>
      <c r="O1358" s="36" t="n"/>
      <c r="P1358" s="36" t="n"/>
      <c r="Q1358" s="36" t="n"/>
    </row>
    <row r="1359">
      <c r="C1359" s="36" t="n"/>
      <c r="D1359" s="36" t="n"/>
      <c r="E1359" s="36" t="n"/>
      <c r="F1359" s="36" t="n"/>
      <c r="G1359" s="42" t="n"/>
      <c r="H1359" s="30" t="n"/>
      <c r="I1359" s="30" t="n"/>
      <c r="J1359" s="31" t="n"/>
      <c r="K1359" s="43" t="n"/>
      <c r="L1359" s="32" t="n"/>
      <c r="M1359" s="36" t="n"/>
      <c r="N1359" s="36" t="n"/>
      <c r="O1359" s="36" t="n"/>
      <c r="P1359" s="36" t="n"/>
      <c r="Q1359" s="36" t="n"/>
    </row>
    <row r="1360">
      <c r="C1360" s="36" t="n"/>
      <c r="D1360" s="36" t="n"/>
      <c r="E1360" s="36" t="n"/>
      <c r="F1360" s="36" t="n"/>
      <c r="G1360" s="42" t="n"/>
      <c r="H1360" s="30" t="n"/>
      <c r="I1360" s="30" t="n"/>
      <c r="J1360" s="31" t="n"/>
      <c r="K1360" s="43" t="n"/>
      <c r="L1360" s="32" t="n"/>
      <c r="M1360" s="36" t="n"/>
      <c r="N1360" s="36" t="n"/>
      <c r="O1360" s="36" t="n"/>
      <c r="P1360" s="36" t="n"/>
      <c r="Q1360" s="36" t="n"/>
    </row>
    <row r="1361">
      <c r="C1361" s="36" t="n"/>
      <c r="D1361" s="36" t="n"/>
      <c r="E1361" s="36" t="n"/>
      <c r="F1361" s="36" t="n"/>
      <c r="G1361" s="42" t="n"/>
      <c r="H1361" s="30" t="n"/>
      <c r="I1361" s="30" t="n"/>
      <c r="J1361" s="31" t="n"/>
      <c r="K1361" s="43" t="n"/>
      <c r="L1361" s="32" t="n"/>
      <c r="M1361" s="36" t="n"/>
      <c r="N1361" s="36" t="n"/>
      <c r="O1361" s="36" t="n"/>
      <c r="P1361" s="36" t="n"/>
      <c r="Q1361" s="36" t="n"/>
    </row>
    <row r="1362">
      <c r="C1362" s="36" t="n"/>
      <c r="D1362" s="36" t="n"/>
      <c r="E1362" s="36" t="n"/>
      <c r="F1362" s="36" t="n"/>
      <c r="G1362" s="42" t="n"/>
      <c r="H1362" s="30" t="n"/>
      <c r="I1362" s="30" t="n"/>
      <c r="J1362" s="31" t="n"/>
      <c r="K1362" s="43" t="n"/>
      <c r="L1362" s="32" t="n"/>
      <c r="M1362" s="36" t="n"/>
      <c r="N1362" s="36" t="n"/>
      <c r="O1362" s="36" t="n"/>
      <c r="P1362" s="36" t="n"/>
      <c r="Q1362" s="36" t="n"/>
    </row>
    <row r="1363">
      <c r="C1363" s="36" t="n"/>
      <c r="D1363" s="36" t="n"/>
      <c r="E1363" s="36" t="n"/>
      <c r="F1363" s="36" t="n"/>
      <c r="G1363" s="42" t="n"/>
      <c r="H1363" s="30" t="n"/>
      <c r="I1363" s="30" t="n"/>
      <c r="J1363" s="31" t="n"/>
      <c r="K1363" s="43" t="n"/>
      <c r="L1363" s="32" t="n"/>
      <c r="M1363" s="36" t="n"/>
      <c r="N1363" s="36" t="n"/>
      <c r="O1363" s="36" t="n"/>
      <c r="P1363" s="36" t="n"/>
      <c r="Q1363" s="36" t="n"/>
    </row>
    <row r="1364">
      <c r="C1364" s="36" t="n"/>
      <c r="D1364" s="36" t="n"/>
      <c r="E1364" s="36" t="n"/>
      <c r="F1364" s="36" t="n"/>
      <c r="G1364" s="42" t="n"/>
      <c r="H1364" s="30" t="n"/>
      <c r="I1364" s="30" t="n"/>
      <c r="J1364" s="31" t="n"/>
      <c r="K1364" s="43" t="n"/>
      <c r="L1364" s="32" t="n"/>
      <c r="M1364" s="36" t="n"/>
      <c r="N1364" s="36" t="n"/>
      <c r="O1364" s="36" t="n"/>
      <c r="P1364" s="36" t="n"/>
      <c r="Q1364" s="36" t="n"/>
    </row>
    <row r="1365">
      <c r="C1365" s="36" t="n"/>
      <c r="D1365" s="36" t="n"/>
      <c r="E1365" s="36" t="n"/>
      <c r="F1365" s="36" t="n"/>
      <c r="G1365" s="42" t="n"/>
      <c r="H1365" s="30" t="n"/>
      <c r="I1365" s="30" t="n"/>
      <c r="J1365" s="31" t="n"/>
      <c r="K1365" s="43" t="n"/>
      <c r="L1365" s="32" t="n"/>
      <c r="M1365" s="36" t="n"/>
      <c r="N1365" s="36" t="n"/>
      <c r="O1365" s="36" t="n"/>
      <c r="P1365" s="36" t="n"/>
      <c r="Q1365" s="36" t="n"/>
    </row>
    <row r="1366">
      <c r="C1366" s="36" t="n"/>
      <c r="D1366" s="36" t="n"/>
      <c r="E1366" s="36" t="n"/>
      <c r="F1366" s="36" t="n"/>
      <c r="G1366" s="42" t="n"/>
      <c r="H1366" s="30" t="n"/>
      <c r="I1366" s="30" t="n"/>
      <c r="J1366" s="31" t="n"/>
      <c r="K1366" s="36" t="n"/>
      <c r="L1366" s="32" t="n"/>
      <c r="M1366" s="36" t="n"/>
      <c r="N1366" s="36" t="n"/>
      <c r="O1366" s="36" t="n"/>
      <c r="P1366" s="36" t="n"/>
      <c r="Q1366" s="36" t="n"/>
    </row>
    <row r="1367">
      <c r="C1367" s="36" t="n"/>
      <c r="D1367" s="36" t="n"/>
      <c r="E1367" s="36" t="n"/>
      <c r="F1367" s="36" t="n"/>
      <c r="G1367" s="42" t="n"/>
      <c r="H1367" s="30" t="n"/>
      <c r="I1367" s="30" t="n"/>
      <c r="J1367" s="31" t="n"/>
      <c r="K1367" s="36" t="n"/>
      <c r="L1367" s="32" t="n"/>
      <c r="M1367" s="36" t="n"/>
      <c r="N1367" s="36" t="n"/>
      <c r="O1367" s="36" t="n"/>
      <c r="P1367" s="36" t="n"/>
      <c r="Q1367" s="36" t="n"/>
    </row>
    <row r="1368">
      <c r="C1368" s="36" t="n"/>
      <c r="D1368" s="36" t="n"/>
      <c r="E1368" s="36" t="n"/>
      <c r="F1368" s="36" t="n"/>
      <c r="G1368" s="42" t="n"/>
      <c r="H1368" s="30" t="n"/>
      <c r="I1368" s="30" t="n"/>
      <c r="J1368" s="31" t="n"/>
      <c r="K1368" s="36" t="n"/>
      <c r="L1368" s="32" t="n"/>
      <c r="M1368" s="36" t="n"/>
      <c r="N1368" s="36" t="n"/>
      <c r="O1368" s="36" t="n"/>
      <c r="P1368" s="36" t="n"/>
      <c r="Q1368" s="36" t="n"/>
    </row>
    <row r="1369">
      <c r="C1369" s="36" t="n"/>
      <c r="D1369" s="36" t="n"/>
      <c r="E1369" s="36" t="n"/>
      <c r="F1369" s="36" t="n"/>
      <c r="G1369" s="42" t="n"/>
      <c r="H1369" s="30" t="n"/>
      <c r="I1369" s="30" t="n"/>
      <c r="J1369" s="31" t="n"/>
      <c r="K1369" s="36" t="n"/>
      <c r="L1369" s="32" t="n"/>
      <c r="M1369" s="36" t="n"/>
      <c r="N1369" s="36" t="n"/>
      <c r="O1369" s="36" t="n"/>
      <c r="P1369" s="36" t="n"/>
      <c r="Q1369" s="36" t="n"/>
    </row>
    <row r="1370">
      <c r="C1370" s="36" t="n"/>
      <c r="D1370" s="36" t="n"/>
      <c r="E1370" s="36" t="n"/>
      <c r="F1370" s="36" t="n"/>
      <c r="G1370" s="42" t="n"/>
      <c r="H1370" s="30" t="n"/>
      <c r="I1370" s="30" t="n"/>
      <c r="J1370" s="31" t="n"/>
      <c r="K1370" s="36" t="n"/>
      <c r="L1370" s="32" t="n"/>
      <c r="M1370" s="36" t="n"/>
      <c r="N1370" s="36" t="n"/>
      <c r="O1370" s="36" t="n"/>
      <c r="P1370" s="36" t="n"/>
      <c r="Q1370" s="36" t="n"/>
    </row>
    <row r="1371">
      <c r="C1371" s="36" t="n"/>
      <c r="D1371" s="36" t="n"/>
      <c r="E1371" s="36" t="n"/>
      <c r="F1371" s="36" t="n"/>
      <c r="G1371" s="42" t="n"/>
      <c r="H1371" s="30" t="n"/>
      <c r="I1371" s="30" t="n"/>
      <c r="J1371" s="31" t="n"/>
      <c r="K1371" s="36" t="n"/>
      <c r="L1371" s="32" t="n"/>
      <c r="M1371" s="36" t="n"/>
      <c r="N1371" s="36" t="n"/>
      <c r="O1371" s="36" t="n"/>
      <c r="P1371" s="36" t="n"/>
      <c r="Q1371" s="36" t="n"/>
    </row>
    <row r="1372">
      <c r="C1372" s="36" t="n"/>
      <c r="D1372" s="36" t="n"/>
      <c r="E1372" s="36" t="n"/>
      <c r="F1372" s="36" t="n"/>
      <c r="G1372" s="42" t="n"/>
      <c r="H1372" s="30" t="n"/>
      <c r="I1372" s="30" t="n"/>
      <c r="J1372" s="31" t="n"/>
      <c r="K1372" s="36" t="n"/>
      <c r="L1372" s="32" t="n"/>
      <c r="M1372" s="36" t="n"/>
      <c r="N1372" s="36" t="n"/>
      <c r="O1372" s="36" t="n"/>
      <c r="P1372" s="36" t="n"/>
      <c r="Q1372" s="36" t="n"/>
    </row>
    <row r="1373">
      <c r="C1373" s="36" t="n"/>
      <c r="D1373" s="36" t="n"/>
      <c r="E1373" s="36" t="n"/>
      <c r="F1373" s="36" t="n"/>
      <c r="G1373" s="42" t="n"/>
      <c r="H1373" s="30" t="n"/>
      <c r="I1373" s="30" t="n"/>
      <c r="J1373" s="31" t="n"/>
      <c r="K1373" s="36" t="n"/>
      <c r="L1373" s="32" t="n"/>
      <c r="M1373" s="36" t="n"/>
      <c r="N1373" s="36" t="n"/>
      <c r="O1373" s="36" t="n"/>
      <c r="P1373" s="36" t="n"/>
      <c r="Q1373" s="36" t="n"/>
    </row>
    <row r="1374">
      <c r="C1374" s="36" t="n"/>
      <c r="D1374" s="36" t="n"/>
      <c r="E1374" s="36" t="n"/>
      <c r="F1374" s="36" t="n"/>
      <c r="G1374" s="42" t="n"/>
      <c r="H1374" s="30" t="n"/>
      <c r="I1374" s="30" t="n"/>
      <c r="J1374" s="31" t="n"/>
      <c r="K1374" s="36" t="n"/>
      <c r="L1374" s="32" t="n"/>
      <c r="M1374" s="36" t="n"/>
      <c r="N1374" s="36" t="n"/>
      <c r="O1374" s="36" t="n"/>
      <c r="P1374" s="36" t="n"/>
      <c r="Q1374" s="36" t="n"/>
    </row>
    <row r="1375">
      <c r="C1375" s="36" t="n"/>
      <c r="D1375" s="36" t="n"/>
      <c r="E1375" s="36" t="n"/>
      <c r="F1375" s="36" t="n"/>
      <c r="G1375" s="42" t="n"/>
      <c r="H1375" s="30" t="n"/>
      <c r="I1375" s="30" t="n"/>
      <c r="J1375" s="31" t="n"/>
      <c r="K1375" s="36" t="n"/>
      <c r="L1375" s="32" t="n"/>
      <c r="M1375" s="36" t="n"/>
      <c r="N1375" s="36" t="n"/>
      <c r="O1375" s="36" t="n"/>
      <c r="P1375" s="36" t="n"/>
      <c r="Q1375" s="36" t="n"/>
    </row>
    <row r="1376">
      <c r="C1376" s="36" t="n"/>
      <c r="D1376" s="36" t="n"/>
      <c r="E1376" s="36" t="n"/>
      <c r="F1376" s="36" t="n"/>
      <c r="G1376" s="42" t="n"/>
      <c r="H1376" s="30" t="n"/>
      <c r="I1376" s="30" t="n"/>
      <c r="J1376" s="31" t="n"/>
      <c r="K1376" s="36" t="n"/>
      <c r="L1376" s="32" t="n"/>
      <c r="M1376" s="36" t="n"/>
      <c r="N1376" s="36" t="n"/>
      <c r="O1376" s="36" t="n"/>
      <c r="P1376" s="36" t="n"/>
      <c r="Q1376" s="36" t="n"/>
    </row>
    <row r="1377">
      <c r="C1377" s="36" t="n"/>
      <c r="D1377" s="36" t="n"/>
      <c r="E1377" s="36" t="n"/>
      <c r="F1377" s="36" t="n"/>
      <c r="G1377" s="42" t="n"/>
      <c r="H1377" s="30" t="n"/>
      <c r="I1377" s="30" t="n"/>
      <c r="J1377" s="31" t="n"/>
      <c r="K1377" s="36" t="n"/>
      <c r="L1377" s="32" t="n"/>
      <c r="M1377" s="36" t="n"/>
      <c r="N1377" s="36" t="n"/>
      <c r="O1377" s="36" t="n"/>
      <c r="P1377" s="36" t="n"/>
      <c r="Q1377" s="36" t="n"/>
    </row>
    <row r="1378">
      <c r="C1378" s="36" t="n"/>
      <c r="D1378" s="36" t="n"/>
      <c r="E1378" s="36" t="n"/>
      <c r="F1378" s="36" t="n"/>
      <c r="G1378" s="42" t="n"/>
      <c r="H1378" s="30" t="n"/>
      <c r="I1378" s="30" t="n"/>
      <c r="J1378" s="31" t="n"/>
      <c r="K1378" s="36" t="n"/>
      <c r="L1378" s="32" t="n"/>
      <c r="M1378" s="36" t="n"/>
      <c r="N1378" s="36" t="n"/>
      <c r="O1378" s="36" t="n"/>
      <c r="P1378" s="36" t="n"/>
      <c r="Q1378" s="36" t="n"/>
    </row>
    <row r="1379">
      <c r="C1379" s="36" t="n"/>
      <c r="D1379" s="36" t="n"/>
      <c r="E1379" s="36" t="n"/>
      <c r="F1379" s="36" t="n"/>
      <c r="G1379" s="42" t="n"/>
      <c r="H1379" s="30" t="n"/>
      <c r="I1379" s="30" t="n"/>
      <c r="J1379" s="31" t="n"/>
      <c r="K1379" s="36" t="n"/>
      <c r="L1379" s="32" t="n"/>
      <c r="M1379" s="36" t="n"/>
      <c r="N1379" s="36" t="n"/>
      <c r="O1379" s="36" t="n"/>
      <c r="P1379" s="36" t="n"/>
      <c r="Q1379" s="36" t="n"/>
    </row>
    <row r="1380">
      <c r="C1380" s="36" t="n"/>
      <c r="D1380" s="36" t="n"/>
      <c r="E1380" s="36" t="n"/>
      <c r="F1380" s="36" t="n"/>
      <c r="G1380" s="42" t="n"/>
      <c r="H1380" s="30" t="n"/>
      <c r="I1380" s="30" t="n"/>
      <c r="J1380" s="31" t="n"/>
      <c r="K1380" s="36" t="n"/>
      <c r="L1380" s="32" t="n"/>
      <c r="M1380" s="36" t="n"/>
      <c r="N1380" s="36" t="n"/>
      <c r="O1380" s="36" t="n"/>
      <c r="P1380" s="36" t="n"/>
      <c r="Q1380" s="36" t="n"/>
    </row>
    <row r="1381">
      <c r="C1381" s="36" t="n"/>
      <c r="D1381" s="36" t="n"/>
      <c r="E1381" s="36" t="n"/>
      <c r="F1381" s="36" t="n"/>
      <c r="G1381" s="42" t="n"/>
      <c r="H1381" s="30" t="n"/>
      <c r="I1381" s="30" t="n"/>
      <c r="J1381" s="31" t="n"/>
      <c r="K1381" s="36" t="n"/>
      <c r="L1381" s="32" t="n"/>
      <c r="M1381" s="36" t="n"/>
      <c r="N1381" s="36" t="n"/>
      <c r="O1381" s="36" t="n"/>
      <c r="P1381" s="36" t="n"/>
      <c r="Q1381" s="36" t="n"/>
    </row>
    <row r="1382">
      <c r="C1382" s="36" t="n"/>
      <c r="D1382" s="36" t="n"/>
      <c r="E1382" s="36" t="n"/>
      <c r="F1382" s="36" t="n"/>
      <c r="G1382" s="42" t="n"/>
      <c r="H1382" s="30" t="n"/>
      <c r="I1382" s="30" t="n"/>
      <c r="J1382" s="31" t="n"/>
      <c r="K1382" s="36" t="n"/>
      <c r="L1382" s="32" t="n"/>
      <c r="M1382" s="36" t="n"/>
      <c r="N1382" s="36" t="n"/>
      <c r="O1382" s="36" t="n"/>
      <c r="P1382" s="36" t="n"/>
      <c r="Q1382" s="36" t="n"/>
    </row>
    <row r="1383">
      <c r="C1383" s="36" t="n"/>
      <c r="D1383" s="36" t="n"/>
      <c r="E1383" s="36" t="n"/>
      <c r="F1383" s="36" t="n"/>
      <c r="G1383" s="42" t="n"/>
      <c r="H1383" s="30" t="n"/>
      <c r="I1383" s="30" t="n"/>
      <c r="J1383" s="31" t="n"/>
      <c r="K1383" s="36" t="n"/>
      <c r="L1383" s="32" t="n"/>
      <c r="M1383" s="36" t="n"/>
      <c r="N1383" s="36" t="n"/>
      <c r="O1383" s="36" t="n"/>
      <c r="P1383" s="36" t="n"/>
      <c r="Q1383" s="36" t="n"/>
    </row>
    <row r="1384">
      <c r="C1384" s="36" t="n"/>
      <c r="D1384" s="36" t="n"/>
      <c r="E1384" s="36" t="n"/>
      <c r="F1384" s="36" t="n"/>
      <c r="G1384" s="42" t="n"/>
      <c r="H1384" s="30" t="n"/>
      <c r="I1384" s="30" t="n"/>
      <c r="J1384" s="31" t="n"/>
      <c r="K1384" s="36" t="n"/>
      <c r="L1384" s="32" t="n"/>
      <c r="M1384" s="36" t="n"/>
      <c r="N1384" s="36" t="n"/>
      <c r="O1384" s="36" t="n"/>
      <c r="P1384" s="36" t="n"/>
      <c r="Q1384" s="36" t="n"/>
    </row>
    <row r="1385">
      <c r="C1385" s="36" t="n"/>
      <c r="D1385" s="36" t="n"/>
      <c r="E1385" s="36" t="n"/>
      <c r="F1385" s="36" t="n"/>
      <c r="G1385" s="42" t="n"/>
      <c r="H1385" s="30" t="n"/>
      <c r="I1385" s="30" t="n"/>
      <c r="J1385" s="31" t="n"/>
      <c r="K1385" s="36" t="n"/>
      <c r="L1385" s="32" t="n"/>
      <c r="M1385" s="36" t="n"/>
      <c r="N1385" s="36" t="n"/>
      <c r="O1385" s="36" t="n"/>
      <c r="P1385" s="36" t="n"/>
      <c r="Q1385" s="36" t="n"/>
    </row>
    <row r="1386">
      <c r="C1386" s="36" t="n"/>
      <c r="D1386" s="36" t="n"/>
      <c r="E1386" s="36" t="n"/>
      <c r="F1386" s="36" t="n"/>
      <c r="G1386" s="42" t="n"/>
      <c r="H1386" s="30" t="n"/>
      <c r="I1386" s="30" t="n"/>
      <c r="J1386" s="31" t="n"/>
      <c r="K1386" s="36" t="n"/>
      <c r="L1386" s="32" t="n"/>
      <c r="M1386" s="36" t="n"/>
      <c r="N1386" s="36" t="n"/>
      <c r="O1386" s="36" t="n"/>
      <c r="P1386" s="36" t="n"/>
      <c r="Q1386" s="36" t="n"/>
    </row>
    <row r="1387">
      <c r="C1387" s="36" t="n"/>
      <c r="D1387" s="36" t="n"/>
      <c r="E1387" s="36" t="n"/>
      <c r="F1387" s="36" t="n"/>
      <c r="G1387" s="42" t="n"/>
      <c r="H1387" s="30" t="n"/>
      <c r="I1387" s="30" t="n"/>
      <c r="J1387" s="31" t="n"/>
      <c r="K1387" s="36" t="n"/>
      <c r="L1387" s="32" t="n"/>
      <c r="M1387" s="36" t="n"/>
      <c r="N1387" s="36" t="n"/>
      <c r="O1387" s="36" t="n"/>
      <c r="P1387" s="36" t="n"/>
      <c r="Q1387" s="36" t="n"/>
    </row>
    <row r="1388">
      <c r="C1388" s="36" t="n"/>
      <c r="D1388" s="36" t="n"/>
      <c r="E1388" s="36" t="n"/>
      <c r="F1388" s="36" t="n"/>
      <c r="G1388" s="42" t="n"/>
      <c r="H1388" s="30" t="n"/>
      <c r="I1388" s="30" t="n"/>
      <c r="J1388" s="31" t="n"/>
      <c r="K1388" s="36" t="n"/>
      <c r="L1388" s="32" t="n"/>
      <c r="M1388" s="36" t="n"/>
      <c r="N1388" s="36" t="n"/>
      <c r="O1388" s="36" t="n"/>
      <c r="P1388" s="36" t="n"/>
      <c r="Q1388" s="36" t="n"/>
    </row>
    <row r="1389">
      <c r="C1389" s="36" t="n"/>
      <c r="D1389" s="36" t="n"/>
      <c r="E1389" s="36" t="n"/>
      <c r="F1389" s="36" t="n"/>
      <c r="G1389" s="42" t="n"/>
      <c r="H1389" s="30" t="n"/>
      <c r="I1389" s="30" t="n"/>
      <c r="J1389" s="31" t="n"/>
      <c r="K1389" s="36" t="n"/>
      <c r="L1389" s="32" t="n"/>
      <c r="M1389" s="36" t="n"/>
      <c r="N1389" s="36" t="n"/>
      <c r="O1389" s="36" t="n"/>
      <c r="P1389" s="36" t="n"/>
      <c r="Q1389" s="36" t="n"/>
    </row>
    <row r="1390">
      <c r="C1390" s="36" t="n"/>
      <c r="D1390" s="36" t="n"/>
      <c r="E1390" s="36" t="n"/>
      <c r="F1390" s="36" t="n"/>
      <c r="G1390" s="42" t="n"/>
      <c r="H1390" s="30" t="n"/>
      <c r="I1390" s="30" t="n"/>
      <c r="J1390" s="31" t="n"/>
      <c r="K1390" s="36" t="n"/>
      <c r="L1390" s="32" t="n"/>
      <c r="M1390" s="36" t="n"/>
      <c r="N1390" s="36" t="n"/>
      <c r="O1390" s="36" t="n"/>
      <c r="P1390" s="36" t="n"/>
      <c r="Q1390" s="36" t="n"/>
    </row>
    <row r="1391">
      <c r="C1391" s="36" t="n"/>
      <c r="D1391" s="36" t="n"/>
      <c r="E1391" s="36" t="n"/>
      <c r="F1391" s="36" t="n"/>
      <c r="G1391" s="42" t="n"/>
      <c r="H1391" s="30" t="n"/>
      <c r="I1391" s="30" t="n"/>
      <c r="J1391" s="31" t="n"/>
      <c r="K1391" s="36" t="n"/>
      <c r="L1391" s="32" t="n"/>
      <c r="M1391" s="36" t="n"/>
      <c r="N1391" s="36" t="n"/>
      <c r="O1391" s="36" t="n"/>
      <c r="P1391" s="36" t="n"/>
      <c r="Q1391" s="36" t="n"/>
    </row>
    <row r="1392">
      <c r="C1392" s="36" t="n"/>
      <c r="D1392" s="36" t="n"/>
      <c r="E1392" s="36" t="n"/>
      <c r="F1392" s="36" t="n"/>
      <c r="G1392" s="42" t="n"/>
      <c r="H1392" s="30" t="n"/>
      <c r="I1392" s="30" t="n"/>
      <c r="J1392" s="31" t="n"/>
      <c r="K1392" s="36" t="n"/>
      <c r="L1392" s="32" t="n"/>
      <c r="M1392" s="36" t="n"/>
      <c r="N1392" s="36" t="n"/>
      <c r="O1392" s="36" t="n"/>
      <c r="P1392" s="36" t="n"/>
      <c r="Q1392" s="36" t="n"/>
    </row>
    <row r="1393">
      <c r="C1393" s="36" t="n"/>
      <c r="D1393" s="36" t="n"/>
      <c r="E1393" s="36" t="n"/>
      <c r="F1393" s="36" t="n"/>
      <c r="G1393" s="42" t="n"/>
      <c r="H1393" s="30" t="n"/>
      <c r="I1393" s="30" t="n"/>
      <c r="J1393" s="31" t="n"/>
      <c r="K1393" s="36" t="n"/>
      <c r="L1393" s="32" t="n"/>
      <c r="M1393" s="36" t="n"/>
      <c r="N1393" s="36" t="n"/>
      <c r="O1393" s="36" t="n"/>
      <c r="P1393" s="36" t="n"/>
      <c r="Q1393" s="36" t="n"/>
    </row>
    <row r="1394">
      <c r="C1394" s="36" t="n"/>
      <c r="D1394" s="36" t="n"/>
      <c r="E1394" s="36" t="n"/>
      <c r="F1394" s="36" t="n"/>
      <c r="G1394" s="42" t="n"/>
      <c r="H1394" s="30" t="n"/>
      <c r="I1394" s="30" t="n"/>
      <c r="J1394" s="31" t="n"/>
      <c r="K1394" s="36" t="n"/>
      <c r="L1394" s="32" t="n"/>
      <c r="M1394" s="36" t="n"/>
      <c r="N1394" s="36" t="n"/>
      <c r="O1394" s="36" t="n"/>
      <c r="P1394" s="36" t="n"/>
      <c r="Q1394" s="36" t="n"/>
    </row>
    <row r="1395">
      <c r="C1395" s="36" t="n"/>
      <c r="D1395" s="36" t="n"/>
      <c r="E1395" s="36" t="n"/>
      <c r="F1395" s="36" t="n"/>
      <c r="G1395" s="42" t="n"/>
      <c r="H1395" s="30" t="n"/>
      <c r="I1395" s="30" t="n"/>
      <c r="J1395" s="31" t="n"/>
      <c r="K1395" s="36" t="n"/>
      <c r="L1395" s="32" t="n"/>
      <c r="M1395" s="36" t="n"/>
      <c r="N1395" s="36" t="n"/>
      <c r="O1395" s="36" t="n"/>
      <c r="P1395" s="36" t="n"/>
      <c r="Q1395" s="36" t="n"/>
    </row>
    <row r="1396">
      <c r="C1396" s="36" t="n"/>
      <c r="D1396" s="36" t="n"/>
      <c r="E1396" s="36" t="n"/>
      <c r="F1396" s="36" t="n"/>
      <c r="G1396" s="42" t="n"/>
      <c r="H1396" s="30" t="n"/>
      <c r="I1396" s="30" t="n"/>
      <c r="J1396" s="31" t="n"/>
      <c r="K1396" s="36" t="n"/>
      <c r="L1396" s="32" t="n"/>
      <c r="M1396" s="36" t="n"/>
      <c r="N1396" s="36" t="n"/>
      <c r="O1396" s="36" t="n"/>
      <c r="P1396" s="36" t="n"/>
      <c r="Q1396" s="36" t="n"/>
    </row>
    <row r="1397">
      <c r="C1397" s="36" t="n"/>
      <c r="D1397" s="36" t="n"/>
      <c r="E1397" s="36" t="n"/>
      <c r="F1397" s="36" t="n"/>
      <c r="G1397" s="42" t="n"/>
      <c r="H1397" s="30" t="n"/>
      <c r="I1397" s="30" t="n"/>
      <c r="J1397" s="31" t="n"/>
      <c r="K1397" s="36" t="n"/>
      <c r="L1397" s="32" t="n"/>
      <c r="M1397" s="36" t="n"/>
      <c r="N1397" s="36" t="n"/>
      <c r="O1397" s="36" t="n"/>
      <c r="P1397" s="36" t="n"/>
      <c r="Q1397" s="36" t="n"/>
    </row>
    <row r="1398">
      <c r="C1398" s="36" t="n"/>
      <c r="D1398" s="36" t="n"/>
      <c r="E1398" s="36" t="n"/>
      <c r="F1398" s="36" t="n"/>
      <c r="G1398" s="42" t="n"/>
      <c r="H1398" s="30" t="n"/>
      <c r="I1398" s="30" t="n"/>
      <c r="J1398" s="31" t="n"/>
      <c r="K1398" s="36" t="n"/>
      <c r="L1398" s="32" t="n"/>
      <c r="M1398" s="36" t="n"/>
      <c r="N1398" s="36" t="n"/>
      <c r="O1398" s="36" t="n"/>
      <c r="P1398" s="36" t="n"/>
      <c r="Q1398" s="36" t="n"/>
    </row>
    <row r="1399">
      <c r="C1399" s="36" t="n"/>
      <c r="D1399" s="36" t="n"/>
      <c r="E1399" s="36" t="n"/>
      <c r="F1399" s="36" t="n"/>
      <c r="G1399" s="42" t="n"/>
      <c r="H1399" s="30" t="n"/>
      <c r="I1399" s="30" t="n"/>
      <c r="J1399" s="31" t="n"/>
      <c r="K1399" s="36" t="n"/>
      <c r="L1399" s="32" t="n"/>
      <c r="M1399" s="36" t="n"/>
      <c r="N1399" s="36" t="n"/>
      <c r="O1399" s="36" t="n"/>
      <c r="P1399" s="36" t="n"/>
      <c r="Q1399" s="36" t="n"/>
    </row>
    <row r="1400">
      <c r="C1400" s="36" t="n"/>
      <c r="D1400" s="36" t="n"/>
      <c r="E1400" s="36" t="n"/>
      <c r="F1400" s="36" t="n"/>
      <c r="G1400" s="42" t="n"/>
      <c r="H1400" s="30" t="n"/>
      <c r="I1400" s="30" t="n"/>
      <c r="J1400" s="31" t="n"/>
      <c r="K1400" s="36" t="n"/>
      <c r="L1400" s="32" t="n"/>
      <c r="M1400" s="36" t="n"/>
      <c r="N1400" s="36" t="n"/>
      <c r="O1400" s="36" t="n"/>
      <c r="P1400" s="36" t="n"/>
      <c r="Q1400" s="36" t="n"/>
    </row>
    <row r="1401">
      <c r="C1401" s="36" t="n"/>
      <c r="D1401" s="36" t="n"/>
      <c r="E1401" s="36" t="n"/>
      <c r="F1401" s="36" t="n"/>
      <c r="G1401" s="42" t="n"/>
      <c r="H1401" s="30" t="n"/>
      <c r="I1401" s="30" t="n"/>
      <c r="J1401" s="31" t="n"/>
      <c r="K1401" s="36" t="n"/>
      <c r="L1401" s="32" t="n"/>
      <c r="M1401" s="36" t="n"/>
      <c r="N1401" s="36" t="n"/>
      <c r="O1401" s="36" t="n"/>
      <c r="P1401" s="36" t="n"/>
      <c r="Q1401" s="36" t="n"/>
    </row>
    <row r="1402">
      <c r="C1402" s="36" t="n"/>
      <c r="D1402" s="36" t="n"/>
      <c r="E1402" s="36" t="n"/>
      <c r="F1402" s="36" t="n"/>
      <c r="G1402" s="42" t="n"/>
      <c r="H1402" s="30" t="n"/>
      <c r="I1402" s="30" t="n"/>
      <c r="J1402" s="31" t="n"/>
      <c r="K1402" s="36" t="n"/>
      <c r="L1402" s="32" t="n"/>
      <c r="M1402" s="36" t="n"/>
      <c r="N1402" s="36" t="n"/>
      <c r="O1402" s="36" t="n"/>
      <c r="P1402" s="36" t="n"/>
      <c r="Q1402" s="36" t="n"/>
    </row>
    <row r="1403">
      <c r="C1403" s="36" t="n"/>
      <c r="D1403" s="36" t="n"/>
      <c r="E1403" s="36" t="n"/>
      <c r="F1403" s="36" t="n"/>
      <c r="G1403" s="42" t="n"/>
      <c r="H1403" s="30" t="n"/>
      <c r="I1403" s="30" t="n"/>
      <c r="J1403" s="31" t="n"/>
      <c r="K1403" s="36" t="n"/>
      <c r="L1403" s="32" t="n"/>
      <c r="M1403" s="36" t="n"/>
      <c r="N1403" s="36" t="n"/>
      <c r="O1403" s="36" t="n"/>
      <c r="P1403" s="36" t="n"/>
      <c r="Q1403" s="36" t="n"/>
    </row>
    <row r="1404">
      <c r="C1404" s="36" t="n"/>
      <c r="D1404" s="36" t="n"/>
      <c r="E1404" s="36" t="n"/>
      <c r="F1404" s="36" t="n"/>
      <c r="G1404" s="42" t="n"/>
      <c r="H1404" s="30" t="n"/>
      <c r="I1404" s="30" t="n"/>
      <c r="J1404" s="31" t="n"/>
      <c r="K1404" s="36" t="n"/>
      <c r="L1404" s="32" t="n"/>
      <c r="M1404" s="36" t="n"/>
      <c r="N1404" s="36" t="n"/>
      <c r="O1404" s="36" t="n"/>
      <c r="P1404" s="36" t="n"/>
      <c r="Q1404" s="36" t="n"/>
    </row>
    <row r="1405">
      <c r="C1405" s="36" t="n"/>
      <c r="D1405" s="36" t="n"/>
      <c r="E1405" s="36" t="n"/>
      <c r="F1405" s="36" t="n"/>
      <c r="G1405" s="42" t="n"/>
      <c r="H1405" s="30" t="n"/>
      <c r="I1405" s="30" t="n"/>
      <c r="J1405" s="31" t="n"/>
      <c r="K1405" s="36" t="n"/>
      <c r="L1405" s="32" t="n"/>
      <c r="M1405" s="36" t="n"/>
      <c r="N1405" s="36" t="n"/>
      <c r="O1405" s="36" t="n"/>
      <c r="P1405" s="36" t="n"/>
      <c r="Q1405" s="36" t="n"/>
    </row>
    <row r="1406">
      <c r="C1406" s="36" t="n"/>
      <c r="D1406" s="36" t="n"/>
      <c r="E1406" s="36" t="n"/>
      <c r="F1406" s="36" t="n"/>
      <c r="G1406" s="42" t="n"/>
      <c r="H1406" s="30" t="n"/>
      <c r="I1406" s="30" t="n"/>
      <c r="J1406" s="31" t="n"/>
      <c r="K1406" s="36" t="n"/>
      <c r="L1406" s="32" t="n"/>
      <c r="M1406" s="36" t="n"/>
      <c r="N1406" s="36" t="n"/>
      <c r="O1406" s="36" t="n"/>
      <c r="P1406" s="36" t="n"/>
      <c r="Q1406" s="36" t="n"/>
    </row>
    <row r="1407">
      <c r="C1407" s="36" t="n"/>
      <c r="D1407" s="36" t="n"/>
      <c r="E1407" s="36" t="n"/>
      <c r="F1407" s="36" t="n"/>
      <c r="G1407" s="42" t="n"/>
      <c r="H1407" s="30" t="n"/>
      <c r="I1407" s="30" t="n"/>
      <c r="J1407" s="31" t="n"/>
      <c r="K1407" s="36" t="n"/>
      <c r="L1407" s="32" t="n"/>
      <c r="M1407" s="36" t="n"/>
      <c r="N1407" s="36" t="n"/>
      <c r="O1407" s="36" t="n"/>
      <c r="P1407" s="36" t="n"/>
      <c r="Q1407" s="36" t="n"/>
    </row>
    <row r="1408">
      <c r="C1408" s="36" t="n"/>
      <c r="D1408" s="36" t="n"/>
      <c r="E1408" s="36" t="n"/>
      <c r="F1408" s="36" t="n"/>
      <c r="G1408" s="42" t="n"/>
      <c r="H1408" s="30" t="n"/>
      <c r="I1408" s="30" t="n"/>
      <c r="J1408" s="31" t="n"/>
      <c r="K1408" s="36" t="n"/>
      <c r="L1408" s="32" t="n"/>
      <c r="M1408" s="36" t="n"/>
      <c r="N1408" s="36" t="n"/>
      <c r="O1408" s="36" t="n"/>
      <c r="P1408" s="36" t="n"/>
      <c r="Q1408" s="36" t="n"/>
    </row>
    <row r="1409">
      <c r="C1409" s="36" t="n"/>
      <c r="D1409" s="36" t="n"/>
      <c r="E1409" s="36" t="n"/>
      <c r="F1409" s="36" t="n"/>
      <c r="G1409" s="42" t="n"/>
      <c r="H1409" s="30" t="n"/>
      <c r="I1409" s="30" t="n"/>
      <c r="J1409" s="31" t="n"/>
      <c r="K1409" s="36" t="n"/>
      <c r="L1409" s="32" t="n"/>
      <c r="M1409" s="36" t="n"/>
      <c r="N1409" s="36" t="n"/>
      <c r="O1409" s="36" t="n"/>
      <c r="P1409" s="36" t="n"/>
      <c r="Q1409" s="36" t="n"/>
    </row>
    <row r="1410">
      <c r="C1410" s="36" t="n"/>
      <c r="D1410" s="36" t="n"/>
      <c r="E1410" s="36" t="n"/>
      <c r="F1410" s="36" t="n"/>
      <c r="G1410" s="42" t="n"/>
      <c r="H1410" s="30" t="n"/>
      <c r="I1410" s="30" t="n"/>
      <c r="J1410" s="31" t="n"/>
      <c r="K1410" s="36" t="n"/>
      <c r="L1410" s="32" t="n"/>
      <c r="M1410" s="36" t="n"/>
      <c r="N1410" s="36" t="n"/>
      <c r="O1410" s="36" t="n"/>
      <c r="P1410" s="36" t="n"/>
      <c r="Q1410" s="36" t="n"/>
    </row>
    <row r="1411">
      <c r="C1411" s="36" t="n"/>
      <c r="D1411" s="36" t="n"/>
      <c r="E1411" s="36" t="n"/>
      <c r="F1411" s="36" t="n"/>
      <c r="G1411" s="42" t="n"/>
      <c r="H1411" s="30" t="n"/>
      <c r="I1411" s="30" t="n"/>
      <c r="J1411" s="31" t="n"/>
      <c r="K1411" s="36" t="n"/>
      <c r="L1411" s="32" t="n"/>
      <c r="M1411" s="36" t="n"/>
      <c r="N1411" s="36" t="n"/>
      <c r="O1411" s="36" t="n"/>
      <c r="P1411" s="36" t="n"/>
      <c r="Q1411" s="36" t="n"/>
    </row>
    <row r="1412">
      <c r="C1412" s="36" t="n"/>
      <c r="D1412" s="36" t="n"/>
      <c r="E1412" s="36" t="n"/>
      <c r="F1412" s="36" t="n"/>
      <c r="G1412" s="42" t="n"/>
      <c r="H1412" s="30" t="n"/>
      <c r="I1412" s="30" t="n"/>
      <c r="J1412" s="31" t="n"/>
      <c r="K1412" s="36" t="n"/>
      <c r="L1412" s="32" t="n"/>
      <c r="M1412" s="36" t="n"/>
      <c r="N1412" s="36" t="n"/>
      <c r="O1412" s="36" t="n"/>
      <c r="P1412" s="36" t="n"/>
      <c r="Q1412" s="36" t="n"/>
    </row>
    <row r="1413">
      <c r="C1413" s="36" t="n"/>
      <c r="D1413" s="36" t="n"/>
      <c r="E1413" s="36" t="n"/>
      <c r="F1413" s="36" t="n"/>
      <c r="G1413" s="42" t="n"/>
      <c r="H1413" s="30" t="n"/>
      <c r="I1413" s="30" t="n"/>
      <c r="J1413" s="31" t="n"/>
      <c r="K1413" s="36" t="n"/>
      <c r="L1413" s="32" t="n"/>
      <c r="M1413" s="36" t="n"/>
      <c r="N1413" s="36" t="n"/>
      <c r="O1413" s="36" t="n"/>
      <c r="P1413" s="36" t="n"/>
      <c r="Q1413" s="36" t="n"/>
    </row>
    <row r="1414">
      <c r="C1414" s="36" t="n"/>
      <c r="D1414" s="36" t="n"/>
      <c r="E1414" s="36" t="n"/>
      <c r="F1414" s="36" t="n"/>
      <c r="G1414" s="42" t="n"/>
      <c r="H1414" s="30" t="n"/>
      <c r="I1414" s="30" t="n"/>
      <c r="J1414" s="31" t="n"/>
      <c r="K1414" s="36" t="n"/>
      <c r="L1414" s="32" t="n"/>
      <c r="M1414" s="36" t="n"/>
      <c r="N1414" s="36" t="n"/>
      <c r="O1414" s="36" t="n"/>
      <c r="P1414" s="36" t="n"/>
      <c r="Q1414" s="36" t="n"/>
    </row>
    <row r="1415">
      <c r="C1415" s="36" t="n"/>
      <c r="D1415" s="36" t="n"/>
      <c r="E1415" s="36" t="n"/>
      <c r="F1415" s="36" t="n"/>
      <c r="G1415" s="42" t="n"/>
      <c r="H1415" s="30" t="n"/>
      <c r="I1415" s="30" t="n"/>
      <c r="J1415" s="31" t="n"/>
      <c r="K1415" s="36" t="n"/>
      <c r="L1415" s="32" t="n"/>
      <c r="M1415" s="36" t="n"/>
      <c r="N1415" s="36" t="n"/>
      <c r="O1415" s="36" t="n"/>
      <c r="P1415" s="36" t="n"/>
      <c r="Q1415" s="36" t="n"/>
    </row>
    <row r="1416">
      <c r="C1416" s="36" t="n"/>
      <c r="D1416" s="36" t="n"/>
      <c r="E1416" s="36" t="n"/>
      <c r="F1416" s="36" t="n"/>
      <c r="G1416" s="42" t="n"/>
      <c r="H1416" s="30" t="n"/>
      <c r="I1416" s="30" t="n"/>
      <c r="J1416" s="31" t="n"/>
      <c r="K1416" s="36" t="n"/>
      <c r="L1416" s="32" t="n"/>
      <c r="M1416" s="36" t="n"/>
      <c r="N1416" s="36" t="n"/>
      <c r="O1416" s="36" t="n"/>
      <c r="P1416" s="36" t="n"/>
      <c r="Q1416" s="36" t="n"/>
    </row>
    <row r="1417">
      <c r="C1417" s="36" t="n"/>
      <c r="D1417" s="36" t="n"/>
      <c r="E1417" s="36" t="n"/>
      <c r="F1417" s="36" t="n"/>
      <c r="G1417" s="42" t="n"/>
      <c r="H1417" s="30" t="n"/>
      <c r="I1417" s="30" t="n"/>
      <c r="J1417" s="31" t="n"/>
      <c r="K1417" s="36" t="n"/>
      <c r="L1417" s="32" t="n"/>
      <c r="M1417" s="36" t="n"/>
      <c r="N1417" s="36" t="n"/>
      <c r="O1417" s="36" t="n"/>
      <c r="P1417" s="36" t="n"/>
      <c r="Q1417" s="36" t="n"/>
    </row>
    <row r="1418">
      <c r="C1418" s="36" t="n"/>
      <c r="D1418" s="36" t="n"/>
      <c r="E1418" s="36" t="n"/>
      <c r="F1418" s="36" t="n"/>
      <c r="G1418" s="42" t="n"/>
      <c r="H1418" s="30" t="n"/>
      <c r="I1418" s="30" t="n"/>
      <c r="J1418" s="31" t="n"/>
      <c r="K1418" s="36" t="n"/>
      <c r="L1418" s="32" t="n"/>
      <c r="M1418" s="36" t="n"/>
      <c r="N1418" s="36" t="n"/>
      <c r="O1418" s="36" t="n"/>
      <c r="P1418" s="36" t="n"/>
      <c r="Q1418" s="36" t="n"/>
    </row>
    <row r="1419">
      <c r="C1419" s="36" t="n"/>
      <c r="D1419" s="36" t="n"/>
      <c r="E1419" s="36" t="n"/>
      <c r="F1419" s="36" t="n"/>
      <c r="G1419" s="42" t="n"/>
      <c r="H1419" s="30" t="n"/>
      <c r="I1419" s="30" t="n"/>
      <c r="J1419" s="31" t="n"/>
      <c r="K1419" s="43" t="n"/>
      <c r="L1419" s="32" t="n"/>
      <c r="M1419" s="36" t="n"/>
      <c r="N1419" s="36" t="n"/>
      <c r="O1419" s="36" t="n"/>
      <c r="P1419" s="36" t="n"/>
      <c r="Q1419" s="36" t="n"/>
    </row>
    <row r="1420">
      <c r="C1420" s="36" t="n"/>
      <c r="D1420" s="36" t="n"/>
      <c r="E1420" s="36" t="n"/>
      <c r="F1420" s="36" t="n"/>
      <c r="G1420" s="42" t="n"/>
      <c r="H1420" s="30" t="n"/>
      <c r="I1420" s="30" t="n"/>
      <c r="J1420" s="31" t="n"/>
      <c r="K1420" s="43" t="n"/>
      <c r="L1420" s="32" t="n"/>
      <c r="M1420" s="36" t="n"/>
      <c r="N1420" s="36" t="n"/>
      <c r="O1420" s="36" t="n"/>
      <c r="P1420" s="36" t="n"/>
      <c r="Q1420" s="36" t="n"/>
    </row>
    <row r="1421">
      <c r="C1421" s="36" t="n"/>
      <c r="D1421" s="36" t="n"/>
      <c r="E1421" s="36" t="n"/>
      <c r="F1421" s="36" t="n"/>
      <c r="G1421" s="42" t="n"/>
      <c r="H1421" s="30" t="n"/>
      <c r="I1421" s="30" t="n"/>
      <c r="J1421" s="31" t="n"/>
      <c r="K1421" s="43" t="n"/>
      <c r="L1421" s="32" t="n"/>
      <c r="M1421" s="36" t="n"/>
      <c r="N1421" s="36" t="n"/>
      <c r="O1421" s="36" t="n"/>
      <c r="P1421" s="36" t="n"/>
      <c r="Q1421" s="36" t="n"/>
    </row>
    <row r="1422">
      <c r="C1422" s="36" t="n"/>
      <c r="D1422" s="36" t="n"/>
      <c r="E1422" s="36" t="n"/>
      <c r="F1422" s="36" t="n"/>
      <c r="G1422" s="42" t="n"/>
      <c r="H1422" s="30" t="n"/>
      <c r="I1422" s="30" t="n"/>
      <c r="J1422" s="31" t="n"/>
      <c r="K1422" s="43" t="n"/>
      <c r="L1422" s="32" t="n"/>
      <c r="M1422" s="36" t="n"/>
      <c r="N1422" s="36" t="n"/>
      <c r="O1422" s="36" t="n"/>
      <c r="P1422" s="36" t="n"/>
      <c r="Q1422" s="36" t="n"/>
    </row>
    <row r="1423">
      <c r="C1423" s="36" t="n"/>
      <c r="D1423" s="36" t="n"/>
      <c r="E1423" s="36" t="n"/>
      <c r="F1423" s="36" t="n"/>
      <c r="G1423" s="42" t="n"/>
      <c r="H1423" s="30" t="n"/>
      <c r="I1423" s="30" t="n"/>
      <c r="J1423" s="31" t="n"/>
      <c r="K1423" s="43" t="n"/>
      <c r="L1423" s="32" t="n"/>
      <c r="M1423" s="36" t="n"/>
      <c r="N1423" s="36" t="n"/>
      <c r="O1423" s="36" t="n"/>
      <c r="P1423" s="36" t="n"/>
      <c r="Q1423" s="36" t="n"/>
    </row>
    <row r="1424">
      <c r="C1424" s="36" t="n"/>
      <c r="D1424" s="36" t="n"/>
      <c r="E1424" s="36" t="n"/>
      <c r="F1424" s="36" t="n"/>
      <c r="G1424" s="42" t="n"/>
      <c r="H1424" s="30" t="n"/>
      <c r="I1424" s="30" t="n"/>
      <c r="J1424" s="31" t="n"/>
      <c r="K1424" s="43" t="n"/>
      <c r="L1424" s="32" t="n"/>
      <c r="M1424" s="36" t="n"/>
      <c r="N1424" s="36" t="n"/>
      <c r="O1424" s="36" t="n"/>
      <c r="P1424" s="36" t="n"/>
      <c r="Q1424" s="36" t="n"/>
    </row>
    <row r="1425">
      <c r="C1425" s="36" t="n"/>
      <c r="D1425" s="36" t="n"/>
      <c r="E1425" s="36" t="n"/>
      <c r="F1425" s="36" t="n"/>
      <c r="G1425" s="42" t="n"/>
      <c r="H1425" s="30" t="n"/>
      <c r="I1425" s="30" t="n"/>
      <c r="J1425" s="31" t="n"/>
      <c r="K1425" s="43" t="n"/>
      <c r="L1425" s="32" t="n"/>
      <c r="M1425" s="36" t="n"/>
      <c r="N1425" s="36" t="n"/>
      <c r="O1425" s="36" t="n"/>
      <c r="P1425" s="36" t="n"/>
      <c r="Q1425" s="36" t="n"/>
    </row>
    <row r="1426">
      <c r="C1426" s="36" t="n"/>
      <c r="D1426" s="36" t="n"/>
      <c r="E1426" s="36" t="n"/>
      <c r="F1426" s="36" t="n"/>
      <c r="G1426" s="42" t="n"/>
      <c r="H1426" s="30" t="n"/>
      <c r="I1426" s="30" t="n"/>
      <c r="J1426" s="31" t="n"/>
      <c r="K1426" s="43" t="n"/>
      <c r="L1426" s="32" t="n"/>
      <c r="M1426" s="36" t="n"/>
      <c r="N1426" s="36" t="n"/>
      <c r="O1426" s="36" t="n"/>
      <c r="P1426" s="36" t="n"/>
      <c r="Q1426" s="36" t="n"/>
    </row>
    <row r="1427">
      <c r="C1427" s="36" t="n"/>
      <c r="D1427" s="36" t="n"/>
      <c r="E1427" s="36" t="n"/>
      <c r="F1427" s="36" t="n"/>
      <c r="G1427" s="42" t="n"/>
      <c r="H1427" s="30" t="n"/>
      <c r="I1427" s="30" t="n"/>
      <c r="J1427" s="31" t="n"/>
      <c r="K1427" s="43" t="n"/>
      <c r="L1427" s="32" t="n"/>
      <c r="M1427" s="36" t="n"/>
      <c r="N1427" s="36" t="n"/>
      <c r="O1427" s="36" t="n"/>
      <c r="P1427" s="36" t="n"/>
      <c r="Q1427" s="36" t="n"/>
    </row>
    <row r="1428">
      <c r="C1428" s="36" t="n"/>
      <c r="D1428" s="36" t="n"/>
      <c r="E1428" s="36" t="n"/>
      <c r="F1428" s="36" t="n"/>
      <c r="G1428" s="42" t="n"/>
      <c r="H1428" s="30" t="n"/>
      <c r="I1428" s="30" t="n"/>
      <c r="J1428" s="31" t="n"/>
      <c r="K1428" s="43" t="n"/>
      <c r="L1428" s="32" t="n"/>
      <c r="M1428" s="36" t="n"/>
      <c r="N1428" s="36" t="n"/>
      <c r="O1428" s="36" t="n"/>
      <c r="P1428" s="36" t="n"/>
      <c r="Q1428" s="36" t="n"/>
    </row>
    <row r="1429">
      <c r="C1429" s="36" t="n"/>
      <c r="D1429" s="36" t="n"/>
      <c r="E1429" s="36" t="n"/>
      <c r="F1429" s="36" t="n"/>
      <c r="G1429" s="42" t="n"/>
      <c r="H1429" s="30" t="n"/>
      <c r="I1429" s="30" t="n"/>
      <c r="J1429" s="31" t="n"/>
      <c r="K1429" s="43" t="n"/>
      <c r="L1429" s="32" t="n"/>
      <c r="M1429" s="36" t="n"/>
      <c r="N1429" s="36" t="n"/>
      <c r="O1429" s="36" t="n"/>
      <c r="P1429" s="36" t="n"/>
      <c r="Q1429" s="36" t="n"/>
    </row>
    <row r="1430">
      <c r="C1430" s="36" t="n"/>
      <c r="D1430" s="36" t="n"/>
      <c r="E1430" s="36" t="n"/>
      <c r="F1430" s="36" t="n"/>
      <c r="G1430" s="42" t="n"/>
      <c r="H1430" s="30" t="n"/>
      <c r="I1430" s="30" t="n"/>
      <c r="J1430" s="31" t="n"/>
      <c r="K1430" s="43" t="n"/>
      <c r="L1430" s="32" t="n"/>
      <c r="M1430" s="36" t="n"/>
      <c r="N1430" s="36" t="n"/>
      <c r="O1430" s="36" t="n"/>
      <c r="P1430" s="36" t="n"/>
      <c r="Q1430" s="36" t="n"/>
    </row>
    <row r="1431">
      <c r="C1431" s="36" t="n"/>
      <c r="D1431" s="36" t="n"/>
      <c r="E1431" s="36" t="n"/>
      <c r="F1431" s="36" t="n"/>
      <c r="G1431" s="42" t="n"/>
      <c r="H1431" s="30" t="n"/>
      <c r="I1431" s="30" t="n"/>
      <c r="J1431" s="31" t="n"/>
      <c r="K1431" s="43" t="n"/>
      <c r="L1431" s="32" t="n"/>
      <c r="M1431" s="36" t="n"/>
      <c r="N1431" s="36" t="n"/>
      <c r="O1431" s="36" t="n"/>
      <c r="P1431" s="36" t="n"/>
      <c r="Q1431" s="36" t="n"/>
    </row>
    <row r="1432">
      <c r="C1432" s="36" t="n"/>
      <c r="D1432" s="36" t="n"/>
      <c r="E1432" s="36" t="n"/>
      <c r="F1432" s="36" t="n"/>
      <c r="G1432" s="42" t="n"/>
      <c r="H1432" s="30" t="n"/>
      <c r="I1432" s="30" t="n"/>
      <c r="J1432" s="31" t="n"/>
      <c r="K1432" s="43" t="n"/>
      <c r="L1432" s="32" t="n"/>
      <c r="M1432" s="36" t="n"/>
      <c r="N1432" s="36" t="n"/>
      <c r="O1432" s="36" t="n"/>
      <c r="P1432" s="36" t="n"/>
      <c r="Q1432" s="36" t="n"/>
    </row>
    <row r="1433">
      <c r="C1433" s="36" t="n"/>
      <c r="D1433" s="36" t="n"/>
      <c r="E1433" s="36" t="n"/>
      <c r="F1433" s="36" t="n"/>
      <c r="G1433" s="42" t="n"/>
      <c r="H1433" s="30" t="n"/>
      <c r="I1433" s="30" t="n"/>
      <c r="J1433" s="31" t="n"/>
      <c r="K1433" s="43" t="n"/>
      <c r="L1433" s="32" t="n"/>
      <c r="M1433" s="36" t="n"/>
      <c r="N1433" s="36" t="n"/>
      <c r="O1433" s="36" t="n"/>
      <c r="P1433" s="36" t="n"/>
      <c r="Q1433" s="36" t="n"/>
    </row>
    <row r="1434">
      <c r="C1434" s="36" t="n"/>
      <c r="D1434" s="36" t="n"/>
      <c r="E1434" s="36" t="n"/>
      <c r="F1434" s="36" t="n"/>
      <c r="G1434" s="42" t="n"/>
      <c r="H1434" s="30" t="n"/>
      <c r="I1434" s="30" t="n"/>
      <c r="J1434" s="31" t="n"/>
      <c r="K1434" s="43" t="n"/>
      <c r="L1434" s="32" t="n"/>
      <c r="M1434" s="36" t="n"/>
      <c r="N1434" s="36" t="n"/>
      <c r="O1434" s="36" t="n"/>
      <c r="P1434" s="36" t="n"/>
      <c r="Q1434" s="36" t="n"/>
    </row>
    <row r="1435">
      <c r="C1435" s="36" t="n"/>
      <c r="D1435" s="36" t="n"/>
      <c r="E1435" s="36" t="n"/>
      <c r="F1435" s="36" t="n"/>
      <c r="G1435" s="42" t="n"/>
      <c r="H1435" s="30" t="n"/>
      <c r="I1435" s="30" t="n"/>
      <c r="J1435" s="31" t="n"/>
      <c r="K1435" s="43" t="n"/>
      <c r="L1435" s="32" t="n"/>
      <c r="M1435" s="36" t="n"/>
      <c r="N1435" s="36" t="n"/>
      <c r="O1435" s="36" t="n"/>
      <c r="P1435" s="36" t="n"/>
      <c r="Q1435" s="36" t="n"/>
    </row>
    <row r="1436">
      <c r="C1436" s="36" t="n"/>
      <c r="D1436" s="36" t="n"/>
      <c r="E1436" s="36" t="n"/>
      <c r="F1436" s="36" t="n"/>
      <c r="G1436" s="42" t="n"/>
      <c r="H1436" s="30" t="n"/>
      <c r="I1436" s="30" t="n"/>
      <c r="J1436" s="31" t="n"/>
      <c r="K1436" s="43" t="n"/>
      <c r="L1436" s="32" t="n"/>
      <c r="M1436" s="36" t="n"/>
      <c r="N1436" s="36" t="n"/>
      <c r="O1436" s="36" t="n"/>
      <c r="P1436" s="36" t="n"/>
      <c r="Q1436" s="36" t="n"/>
    </row>
    <row r="1437">
      <c r="C1437" s="36" t="n"/>
      <c r="D1437" s="36" t="n"/>
      <c r="E1437" s="36" t="n"/>
      <c r="F1437" s="36" t="n"/>
      <c r="G1437" s="42" t="n"/>
      <c r="H1437" s="30" t="n"/>
      <c r="I1437" s="30" t="n"/>
      <c r="J1437" s="31" t="n"/>
      <c r="K1437" s="43" t="n"/>
      <c r="L1437" s="32" t="n"/>
      <c r="M1437" s="36" t="n"/>
      <c r="N1437" s="36" t="n"/>
      <c r="O1437" s="36" t="n"/>
      <c r="P1437" s="36" t="n"/>
      <c r="Q1437" s="36" t="n"/>
    </row>
    <row r="1438">
      <c r="C1438" s="36" t="n"/>
      <c r="D1438" s="36" t="n"/>
      <c r="E1438" s="36" t="n"/>
      <c r="F1438" s="36" t="n"/>
      <c r="G1438" s="42" t="n"/>
      <c r="H1438" s="30" t="n"/>
      <c r="I1438" s="30" t="n"/>
      <c r="J1438" s="31" t="n"/>
      <c r="K1438" s="43" t="n"/>
      <c r="L1438" s="32" t="n"/>
      <c r="M1438" s="36" t="n"/>
      <c r="N1438" s="36" t="n"/>
      <c r="O1438" s="36" t="n"/>
      <c r="P1438" s="36" t="n"/>
      <c r="Q1438" s="36" t="n"/>
    </row>
    <row r="1439">
      <c r="C1439" s="36" t="n"/>
      <c r="D1439" s="36" t="n"/>
      <c r="E1439" s="36" t="n"/>
      <c r="F1439" s="36" t="n"/>
      <c r="G1439" s="42" t="n"/>
      <c r="H1439" s="30" t="n"/>
      <c r="I1439" s="30" t="n"/>
      <c r="J1439" s="31" t="n"/>
      <c r="K1439" s="43" t="n"/>
      <c r="L1439" s="32" t="n"/>
      <c r="M1439" s="36" t="n"/>
      <c r="N1439" s="36" t="n"/>
      <c r="O1439" s="36" t="n"/>
      <c r="P1439" s="36" t="n"/>
      <c r="Q1439" s="36" t="n"/>
    </row>
    <row r="1440">
      <c r="C1440" s="36" t="n"/>
      <c r="D1440" s="36" t="n"/>
      <c r="E1440" s="36" t="n"/>
      <c r="F1440" s="36" t="n"/>
      <c r="G1440" s="42" t="n"/>
      <c r="H1440" s="30" t="n"/>
      <c r="I1440" s="30" t="n"/>
      <c r="J1440" s="31" t="n"/>
      <c r="K1440" s="43" t="n"/>
      <c r="L1440" s="32" t="n"/>
      <c r="M1440" s="36" t="n"/>
      <c r="N1440" s="36" t="n"/>
      <c r="O1440" s="36" t="n"/>
      <c r="P1440" s="36" t="n"/>
      <c r="Q1440" s="36" t="n"/>
    </row>
    <row r="1441">
      <c r="C1441" s="36" t="n"/>
      <c r="D1441" s="36" t="n"/>
      <c r="E1441" s="36" t="n"/>
      <c r="F1441" s="36" t="n"/>
      <c r="G1441" s="42" t="n"/>
      <c r="H1441" s="30" t="n"/>
      <c r="I1441" s="30" t="n"/>
      <c r="J1441" s="31" t="n"/>
      <c r="K1441" s="43" t="n"/>
      <c r="L1441" s="32" t="n"/>
      <c r="M1441" s="36" t="n"/>
      <c r="N1441" s="36" t="n"/>
      <c r="O1441" s="36" t="n"/>
      <c r="P1441" s="36" t="n"/>
      <c r="Q1441" s="36" t="n"/>
    </row>
    <row r="1442">
      <c r="C1442" s="36" t="n"/>
      <c r="D1442" s="36" t="n"/>
      <c r="E1442" s="36" t="n"/>
      <c r="F1442" s="36" t="n"/>
      <c r="G1442" s="42" t="n"/>
      <c r="H1442" s="30" t="n"/>
      <c r="I1442" s="30" t="n"/>
      <c r="J1442" s="31" t="n"/>
      <c r="K1442" s="43" t="n"/>
      <c r="L1442" s="32" t="n"/>
      <c r="M1442" s="36" t="n"/>
      <c r="N1442" s="36" t="n"/>
      <c r="O1442" s="36" t="n"/>
      <c r="P1442" s="36" t="n"/>
      <c r="Q1442" s="36" t="n"/>
    </row>
    <row r="1443">
      <c r="C1443" s="36" t="n"/>
      <c r="D1443" s="36" t="n"/>
      <c r="E1443" s="36" t="n"/>
      <c r="F1443" s="36" t="n"/>
      <c r="G1443" s="42" t="n"/>
      <c r="H1443" s="30" t="n"/>
      <c r="I1443" s="30" t="n"/>
      <c r="J1443" s="31" t="n"/>
      <c r="K1443" s="43" t="n"/>
      <c r="L1443" s="32" t="n"/>
      <c r="M1443" s="36" t="n"/>
      <c r="N1443" s="36" t="n"/>
      <c r="O1443" s="36" t="n"/>
      <c r="P1443" s="36" t="n"/>
      <c r="Q1443" s="36" t="n"/>
    </row>
    <row r="1444">
      <c r="C1444" s="36" t="n"/>
      <c r="D1444" s="36" t="n"/>
      <c r="E1444" s="36" t="n"/>
      <c r="F1444" s="36" t="n"/>
      <c r="G1444" s="42" t="n"/>
      <c r="H1444" s="30" t="n"/>
      <c r="I1444" s="30" t="n"/>
      <c r="J1444" s="31" t="n"/>
      <c r="K1444" s="43" t="n"/>
      <c r="L1444" s="32" t="n"/>
      <c r="M1444" s="36" t="n"/>
      <c r="N1444" s="36" t="n"/>
      <c r="O1444" s="36" t="n"/>
      <c r="P1444" s="36" t="n"/>
      <c r="Q1444" s="36" t="n"/>
    </row>
    <row r="1445">
      <c r="C1445" s="36" t="n"/>
      <c r="D1445" s="36" t="n"/>
      <c r="E1445" s="36" t="n"/>
      <c r="F1445" s="36" t="n"/>
      <c r="G1445" s="42" t="n"/>
      <c r="H1445" s="30" t="n"/>
      <c r="I1445" s="30" t="n"/>
      <c r="J1445" s="31" t="n"/>
      <c r="K1445" s="43" t="n"/>
      <c r="L1445" s="32" t="n"/>
      <c r="M1445" s="36" t="n"/>
      <c r="N1445" s="36" t="n"/>
      <c r="O1445" s="36" t="n"/>
      <c r="P1445" s="36" t="n"/>
      <c r="Q1445" s="36" t="n"/>
    </row>
    <row r="1446">
      <c r="C1446" s="36" t="n"/>
      <c r="D1446" s="36" t="n"/>
      <c r="E1446" s="36" t="n"/>
      <c r="F1446" s="36" t="n"/>
      <c r="G1446" s="42" t="n"/>
      <c r="H1446" s="30" t="n"/>
      <c r="I1446" s="30" t="n"/>
      <c r="J1446" s="31" t="n"/>
      <c r="K1446" s="43" t="n"/>
      <c r="L1446" s="32" t="n"/>
      <c r="M1446" s="36" t="n"/>
      <c r="N1446" s="36" t="n"/>
      <c r="O1446" s="36" t="n"/>
      <c r="P1446" s="36" t="n"/>
      <c r="Q1446" s="36" t="n"/>
    </row>
    <row r="1447">
      <c r="C1447" s="36" t="n"/>
      <c r="D1447" s="36" t="n"/>
      <c r="E1447" s="36" t="n"/>
      <c r="F1447" s="36" t="n"/>
      <c r="G1447" s="42" t="n"/>
      <c r="H1447" s="30" t="n"/>
      <c r="I1447" s="30" t="n"/>
      <c r="J1447" s="31" t="n"/>
      <c r="K1447" s="43" t="n"/>
      <c r="L1447" s="32" t="n"/>
      <c r="M1447" s="36" t="n"/>
      <c r="N1447" s="36" t="n"/>
      <c r="O1447" s="36" t="n"/>
      <c r="P1447" s="36" t="n"/>
      <c r="Q1447" s="36" t="n"/>
    </row>
    <row r="1448">
      <c r="C1448" s="36" t="n"/>
      <c r="D1448" s="36" t="n"/>
      <c r="E1448" s="36" t="n"/>
      <c r="F1448" s="36" t="n"/>
      <c r="G1448" s="42" t="n"/>
      <c r="H1448" s="30" t="n"/>
      <c r="I1448" s="30" t="n"/>
      <c r="J1448" s="31" t="n"/>
      <c r="K1448" s="43" t="n"/>
      <c r="L1448" s="32" t="n"/>
      <c r="M1448" s="36" t="n"/>
      <c r="N1448" s="36" t="n"/>
      <c r="O1448" s="36" t="n"/>
      <c r="P1448" s="36" t="n"/>
      <c r="Q1448" s="36" t="n"/>
    </row>
    <row r="1449">
      <c r="C1449" s="36" t="n"/>
      <c r="D1449" s="36" t="n"/>
      <c r="E1449" s="36" t="n"/>
      <c r="F1449" s="36" t="n"/>
      <c r="G1449" s="42" t="n"/>
      <c r="H1449" s="30" t="n"/>
      <c r="I1449" s="30" t="n"/>
      <c r="J1449" s="31" t="n"/>
      <c r="K1449" s="43" t="n"/>
      <c r="L1449" s="32" t="n"/>
      <c r="M1449" s="36" t="n"/>
      <c r="N1449" s="36" t="n"/>
      <c r="O1449" s="36" t="n"/>
      <c r="P1449" s="36" t="n"/>
      <c r="Q1449" s="36" t="n"/>
    </row>
    <row r="1450">
      <c r="C1450" s="36" t="n"/>
      <c r="D1450" s="36" t="n"/>
      <c r="E1450" s="36" t="n"/>
      <c r="F1450" s="36" t="n"/>
      <c r="G1450" s="42" t="n"/>
      <c r="H1450" s="30" t="n"/>
      <c r="I1450" s="30" t="n"/>
      <c r="J1450" s="31" t="n"/>
      <c r="K1450" s="43" t="n"/>
      <c r="L1450" s="32" t="n"/>
      <c r="M1450" s="36" t="n"/>
      <c r="N1450" s="36" t="n"/>
      <c r="O1450" s="36" t="n"/>
      <c r="P1450" s="36" t="n"/>
      <c r="Q1450" s="36" t="n"/>
    </row>
    <row r="1451">
      <c r="C1451" s="36" t="n"/>
      <c r="D1451" s="36" t="n"/>
      <c r="E1451" s="36" t="n"/>
      <c r="F1451" s="36" t="n"/>
      <c r="G1451" s="42" t="n"/>
      <c r="H1451" s="30" t="n"/>
      <c r="I1451" s="30" t="n"/>
      <c r="J1451" s="31" t="n"/>
      <c r="K1451" s="43" t="n"/>
      <c r="L1451" s="32" t="n"/>
      <c r="M1451" s="36" t="n"/>
      <c r="N1451" s="36" t="n"/>
      <c r="O1451" s="36" t="n"/>
      <c r="P1451" s="36" t="n"/>
      <c r="Q1451" s="36" t="n"/>
    </row>
    <row r="1452">
      <c r="C1452" s="36" t="n"/>
      <c r="D1452" s="36" t="n"/>
      <c r="E1452" s="36" t="n"/>
      <c r="F1452" s="36" t="n"/>
      <c r="G1452" s="42" t="n"/>
      <c r="H1452" s="30" t="n"/>
      <c r="I1452" s="30" t="n"/>
      <c r="J1452" s="31" t="n"/>
      <c r="K1452" s="43" t="n"/>
      <c r="L1452" s="32" t="n"/>
      <c r="M1452" s="36" t="n"/>
      <c r="N1452" s="36" t="n"/>
      <c r="O1452" s="36" t="n"/>
      <c r="P1452" s="36" t="n"/>
      <c r="Q1452" s="36" t="n"/>
    </row>
    <row r="1453">
      <c r="C1453" s="36" t="n"/>
      <c r="D1453" s="36" t="n"/>
      <c r="E1453" s="36" t="n"/>
      <c r="F1453" s="36" t="n"/>
      <c r="G1453" s="42" t="n"/>
      <c r="H1453" s="30" t="n"/>
      <c r="I1453" s="30" t="n"/>
      <c r="J1453" s="31" t="n"/>
      <c r="K1453" s="43" t="n"/>
      <c r="L1453" s="32" t="n"/>
      <c r="M1453" s="36" t="n"/>
      <c r="N1453" s="36" t="n"/>
      <c r="O1453" s="36" t="n"/>
      <c r="P1453" s="36" t="n"/>
      <c r="Q1453" s="36" t="n"/>
    </row>
    <row r="1454">
      <c r="C1454" s="36" t="n"/>
      <c r="D1454" s="36" t="n"/>
      <c r="E1454" s="36" t="n"/>
      <c r="F1454" s="36" t="n"/>
      <c r="G1454" s="42" t="n"/>
      <c r="H1454" s="30" t="n"/>
      <c r="I1454" s="30" t="n"/>
      <c r="J1454" s="31" t="n"/>
      <c r="K1454" s="43" t="n"/>
      <c r="L1454" s="32" t="n"/>
      <c r="M1454" s="36" t="n"/>
      <c r="N1454" s="36" t="n"/>
      <c r="O1454" s="36" t="n"/>
      <c r="P1454" s="36" t="n"/>
      <c r="Q1454" s="36" t="n"/>
    </row>
    <row r="1455">
      <c r="C1455" s="36" t="n"/>
      <c r="D1455" s="36" t="n"/>
      <c r="E1455" s="36" t="n"/>
      <c r="F1455" s="36" t="n"/>
      <c r="G1455" s="42" t="n"/>
      <c r="H1455" s="30" t="n"/>
      <c r="I1455" s="30" t="n"/>
      <c r="J1455" s="31" t="n"/>
      <c r="K1455" s="43" t="n"/>
      <c r="L1455" s="32" t="n"/>
      <c r="M1455" s="36" t="n"/>
      <c r="N1455" s="36" t="n"/>
      <c r="O1455" s="36" t="n"/>
      <c r="P1455" s="36" t="n"/>
      <c r="Q1455" s="36" t="n"/>
    </row>
    <row r="1456">
      <c r="C1456" s="36" t="n"/>
      <c r="D1456" s="36" t="n"/>
      <c r="E1456" s="36" t="n"/>
      <c r="F1456" s="36" t="n"/>
      <c r="G1456" s="42" t="n"/>
      <c r="H1456" s="30" t="n"/>
      <c r="I1456" s="30" t="n"/>
      <c r="J1456" s="31" t="n"/>
      <c r="K1456" s="43" t="n"/>
      <c r="L1456" s="32" t="n"/>
      <c r="M1456" s="36" t="n"/>
      <c r="N1456" s="36" t="n"/>
      <c r="O1456" s="36" t="n"/>
      <c r="P1456" s="36" t="n"/>
      <c r="Q1456" s="36" t="n"/>
    </row>
    <row r="1457">
      <c r="C1457" s="36" t="n"/>
      <c r="D1457" s="36" t="n"/>
      <c r="E1457" s="36" t="n"/>
      <c r="F1457" s="36" t="n"/>
      <c r="G1457" s="42" t="n"/>
      <c r="H1457" s="30" t="n"/>
      <c r="I1457" s="30" t="n"/>
      <c r="J1457" s="31" t="n"/>
      <c r="K1457" s="43" t="n"/>
      <c r="L1457" s="32" t="n"/>
      <c r="M1457" s="36" t="n"/>
      <c r="N1457" s="36" t="n"/>
      <c r="O1457" s="36" t="n"/>
      <c r="P1457" s="36" t="n"/>
      <c r="Q1457" s="36" t="n"/>
    </row>
    <row r="1458">
      <c r="C1458" s="36" t="n"/>
      <c r="D1458" s="36" t="n"/>
      <c r="E1458" s="36" t="n"/>
      <c r="F1458" s="36" t="n"/>
      <c r="G1458" s="42" t="n"/>
      <c r="H1458" s="30" t="n"/>
      <c r="I1458" s="30" t="n"/>
      <c r="J1458" s="31" t="n"/>
      <c r="K1458" s="43" t="n"/>
      <c r="L1458" s="32" t="n"/>
      <c r="M1458" s="36" t="n"/>
      <c r="N1458" s="36" t="n"/>
      <c r="O1458" s="36" t="n"/>
      <c r="P1458" s="36" t="n"/>
      <c r="Q1458" s="36" t="n"/>
    </row>
    <row r="1459">
      <c r="C1459" s="36" t="n"/>
      <c r="D1459" s="36" t="n"/>
      <c r="E1459" s="36" t="n"/>
      <c r="F1459" s="36" t="n"/>
      <c r="G1459" s="42" t="n"/>
      <c r="H1459" s="30" t="n"/>
      <c r="I1459" s="30" t="n"/>
      <c r="J1459" s="31" t="n"/>
      <c r="K1459" s="43" t="n"/>
      <c r="L1459" s="32" t="n"/>
      <c r="M1459" s="36" t="n"/>
      <c r="N1459" s="36" t="n"/>
      <c r="O1459" s="36" t="n"/>
      <c r="P1459" s="36" t="n"/>
      <c r="Q1459" s="36" t="n"/>
    </row>
    <row r="1460">
      <c r="C1460" s="36" t="n"/>
      <c r="D1460" s="36" t="n"/>
      <c r="E1460" s="36" t="n"/>
      <c r="F1460" s="36" t="n"/>
      <c r="G1460" s="42" t="n"/>
      <c r="H1460" s="30" t="n"/>
      <c r="I1460" s="30" t="n"/>
      <c r="J1460" s="31" t="n"/>
      <c r="K1460" s="43" t="n"/>
      <c r="L1460" s="32" t="n"/>
      <c r="M1460" s="36" t="n"/>
      <c r="N1460" s="36" t="n"/>
      <c r="O1460" s="36" t="n"/>
      <c r="P1460" s="36" t="n"/>
      <c r="Q1460" s="36" t="n"/>
    </row>
    <row r="1461">
      <c r="C1461" s="36" t="n"/>
      <c r="D1461" s="36" t="n"/>
      <c r="E1461" s="36" t="n"/>
      <c r="F1461" s="36" t="n"/>
      <c r="G1461" s="42" t="n"/>
      <c r="H1461" s="30" t="n"/>
      <c r="I1461" s="30" t="n"/>
      <c r="J1461" s="31" t="n"/>
      <c r="K1461" s="43" t="n"/>
      <c r="L1461" s="32" t="n"/>
      <c r="M1461" s="36" t="n"/>
      <c r="N1461" s="36" t="n"/>
      <c r="O1461" s="36" t="n"/>
      <c r="P1461" s="36" t="n"/>
      <c r="Q1461" s="36" t="n"/>
    </row>
    <row r="1462">
      <c r="C1462" s="36" t="n"/>
      <c r="D1462" s="36" t="n"/>
      <c r="E1462" s="36" t="n"/>
      <c r="F1462" s="36" t="n"/>
      <c r="G1462" s="42" t="n"/>
      <c r="H1462" s="30" t="n"/>
      <c r="I1462" s="30" t="n"/>
      <c r="J1462" s="31" t="n"/>
      <c r="K1462" s="43" t="n"/>
      <c r="L1462" s="32" t="n"/>
      <c r="M1462" s="36" t="n"/>
      <c r="N1462" s="36" t="n"/>
      <c r="O1462" s="36" t="n"/>
      <c r="P1462" s="36" t="n"/>
      <c r="Q1462" s="36" t="n"/>
    </row>
    <row r="1463">
      <c r="C1463" s="36" t="n"/>
      <c r="D1463" s="36" t="n"/>
      <c r="E1463" s="36" t="n"/>
      <c r="F1463" s="36" t="n"/>
      <c r="G1463" s="42" t="n"/>
      <c r="H1463" s="30" t="n"/>
      <c r="I1463" s="30" t="n"/>
      <c r="J1463" s="31" t="n"/>
      <c r="K1463" s="43" t="n"/>
      <c r="L1463" s="32" t="n"/>
      <c r="M1463" s="36" t="n"/>
      <c r="N1463" s="36" t="n"/>
      <c r="O1463" s="36" t="n"/>
      <c r="P1463" s="36" t="n"/>
      <c r="Q1463" s="36" t="n"/>
    </row>
    <row r="1464">
      <c r="C1464" s="36" t="n"/>
      <c r="D1464" s="36" t="n"/>
      <c r="E1464" s="36" t="n"/>
      <c r="F1464" s="36" t="n"/>
      <c r="G1464" s="42" t="n"/>
      <c r="H1464" s="30" t="n"/>
      <c r="I1464" s="30" t="n"/>
      <c r="J1464" s="31" t="n"/>
      <c r="K1464" s="43" t="n"/>
      <c r="L1464" s="32" t="n"/>
      <c r="M1464" s="36" t="n"/>
      <c r="N1464" s="36" t="n"/>
      <c r="O1464" s="36" t="n"/>
      <c r="P1464" s="36" t="n"/>
      <c r="Q1464" s="36" t="n"/>
    </row>
    <row r="1465">
      <c r="C1465" s="36" t="n"/>
      <c r="D1465" s="36" t="n"/>
      <c r="E1465" s="36" t="n"/>
      <c r="F1465" s="36" t="n"/>
      <c r="G1465" s="42" t="n"/>
      <c r="H1465" s="30" t="n"/>
      <c r="I1465" s="30" t="n"/>
      <c r="J1465" s="31" t="n"/>
      <c r="K1465" s="43" t="n"/>
      <c r="L1465" s="32" t="n"/>
      <c r="M1465" s="36" t="n"/>
      <c r="N1465" s="36" t="n"/>
      <c r="O1465" s="36" t="n"/>
      <c r="P1465" s="36" t="n"/>
      <c r="Q1465" s="36" t="n"/>
    </row>
    <row r="1466">
      <c r="C1466" s="36" t="n"/>
      <c r="D1466" s="36" t="n"/>
      <c r="E1466" s="36" t="n"/>
      <c r="F1466" s="36" t="n"/>
      <c r="G1466" s="42" t="n"/>
      <c r="H1466" s="30" t="n"/>
      <c r="I1466" s="30" t="n"/>
      <c r="J1466" s="31" t="n"/>
      <c r="K1466" s="43" t="n"/>
      <c r="L1466" s="32" t="n"/>
      <c r="M1466" s="36" t="n"/>
      <c r="N1466" s="36" t="n"/>
      <c r="O1466" s="36" t="n"/>
      <c r="P1466" s="36" t="n"/>
      <c r="Q1466" s="36" t="n"/>
    </row>
    <row r="1467">
      <c r="C1467" s="36" t="n"/>
      <c r="D1467" s="36" t="n"/>
      <c r="E1467" s="36" t="n"/>
      <c r="F1467" s="36" t="n"/>
      <c r="G1467" s="42" t="n"/>
      <c r="H1467" s="30" t="n"/>
      <c r="I1467" s="30" t="n"/>
      <c r="J1467" s="31" t="n"/>
      <c r="K1467" s="43" t="n"/>
      <c r="L1467" s="32" t="n"/>
      <c r="M1467" s="36" t="n"/>
      <c r="N1467" s="36" t="n"/>
      <c r="O1467" s="36" t="n"/>
      <c r="P1467" s="36" t="n"/>
      <c r="Q1467" s="36" t="n"/>
    </row>
    <row r="1468">
      <c r="C1468" s="36" t="n"/>
      <c r="D1468" s="36" t="n"/>
      <c r="E1468" s="36" t="n"/>
      <c r="F1468" s="36" t="n"/>
      <c r="G1468" s="42" t="n"/>
      <c r="H1468" s="30" t="n"/>
      <c r="I1468" s="30" t="n"/>
      <c r="J1468" s="31" t="n"/>
      <c r="K1468" s="43" t="n"/>
      <c r="L1468" s="32" t="n"/>
      <c r="M1468" s="36" t="n"/>
      <c r="N1468" s="36" t="n"/>
      <c r="O1468" s="36" t="n"/>
      <c r="P1468" s="36" t="n"/>
      <c r="Q1468" s="36" t="n"/>
    </row>
    <row r="1469">
      <c r="C1469" s="36" t="n"/>
      <c r="D1469" s="36" t="n"/>
      <c r="E1469" s="36" t="n"/>
      <c r="F1469" s="36" t="n"/>
      <c r="G1469" s="42" t="n"/>
      <c r="H1469" s="30" t="n"/>
      <c r="I1469" s="30" t="n"/>
      <c r="J1469" s="31" t="n"/>
      <c r="K1469" s="43" t="n"/>
      <c r="L1469" s="32" t="n"/>
      <c r="M1469" s="36" t="n"/>
      <c r="N1469" s="36" t="n"/>
      <c r="O1469" s="36" t="n"/>
      <c r="P1469" s="36" t="n"/>
      <c r="Q1469" s="36" t="n"/>
    </row>
    <row r="1470">
      <c r="C1470" s="36" t="n"/>
      <c r="D1470" s="36" t="n"/>
      <c r="E1470" s="36" t="n"/>
      <c r="F1470" s="36" t="n"/>
      <c r="G1470" s="42" t="n"/>
      <c r="H1470" s="30" t="n"/>
      <c r="I1470" s="30" t="n"/>
      <c r="J1470" s="31" t="n"/>
      <c r="K1470" s="43" t="n"/>
      <c r="L1470" s="32" t="n"/>
      <c r="M1470" s="36" t="n"/>
      <c r="N1470" s="36" t="n"/>
      <c r="O1470" s="36" t="n"/>
      <c r="P1470" s="36" t="n"/>
      <c r="Q1470" s="36" t="n"/>
    </row>
    <row r="1471">
      <c r="C1471" s="36" t="n"/>
      <c r="D1471" s="36" t="n"/>
      <c r="E1471" s="36" t="n"/>
      <c r="F1471" s="36" t="n"/>
      <c r="G1471" s="42" t="n"/>
      <c r="H1471" s="30" t="n"/>
      <c r="I1471" s="30" t="n"/>
      <c r="J1471" s="31" t="n"/>
      <c r="K1471" s="43" t="n"/>
      <c r="L1471" s="32" t="n"/>
      <c r="M1471" s="36" t="n"/>
      <c r="N1471" s="36" t="n"/>
      <c r="O1471" s="36" t="n"/>
      <c r="P1471" s="36" t="n"/>
      <c r="Q1471" s="36" t="n"/>
    </row>
    <row r="1472">
      <c r="C1472" s="36" t="n"/>
      <c r="D1472" s="36" t="n"/>
      <c r="E1472" s="36" t="n"/>
      <c r="F1472" s="36" t="n"/>
      <c r="G1472" s="42" t="n"/>
      <c r="H1472" s="30" t="n"/>
      <c r="I1472" s="30" t="n"/>
      <c r="J1472" s="31" t="n"/>
      <c r="K1472" s="43" t="n"/>
      <c r="L1472" s="32" t="n"/>
      <c r="M1472" s="36" t="n"/>
      <c r="N1472" s="36" t="n"/>
      <c r="O1472" s="36" t="n"/>
      <c r="P1472" s="36" t="n"/>
      <c r="Q1472" s="36" t="n"/>
    </row>
    <row r="1473">
      <c r="C1473" s="36" t="n"/>
      <c r="D1473" s="36" t="n"/>
      <c r="E1473" s="36" t="n"/>
      <c r="F1473" s="36" t="n"/>
      <c r="G1473" s="42" t="n"/>
      <c r="H1473" s="30" t="n"/>
      <c r="I1473" s="30" t="n"/>
      <c r="J1473" s="31" t="n"/>
      <c r="K1473" s="43" t="n"/>
      <c r="L1473" s="32" t="n"/>
      <c r="M1473" s="36" t="n"/>
      <c r="N1473" s="36" t="n"/>
      <c r="O1473" s="36" t="n"/>
      <c r="P1473" s="36" t="n"/>
      <c r="Q1473" s="36" t="n"/>
    </row>
    <row r="1474">
      <c r="C1474" s="36" t="n"/>
      <c r="D1474" s="36" t="n"/>
      <c r="E1474" s="36" t="n"/>
      <c r="F1474" s="36" t="n"/>
      <c r="G1474" s="42" t="n"/>
      <c r="H1474" s="30" t="n"/>
      <c r="I1474" s="30" t="n"/>
      <c r="J1474" s="31" t="n"/>
      <c r="K1474" s="43" t="n"/>
      <c r="L1474" s="32" t="n"/>
      <c r="M1474" s="36" t="n"/>
      <c r="N1474" s="36" t="n"/>
      <c r="O1474" s="36" t="n"/>
      <c r="P1474" s="36" t="n"/>
      <c r="Q1474" s="36" t="n"/>
    </row>
    <row r="1475">
      <c r="C1475" s="36" t="n"/>
      <c r="D1475" s="36" t="n"/>
      <c r="E1475" s="36" t="n"/>
      <c r="F1475" s="36" t="n"/>
      <c r="G1475" s="42" t="n"/>
      <c r="H1475" s="30" t="n"/>
      <c r="I1475" s="30" t="n"/>
      <c r="J1475" s="31" t="n"/>
      <c r="K1475" s="43" t="n"/>
      <c r="L1475" s="32" t="n"/>
      <c r="M1475" s="36" t="n"/>
      <c r="N1475" s="36" t="n"/>
      <c r="O1475" s="36" t="n"/>
      <c r="P1475" s="36" t="n"/>
      <c r="Q1475" s="36" t="n"/>
    </row>
    <row r="1476">
      <c r="C1476" s="36" t="n"/>
      <c r="D1476" s="36" t="n"/>
      <c r="E1476" s="36" t="n"/>
      <c r="F1476" s="36" t="n"/>
      <c r="G1476" s="42" t="n"/>
      <c r="H1476" s="30" t="n"/>
      <c r="I1476" s="30" t="n"/>
      <c r="J1476" s="31" t="n"/>
      <c r="K1476" s="43" t="n"/>
      <c r="L1476" s="32" t="n"/>
      <c r="M1476" s="36" t="n"/>
      <c r="N1476" s="36" t="n"/>
      <c r="O1476" s="36" t="n"/>
      <c r="P1476" s="36" t="n"/>
      <c r="Q1476" s="36" t="n"/>
    </row>
    <row r="1477">
      <c r="C1477" s="36" t="n"/>
      <c r="D1477" s="36" t="n"/>
      <c r="E1477" s="36" t="n"/>
      <c r="F1477" s="36" t="n"/>
      <c r="G1477" s="42" t="n"/>
      <c r="H1477" s="30" t="n"/>
      <c r="I1477" s="30" t="n"/>
      <c r="J1477" s="31" t="n"/>
      <c r="K1477" s="43" t="n"/>
      <c r="L1477" s="32" t="n"/>
      <c r="M1477" s="36" t="n"/>
      <c r="N1477" s="36" t="n"/>
      <c r="O1477" s="36" t="n"/>
      <c r="P1477" s="36" t="n"/>
      <c r="Q1477" s="36" t="n"/>
    </row>
    <row r="1478">
      <c r="C1478" s="36" t="n"/>
      <c r="D1478" s="36" t="n"/>
      <c r="E1478" s="36" t="n"/>
      <c r="F1478" s="36" t="n"/>
      <c r="G1478" s="42" t="n"/>
      <c r="H1478" s="30" t="n"/>
      <c r="I1478" s="30" t="n"/>
      <c r="J1478" s="31" t="n"/>
      <c r="K1478" s="43" t="n"/>
      <c r="L1478" s="32" t="n"/>
      <c r="M1478" s="36" t="n"/>
      <c r="N1478" s="36" t="n"/>
      <c r="O1478" s="36" t="n"/>
      <c r="P1478" s="36" t="n"/>
      <c r="Q1478" s="36" t="n"/>
    </row>
    <row r="1479">
      <c r="C1479" s="36" t="n"/>
      <c r="D1479" s="36" t="n"/>
      <c r="E1479" s="36" t="n"/>
      <c r="F1479" s="36" t="n"/>
      <c r="G1479" s="42" t="n"/>
      <c r="H1479" s="30" t="n"/>
      <c r="I1479" s="30" t="n"/>
      <c r="J1479" s="31" t="n"/>
      <c r="K1479" s="43" t="n"/>
      <c r="L1479" s="32" t="n"/>
      <c r="M1479" s="36" t="n"/>
      <c r="N1479" s="36" t="n"/>
      <c r="O1479" s="36" t="n"/>
      <c r="P1479" s="36" t="n"/>
      <c r="Q1479" s="36" t="n"/>
    </row>
    <row r="1480">
      <c r="C1480" s="36" t="n"/>
      <c r="D1480" s="36" t="n"/>
      <c r="E1480" s="36" t="n"/>
      <c r="F1480" s="36" t="n"/>
      <c r="G1480" s="42" t="n"/>
      <c r="H1480" s="30" t="n"/>
      <c r="I1480" s="30" t="n"/>
      <c r="J1480" s="31" t="n"/>
      <c r="K1480" s="43" t="n"/>
      <c r="L1480" s="32" t="n"/>
      <c r="M1480" s="36" t="n"/>
      <c r="N1480" s="36" t="n"/>
      <c r="O1480" s="36" t="n"/>
      <c r="P1480" s="36" t="n"/>
      <c r="Q1480" s="36" t="n"/>
    </row>
    <row r="1481">
      <c r="C1481" s="36" t="n"/>
      <c r="D1481" s="36" t="n"/>
      <c r="E1481" s="36" t="n"/>
      <c r="F1481" s="36" t="n"/>
      <c r="G1481" s="42" t="n"/>
      <c r="H1481" s="30" t="n"/>
      <c r="I1481" s="30" t="n"/>
      <c r="J1481" s="31" t="n"/>
      <c r="K1481" s="43" t="n"/>
      <c r="L1481" s="32" t="n"/>
      <c r="M1481" s="36" t="n"/>
      <c r="N1481" s="36" t="n"/>
      <c r="O1481" s="36" t="n"/>
      <c r="P1481" s="36" t="n"/>
      <c r="Q1481" s="36" t="n"/>
    </row>
    <row r="1482">
      <c r="C1482" s="36" t="n"/>
      <c r="D1482" s="36" t="n"/>
      <c r="E1482" s="36" t="n"/>
      <c r="F1482" s="36" t="n"/>
      <c r="G1482" s="42" t="n"/>
      <c r="H1482" s="30" t="n"/>
      <c r="I1482" s="30" t="n"/>
      <c r="J1482" s="31" t="n"/>
      <c r="K1482" s="43" t="n"/>
      <c r="L1482" s="32" t="n"/>
      <c r="M1482" s="36" t="n"/>
      <c r="N1482" s="36" t="n"/>
      <c r="O1482" s="36" t="n"/>
      <c r="P1482" s="36" t="n"/>
      <c r="Q1482" s="36" t="n"/>
    </row>
    <row r="1483">
      <c r="C1483" s="36" t="n"/>
      <c r="D1483" s="36" t="n"/>
      <c r="E1483" s="36" t="n"/>
      <c r="F1483" s="36" t="n"/>
      <c r="G1483" s="42" t="n"/>
      <c r="H1483" s="30" t="n"/>
      <c r="I1483" s="30" t="n"/>
      <c r="J1483" s="31" t="n"/>
      <c r="K1483" s="43" t="n"/>
      <c r="L1483" s="32" t="n"/>
      <c r="M1483" s="36" t="n"/>
      <c r="N1483" s="36" t="n"/>
      <c r="O1483" s="36" t="n"/>
      <c r="P1483" s="36" t="n"/>
      <c r="Q1483" s="36" t="n"/>
    </row>
    <row r="1484">
      <c r="C1484" s="36" t="n"/>
      <c r="D1484" s="36" t="n"/>
      <c r="E1484" s="36" t="n"/>
      <c r="F1484" s="36" t="n"/>
      <c r="G1484" s="42" t="n"/>
      <c r="H1484" s="30" t="n"/>
      <c r="I1484" s="30" t="n"/>
      <c r="J1484" s="31" t="n"/>
      <c r="K1484" s="43" t="n"/>
      <c r="L1484" s="32" t="n"/>
      <c r="M1484" s="36" t="n"/>
      <c r="N1484" s="36" t="n"/>
      <c r="O1484" s="36" t="n"/>
      <c r="P1484" s="36" t="n"/>
      <c r="Q1484" s="36" t="n"/>
    </row>
    <row r="1485">
      <c r="C1485" s="36" t="n"/>
      <c r="D1485" s="36" t="n"/>
      <c r="E1485" s="36" t="n"/>
      <c r="F1485" s="36" t="n"/>
      <c r="G1485" s="42" t="n"/>
      <c r="H1485" s="30" t="n"/>
      <c r="I1485" s="30" t="n"/>
      <c r="J1485" s="31" t="n"/>
      <c r="K1485" s="43" t="n"/>
      <c r="L1485" s="32" t="n"/>
      <c r="M1485" s="36" t="n"/>
      <c r="N1485" s="36" t="n"/>
      <c r="O1485" s="36" t="n"/>
      <c r="P1485" s="36" t="n"/>
      <c r="Q1485" s="36" t="n"/>
    </row>
    <row r="1486">
      <c r="C1486" s="36" t="n"/>
      <c r="D1486" s="36" t="n"/>
      <c r="E1486" s="36" t="n"/>
      <c r="F1486" s="36" t="n"/>
      <c r="G1486" s="42" t="n"/>
      <c r="H1486" s="30" t="n"/>
      <c r="I1486" s="30" t="n"/>
      <c r="J1486" s="31" t="n"/>
      <c r="K1486" s="43" t="n"/>
      <c r="L1486" s="32" t="n"/>
      <c r="M1486" s="36" t="n"/>
      <c r="N1486" s="36" t="n"/>
      <c r="O1486" s="36" t="n"/>
      <c r="P1486" s="36" t="n"/>
      <c r="Q1486" s="36" t="n"/>
    </row>
    <row r="1487">
      <c r="C1487" s="36" t="n"/>
      <c r="D1487" s="36" t="n"/>
      <c r="E1487" s="36" t="n"/>
      <c r="F1487" s="36" t="n"/>
      <c r="G1487" s="42" t="n"/>
      <c r="H1487" s="30" t="n"/>
      <c r="I1487" s="30" t="n"/>
      <c r="J1487" s="31" t="n"/>
      <c r="K1487" s="43" t="n"/>
      <c r="L1487" s="32" t="n"/>
      <c r="M1487" s="36" t="n"/>
      <c r="N1487" s="36" t="n"/>
      <c r="O1487" s="36" t="n"/>
      <c r="P1487" s="36" t="n"/>
      <c r="Q1487" s="36" t="n"/>
    </row>
    <row r="1488">
      <c r="C1488" s="36" t="n"/>
      <c r="D1488" s="36" t="n"/>
      <c r="E1488" s="36" t="n"/>
      <c r="F1488" s="36" t="n"/>
      <c r="G1488" s="42" t="n"/>
      <c r="H1488" s="30" t="n"/>
      <c r="I1488" s="30" t="n"/>
      <c r="J1488" s="31" t="n"/>
      <c r="K1488" s="43" t="n"/>
      <c r="L1488" s="32" t="n"/>
      <c r="M1488" s="36" t="n"/>
      <c r="N1488" s="36" t="n"/>
      <c r="O1488" s="36" t="n"/>
      <c r="P1488" s="36" t="n"/>
      <c r="Q1488" s="36" t="n"/>
    </row>
    <row r="1489">
      <c r="C1489" s="36" t="n"/>
      <c r="D1489" s="36" t="n"/>
      <c r="E1489" s="36" t="n"/>
      <c r="F1489" s="36" t="n"/>
      <c r="G1489" s="42" t="n"/>
      <c r="H1489" s="30" t="n"/>
      <c r="I1489" s="30" t="n"/>
      <c r="J1489" s="31" t="n"/>
      <c r="K1489" s="43" t="n"/>
      <c r="L1489" s="32" t="n"/>
      <c r="M1489" s="36" t="n"/>
      <c r="N1489" s="36" t="n"/>
      <c r="O1489" s="36" t="n"/>
      <c r="P1489" s="36" t="n"/>
      <c r="Q1489" s="36" t="n"/>
    </row>
    <row r="1490">
      <c r="C1490" s="36" t="n"/>
      <c r="D1490" s="36" t="n"/>
      <c r="E1490" s="36" t="n"/>
      <c r="F1490" s="36" t="n"/>
      <c r="G1490" s="42" t="n"/>
      <c r="H1490" s="30" t="n"/>
      <c r="I1490" s="30" t="n"/>
      <c r="J1490" s="31" t="n"/>
      <c r="K1490" s="43" t="n"/>
      <c r="L1490" s="32" t="n"/>
      <c r="M1490" s="36" t="n"/>
      <c r="N1490" s="36" t="n"/>
      <c r="O1490" s="36" t="n"/>
      <c r="P1490" s="36" t="n"/>
      <c r="Q1490" s="36" t="n"/>
    </row>
    <row r="1491">
      <c r="C1491" s="36" t="n"/>
      <c r="D1491" s="36" t="n"/>
      <c r="E1491" s="36" t="n"/>
      <c r="F1491" s="36" t="n"/>
      <c r="G1491" s="42" t="n"/>
      <c r="H1491" s="30" t="n"/>
      <c r="I1491" s="30" t="n"/>
      <c r="J1491" s="31" t="n"/>
      <c r="K1491" s="43" t="n"/>
      <c r="L1491" s="32" t="n"/>
      <c r="M1491" s="36" t="n"/>
      <c r="N1491" s="36" t="n"/>
      <c r="O1491" s="36" t="n"/>
      <c r="P1491" s="36" t="n"/>
      <c r="Q1491" s="36" t="n"/>
    </row>
    <row r="1492">
      <c r="C1492" s="36" t="n"/>
      <c r="D1492" s="36" t="n"/>
      <c r="E1492" s="36" t="n"/>
      <c r="F1492" s="36" t="n"/>
      <c r="G1492" s="42" t="n"/>
      <c r="H1492" s="30" t="n"/>
      <c r="I1492" s="30" t="n"/>
      <c r="J1492" s="31" t="n"/>
      <c r="K1492" s="43" t="n"/>
      <c r="L1492" s="32" t="n"/>
      <c r="M1492" s="36" t="n"/>
      <c r="N1492" s="36" t="n"/>
      <c r="O1492" s="36" t="n"/>
      <c r="P1492" s="36" t="n"/>
      <c r="Q1492" s="36" t="n"/>
    </row>
    <row r="1493">
      <c r="C1493" s="36" t="n"/>
      <c r="D1493" s="36" t="n"/>
      <c r="E1493" s="36" t="n"/>
      <c r="F1493" s="36" t="n"/>
      <c r="G1493" s="42" t="n"/>
      <c r="H1493" s="30" t="n"/>
      <c r="I1493" s="30" t="n"/>
      <c r="J1493" s="31" t="n"/>
      <c r="K1493" s="43" t="n"/>
      <c r="L1493" s="32" t="n"/>
      <c r="M1493" s="36" t="n"/>
      <c r="N1493" s="36" t="n"/>
      <c r="O1493" s="36" t="n"/>
      <c r="P1493" s="36" t="n"/>
      <c r="Q1493" s="36" t="n"/>
    </row>
    <row r="1494">
      <c r="C1494" s="36" t="n"/>
      <c r="D1494" s="36" t="n"/>
      <c r="E1494" s="36" t="n"/>
      <c r="F1494" s="36" t="n"/>
      <c r="G1494" s="42" t="n"/>
      <c r="H1494" s="30" t="n"/>
      <c r="I1494" s="30" t="n"/>
      <c r="J1494" s="31" t="n"/>
      <c r="K1494" s="43" t="n"/>
      <c r="L1494" s="32" t="n"/>
      <c r="M1494" s="36" t="n"/>
      <c r="N1494" s="36" t="n"/>
      <c r="O1494" s="36" t="n"/>
      <c r="P1494" s="36" t="n"/>
      <c r="Q1494" s="36" t="n"/>
    </row>
    <row r="1495">
      <c r="C1495" s="36" t="n"/>
      <c r="D1495" s="36" t="n"/>
      <c r="E1495" s="36" t="n"/>
      <c r="F1495" s="36" t="n"/>
      <c r="G1495" s="42" t="n"/>
      <c r="H1495" s="30" t="n"/>
      <c r="I1495" s="30" t="n"/>
      <c r="J1495" s="31" t="n"/>
      <c r="K1495" s="43" t="n"/>
      <c r="L1495" s="32" t="n"/>
      <c r="M1495" s="36" t="n"/>
      <c r="N1495" s="36" t="n"/>
      <c r="O1495" s="36" t="n"/>
      <c r="P1495" s="36" t="n"/>
      <c r="Q1495" s="36" t="n"/>
    </row>
    <row r="1496">
      <c r="C1496" s="36" t="n"/>
      <c r="D1496" s="36" t="n"/>
      <c r="E1496" s="36" t="n"/>
      <c r="F1496" s="36" t="n"/>
      <c r="G1496" s="42" t="n"/>
      <c r="H1496" s="30" t="n"/>
      <c r="I1496" s="30" t="n"/>
      <c r="J1496" s="31" t="n"/>
      <c r="K1496" s="43" t="n"/>
      <c r="L1496" s="32" t="n"/>
      <c r="M1496" s="36" t="n"/>
      <c r="N1496" s="36" t="n"/>
      <c r="O1496" s="36" t="n"/>
      <c r="P1496" s="36" t="n"/>
      <c r="Q1496" s="36" t="n"/>
    </row>
    <row r="1497">
      <c r="C1497" s="36" t="n"/>
      <c r="D1497" s="36" t="n"/>
      <c r="E1497" s="36" t="n"/>
      <c r="F1497" s="36" t="n"/>
      <c r="G1497" s="42" t="n"/>
      <c r="H1497" s="30" t="n"/>
      <c r="I1497" s="30" t="n"/>
      <c r="J1497" s="31" t="n"/>
      <c r="K1497" s="43" t="n"/>
      <c r="L1497" s="32" t="n"/>
      <c r="M1497" s="36" t="n"/>
      <c r="N1497" s="36" t="n"/>
      <c r="O1497" s="36" t="n"/>
      <c r="P1497" s="36" t="n"/>
      <c r="Q1497" s="36" t="n"/>
    </row>
    <row r="1498">
      <c r="C1498" s="36" t="n"/>
      <c r="D1498" s="36" t="n"/>
      <c r="E1498" s="36" t="n"/>
      <c r="F1498" s="36" t="n"/>
      <c r="G1498" s="42" t="n"/>
      <c r="H1498" s="30" t="n"/>
      <c r="I1498" s="30" t="n"/>
      <c r="J1498" s="31" t="n"/>
      <c r="K1498" s="43" t="n"/>
      <c r="L1498" s="32" t="n"/>
      <c r="M1498" s="36" t="n"/>
      <c r="N1498" s="36" t="n"/>
      <c r="O1498" s="36" t="n"/>
      <c r="P1498" s="36" t="n"/>
      <c r="Q1498" s="36" t="n"/>
    </row>
    <row r="1499">
      <c r="C1499" s="36" t="n"/>
      <c r="D1499" s="36" t="n"/>
      <c r="E1499" s="36" t="n"/>
      <c r="F1499" s="36" t="n"/>
      <c r="G1499" s="42" t="n"/>
      <c r="H1499" s="30" t="n"/>
      <c r="I1499" s="30" t="n"/>
      <c r="J1499" s="31" t="n"/>
      <c r="K1499" s="43" t="n"/>
      <c r="L1499" s="32" t="n"/>
      <c r="M1499" s="36" t="n"/>
      <c r="N1499" s="36" t="n"/>
      <c r="O1499" s="36" t="n"/>
      <c r="P1499" s="36" t="n"/>
      <c r="Q1499" s="36" t="n"/>
    </row>
    <row r="1500">
      <c r="C1500" s="36" t="n"/>
      <c r="D1500" s="36" t="n"/>
      <c r="E1500" s="36" t="n"/>
      <c r="F1500" s="36" t="n"/>
      <c r="G1500" s="42" t="n"/>
      <c r="H1500" s="30" t="n"/>
      <c r="I1500" s="30" t="n"/>
      <c r="J1500" s="31" t="n"/>
      <c r="K1500" s="36" t="n"/>
      <c r="L1500" s="32" t="n"/>
      <c r="M1500" s="36" t="n"/>
      <c r="N1500" s="36" t="n"/>
      <c r="O1500" s="36" t="n"/>
      <c r="P1500" s="36" t="n"/>
      <c r="Q1500" s="36" t="n"/>
    </row>
    <row r="1501">
      <c r="C1501" s="36" t="n"/>
      <c r="D1501" s="36" t="n"/>
      <c r="E1501" s="36" t="n"/>
      <c r="F1501" s="36" t="n"/>
      <c r="G1501" s="42" t="n"/>
      <c r="H1501" s="30" t="n"/>
      <c r="I1501" s="30" t="n"/>
      <c r="J1501" s="31" t="n"/>
      <c r="K1501" s="36" t="n"/>
      <c r="L1501" s="32" t="n"/>
      <c r="M1501" s="36" t="n"/>
      <c r="N1501" s="36" t="n"/>
      <c r="O1501" s="36" t="n"/>
      <c r="P1501" s="36" t="n"/>
      <c r="Q1501" s="36" t="n"/>
    </row>
    <row r="1502">
      <c r="C1502" s="36" t="n"/>
      <c r="D1502" s="36" t="n"/>
      <c r="E1502" s="36" t="n"/>
      <c r="F1502" s="36" t="n"/>
      <c r="G1502" s="42" t="n"/>
      <c r="H1502" s="30" t="n"/>
      <c r="I1502" s="30" t="n"/>
      <c r="J1502" s="31" t="n"/>
      <c r="K1502" s="36" t="n"/>
      <c r="L1502" s="32" t="n"/>
      <c r="M1502" s="36" t="n"/>
      <c r="N1502" s="36" t="n"/>
      <c r="O1502" s="36" t="n"/>
      <c r="P1502" s="36" t="n"/>
      <c r="Q1502" s="36" t="n"/>
    </row>
    <row r="1503">
      <c r="C1503" s="36" t="n"/>
      <c r="D1503" s="36" t="n"/>
      <c r="E1503" s="36" t="n"/>
      <c r="F1503" s="36" t="n"/>
      <c r="G1503" s="42" t="n"/>
      <c r="H1503" s="30" t="n"/>
      <c r="I1503" s="30" t="n"/>
      <c r="J1503" s="31" t="n"/>
      <c r="K1503" s="36" t="n"/>
      <c r="L1503" s="32" t="n"/>
      <c r="M1503" s="36" t="n"/>
      <c r="N1503" s="36" t="n"/>
      <c r="O1503" s="36" t="n"/>
      <c r="P1503" s="36" t="n"/>
      <c r="Q1503" s="36" t="n"/>
    </row>
    <row r="1504">
      <c r="C1504" s="36" t="n"/>
      <c r="D1504" s="36" t="n"/>
      <c r="E1504" s="36" t="n"/>
      <c r="F1504" s="36" t="n"/>
      <c r="G1504" s="42" t="n"/>
      <c r="H1504" s="30" t="n"/>
      <c r="I1504" s="30" t="n"/>
      <c r="J1504" s="31" t="n"/>
      <c r="K1504" s="36" t="n"/>
      <c r="L1504" s="32" t="n"/>
      <c r="M1504" s="36" t="n"/>
      <c r="N1504" s="36" t="n"/>
      <c r="O1504" s="36" t="n"/>
      <c r="P1504" s="36" t="n"/>
      <c r="Q1504" s="36" t="n"/>
    </row>
    <row r="1505">
      <c r="C1505" s="36" t="n"/>
      <c r="D1505" s="36" t="n"/>
      <c r="E1505" s="36" t="n"/>
      <c r="F1505" s="36" t="n"/>
      <c r="G1505" s="42" t="n"/>
      <c r="H1505" s="30" t="n"/>
      <c r="I1505" s="30" t="n"/>
      <c r="J1505" s="31" t="n"/>
      <c r="K1505" s="36" t="n"/>
      <c r="L1505" s="32" t="n"/>
      <c r="M1505" s="36" t="n"/>
      <c r="N1505" s="36" t="n"/>
      <c r="O1505" s="36" t="n"/>
      <c r="P1505" s="36" t="n"/>
      <c r="Q1505" s="36" t="n"/>
    </row>
    <row r="1506">
      <c r="C1506" s="36" t="n"/>
      <c r="D1506" s="36" t="n"/>
      <c r="E1506" s="36" t="n"/>
      <c r="F1506" s="36" t="n"/>
      <c r="G1506" s="42" t="n"/>
      <c r="H1506" s="30" t="n"/>
      <c r="I1506" s="30" t="n"/>
      <c r="J1506" s="31" t="n"/>
      <c r="K1506" s="36" t="n"/>
      <c r="L1506" s="32" t="n"/>
      <c r="M1506" s="36" t="n"/>
      <c r="N1506" s="36" t="n"/>
      <c r="O1506" s="36" t="n"/>
      <c r="P1506" s="36" t="n"/>
      <c r="Q1506" s="36" t="n"/>
    </row>
    <row r="1507">
      <c r="C1507" s="36" t="n"/>
      <c r="D1507" s="36" t="n"/>
      <c r="E1507" s="36" t="n"/>
      <c r="F1507" s="36" t="n"/>
      <c r="G1507" s="42" t="n"/>
      <c r="H1507" s="30" t="n"/>
      <c r="I1507" s="30" t="n"/>
      <c r="J1507" s="31" t="n"/>
      <c r="K1507" s="36" t="n"/>
      <c r="L1507" s="32" t="n"/>
      <c r="M1507" s="36" t="n"/>
      <c r="N1507" s="36" t="n"/>
      <c r="O1507" s="36" t="n"/>
      <c r="P1507" s="36" t="n"/>
      <c r="Q1507" s="36" t="n"/>
    </row>
    <row r="1508">
      <c r="C1508" s="36" t="n"/>
      <c r="D1508" s="36" t="n"/>
      <c r="E1508" s="36" t="n"/>
      <c r="F1508" s="36" t="n"/>
      <c r="G1508" s="42" t="n"/>
      <c r="H1508" s="30" t="n"/>
      <c r="I1508" s="30" t="n"/>
      <c r="J1508" s="31" t="n"/>
      <c r="K1508" s="36" t="n"/>
      <c r="L1508" s="32" t="n"/>
      <c r="M1508" s="36" t="n"/>
      <c r="N1508" s="36" t="n"/>
      <c r="O1508" s="36" t="n"/>
      <c r="P1508" s="36" t="n"/>
      <c r="Q1508" s="36" t="n"/>
    </row>
    <row r="1509">
      <c r="C1509" s="36" t="n"/>
      <c r="D1509" s="36" t="n"/>
      <c r="E1509" s="36" t="n"/>
      <c r="F1509" s="36" t="n"/>
      <c r="G1509" s="42" t="n"/>
      <c r="H1509" s="30" t="n"/>
      <c r="I1509" s="30" t="n"/>
      <c r="J1509" s="31" t="n"/>
      <c r="K1509" s="36" t="n"/>
      <c r="L1509" s="32" t="n"/>
      <c r="M1509" s="36" t="n"/>
      <c r="N1509" s="36" t="n"/>
      <c r="O1509" s="36" t="n"/>
      <c r="P1509" s="36" t="n"/>
      <c r="Q1509" s="36" t="n"/>
    </row>
    <row r="1510">
      <c r="C1510" s="36" t="n"/>
      <c r="D1510" s="36" t="n"/>
      <c r="E1510" s="36" t="n"/>
      <c r="F1510" s="36" t="n"/>
      <c r="G1510" s="42" t="n"/>
      <c r="H1510" s="30" t="n"/>
      <c r="I1510" s="30" t="n"/>
      <c r="J1510" s="31" t="n"/>
      <c r="K1510" s="36" t="n"/>
      <c r="L1510" s="32" t="n"/>
      <c r="M1510" s="36" t="n"/>
      <c r="N1510" s="36" t="n"/>
      <c r="O1510" s="36" t="n"/>
      <c r="P1510" s="36" t="n"/>
      <c r="Q1510" s="36" t="n"/>
    </row>
    <row r="1511">
      <c r="C1511" s="36" t="n"/>
      <c r="D1511" s="36" t="n"/>
      <c r="E1511" s="36" t="n"/>
      <c r="F1511" s="36" t="n"/>
      <c r="G1511" s="42" t="n"/>
      <c r="H1511" s="30" t="n"/>
      <c r="I1511" s="30" t="n"/>
      <c r="J1511" s="31" t="n"/>
      <c r="K1511" s="36" t="n"/>
      <c r="L1511" s="32" t="n"/>
      <c r="M1511" s="36" t="n"/>
      <c r="N1511" s="36" t="n"/>
      <c r="O1511" s="36" t="n"/>
      <c r="P1511" s="36" t="n"/>
      <c r="Q1511" s="36" t="n"/>
    </row>
    <row r="1512">
      <c r="C1512" s="36" t="n"/>
      <c r="D1512" s="36" t="n"/>
      <c r="E1512" s="36" t="n"/>
      <c r="F1512" s="36" t="n"/>
      <c r="G1512" s="42" t="n"/>
      <c r="H1512" s="30" t="n"/>
      <c r="I1512" s="30" t="n"/>
      <c r="J1512" s="31" t="n"/>
      <c r="K1512" s="36" t="n"/>
      <c r="L1512" s="32" t="n"/>
      <c r="M1512" s="36" t="n"/>
      <c r="N1512" s="36" t="n"/>
      <c r="O1512" s="36" t="n"/>
      <c r="P1512" s="36" t="n"/>
      <c r="Q1512" s="36" t="n"/>
    </row>
    <row r="1513">
      <c r="C1513" s="36" t="n"/>
      <c r="D1513" s="36" t="n"/>
      <c r="E1513" s="36" t="n"/>
      <c r="F1513" s="36" t="n"/>
      <c r="G1513" s="42" t="n"/>
      <c r="H1513" s="30" t="n"/>
      <c r="I1513" s="30" t="n"/>
      <c r="J1513" s="31" t="n"/>
      <c r="K1513" s="36" t="n"/>
      <c r="L1513" s="32" t="n"/>
      <c r="M1513" s="36" t="n"/>
      <c r="N1513" s="36" t="n"/>
      <c r="O1513" s="36" t="n"/>
      <c r="P1513" s="36" t="n"/>
      <c r="Q1513" s="36" t="n"/>
    </row>
    <row r="1514">
      <c r="C1514" s="36" t="n"/>
      <c r="D1514" s="36" t="n"/>
      <c r="E1514" s="36" t="n"/>
      <c r="F1514" s="36" t="n"/>
      <c r="G1514" s="42" t="n"/>
      <c r="H1514" s="30" t="n"/>
      <c r="I1514" s="30" t="n"/>
      <c r="J1514" s="31" t="n"/>
      <c r="K1514" s="36" t="n"/>
      <c r="L1514" s="32" t="n"/>
      <c r="M1514" s="36" t="n"/>
      <c r="N1514" s="36" t="n"/>
      <c r="O1514" s="36" t="n"/>
      <c r="P1514" s="36" t="n"/>
      <c r="Q1514" s="36" t="n"/>
    </row>
    <row r="1515">
      <c r="C1515" s="36" t="n"/>
      <c r="D1515" s="36" t="n"/>
      <c r="E1515" s="36" t="n"/>
      <c r="F1515" s="36" t="n"/>
      <c r="G1515" s="42" t="n"/>
      <c r="H1515" s="30" t="n"/>
      <c r="I1515" s="30" t="n"/>
      <c r="J1515" s="31" t="n"/>
      <c r="K1515" s="36" t="n"/>
      <c r="L1515" s="32" t="n"/>
      <c r="M1515" s="36" t="n"/>
      <c r="N1515" s="36" t="n"/>
      <c r="O1515" s="36" t="n"/>
      <c r="P1515" s="36" t="n"/>
      <c r="Q1515" s="36" t="n"/>
    </row>
    <row r="1516">
      <c r="C1516" s="36" t="n"/>
      <c r="D1516" s="36" t="n"/>
      <c r="E1516" s="36" t="n"/>
      <c r="F1516" s="36" t="n"/>
      <c r="G1516" s="42" t="n"/>
      <c r="H1516" s="30" t="n"/>
      <c r="I1516" s="30" t="n"/>
      <c r="J1516" s="31" t="n"/>
      <c r="K1516" s="36" t="n"/>
      <c r="L1516" s="32" t="n"/>
      <c r="M1516" s="36" t="n"/>
      <c r="N1516" s="36" t="n"/>
      <c r="O1516" s="36" t="n"/>
      <c r="P1516" s="36" t="n"/>
      <c r="Q1516" s="36" t="n"/>
    </row>
    <row r="1517">
      <c r="C1517" s="36" t="n"/>
      <c r="D1517" s="36" t="n"/>
      <c r="E1517" s="36" t="n"/>
      <c r="F1517" s="36" t="n"/>
      <c r="G1517" s="42" t="n"/>
      <c r="H1517" s="30" t="n"/>
      <c r="I1517" s="30" t="n"/>
      <c r="J1517" s="31" t="n"/>
      <c r="K1517" s="36" t="n"/>
      <c r="L1517" s="32" t="n"/>
      <c r="M1517" s="36" t="n"/>
      <c r="N1517" s="36" t="n"/>
      <c r="O1517" s="36" t="n"/>
      <c r="P1517" s="36" t="n"/>
      <c r="Q1517" s="36" t="n"/>
    </row>
    <row r="1518">
      <c r="C1518" s="36" t="n"/>
      <c r="D1518" s="36" t="n"/>
      <c r="E1518" s="36" t="n"/>
      <c r="F1518" s="36" t="n"/>
      <c r="G1518" s="42" t="n"/>
      <c r="H1518" s="30" t="n"/>
      <c r="I1518" s="30" t="n"/>
      <c r="J1518" s="31" t="n"/>
      <c r="K1518" s="36" t="n"/>
      <c r="L1518" s="32" t="n"/>
      <c r="M1518" s="36" t="n"/>
      <c r="N1518" s="36" t="n"/>
      <c r="O1518" s="36" t="n"/>
      <c r="P1518" s="36" t="n"/>
      <c r="Q1518" s="36" t="n"/>
    </row>
    <row r="1519">
      <c r="C1519" s="36" t="n"/>
      <c r="D1519" s="36" t="n"/>
      <c r="E1519" s="36" t="n"/>
      <c r="F1519" s="36" t="n"/>
      <c r="G1519" s="42" t="n"/>
      <c r="H1519" s="30" t="n"/>
      <c r="I1519" s="30" t="n"/>
      <c r="J1519" s="31" t="n"/>
      <c r="K1519" s="36" t="n"/>
      <c r="L1519" s="32" t="n"/>
      <c r="M1519" s="36" t="n"/>
      <c r="N1519" s="36" t="n"/>
      <c r="O1519" s="36" t="n"/>
      <c r="P1519" s="36" t="n"/>
      <c r="Q1519" s="36" t="n"/>
    </row>
    <row r="1520">
      <c r="C1520" s="36" t="n"/>
      <c r="D1520" s="36" t="n"/>
      <c r="E1520" s="36" t="n"/>
      <c r="F1520" s="36" t="n"/>
      <c r="G1520" s="42" t="n"/>
      <c r="H1520" s="30" t="n"/>
      <c r="I1520" s="30" t="n"/>
      <c r="J1520" s="31" t="n"/>
      <c r="K1520" s="36" t="n"/>
      <c r="L1520" s="32" t="n"/>
      <c r="M1520" s="36" t="n"/>
      <c r="N1520" s="36" t="n"/>
      <c r="O1520" s="36" t="n"/>
      <c r="P1520" s="36" t="n"/>
      <c r="Q1520" s="36" t="n"/>
    </row>
    <row r="1521">
      <c r="C1521" s="36" t="n"/>
      <c r="D1521" s="36" t="n"/>
      <c r="E1521" s="36" t="n"/>
      <c r="F1521" s="36" t="n"/>
      <c r="G1521" s="42" t="n"/>
      <c r="H1521" s="30" t="n"/>
      <c r="I1521" s="30" t="n"/>
      <c r="J1521" s="31" t="n"/>
      <c r="K1521" s="36" t="n"/>
      <c r="L1521" s="32" t="n"/>
      <c r="M1521" s="36" t="n"/>
      <c r="N1521" s="36" t="n"/>
      <c r="O1521" s="36" t="n"/>
      <c r="P1521" s="36" t="n"/>
      <c r="Q1521" s="36" t="n"/>
    </row>
    <row r="1522">
      <c r="C1522" s="36" t="n"/>
      <c r="D1522" s="36" t="n"/>
      <c r="E1522" s="36" t="n"/>
      <c r="F1522" s="36" t="n"/>
      <c r="G1522" s="42" t="n"/>
      <c r="H1522" s="30" t="n"/>
      <c r="I1522" s="30" t="n"/>
      <c r="J1522" s="31" t="n"/>
      <c r="K1522" s="36" t="n"/>
      <c r="L1522" s="32" t="n"/>
      <c r="M1522" s="36" t="n"/>
      <c r="N1522" s="36" t="n"/>
      <c r="O1522" s="36" t="n"/>
      <c r="P1522" s="36" t="n"/>
      <c r="Q1522" s="36" t="n"/>
    </row>
    <row r="1523">
      <c r="C1523" s="36" t="n"/>
      <c r="D1523" s="36" t="n"/>
      <c r="E1523" s="36" t="n"/>
      <c r="F1523" s="36" t="n"/>
      <c r="G1523" s="42" t="n"/>
      <c r="H1523" s="30" t="n"/>
      <c r="I1523" s="30" t="n"/>
      <c r="J1523" s="31" t="n"/>
      <c r="K1523" s="36" t="n"/>
      <c r="L1523" s="32" t="n"/>
      <c r="M1523" s="36" t="n"/>
      <c r="N1523" s="36" t="n"/>
      <c r="O1523" s="36" t="n"/>
      <c r="P1523" s="36" t="n"/>
      <c r="Q1523" s="36" t="n"/>
    </row>
    <row r="1524">
      <c r="C1524" s="36" t="n"/>
      <c r="D1524" s="36" t="n"/>
      <c r="E1524" s="36" t="n"/>
      <c r="F1524" s="36" t="n"/>
      <c r="G1524" s="42" t="n"/>
      <c r="H1524" s="30" t="n"/>
      <c r="I1524" s="30" t="n"/>
      <c r="J1524" s="31" t="n"/>
      <c r="K1524" s="36" t="n"/>
      <c r="L1524" s="32" t="n"/>
      <c r="M1524" s="36" t="n"/>
      <c r="N1524" s="36" t="n"/>
      <c r="O1524" s="36" t="n"/>
      <c r="P1524" s="36" t="n"/>
      <c r="Q1524" s="36" t="n"/>
    </row>
    <row r="1525">
      <c r="C1525" s="36" t="n"/>
      <c r="D1525" s="36" t="n"/>
      <c r="E1525" s="36" t="n"/>
      <c r="F1525" s="36" t="n"/>
      <c r="G1525" s="42" t="n"/>
      <c r="H1525" s="30" t="n"/>
      <c r="I1525" s="30" t="n"/>
      <c r="J1525" s="31" t="n"/>
      <c r="K1525" s="36" t="n"/>
      <c r="L1525" s="32" t="n"/>
      <c r="M1525" s="36" t="n"/>
      <c r="N1525" s="36" t="n"/>
      <c r="O1525" s="36" t="n"/>
      <c r="P1525" s="36" t="n"/>
      <c r="Q1525" s="36" t="n"/>
    </row>
    <row r="1526">
      <c r="C1526" s="36" t="n"/>
      <c r="D1526" s="36" t="n"/>
      <c r="E1526" s="36" t="n"/>
      <c r="F1526" s="36" t="n"/>
      <c r="G1526" s="42" t="n"/>
      <c r="H1526" s="30" t="n"/>
      <c r="I1526" s="30" t="n"/>
      <c r="J1526" s="31" t="n"/>
      <c r="K1526" s="36" t="n"/>
      <c r="L1526" s="32" t="n"/>
      <c r="M1526" s="36" t="n"/>
      <c r="N1526" s="36" t="n"/>
      <c r="O1526" s="36" t="n"/>
      <c r="P1526" s="36" t="n"/>
      <c r="Q1526" s="36" t="n"/>
    </row>
    <row r="1527">
      <c r="C1527" s="36" t="n"/>
      <c r="D1527" s="36" t="n"/>
      <c r="E1527" s="36" t="n"/>
      <c r="F1527" s="36" t="n"/>
      <c r="G1527" s="42" t="n"/>
      <c r="H1527" s="30" t="n"/>
      <c r="I1527" s="30" t="n"/>
      <c r="J1527" s="31" t="n"/>
      <c r="K1527" s="36" t="n"/>
      <c r="L1527" s="32" t="n"/>
      <c r="M1527" s="36" t="n"/>
      <c r="N1527" s="36" t="n"/>
      <c r="O1527" s="36" t="n"/>
      <c r="P1527" s="36" t="n"/>
      <c r="Q1527" s="36" t="n"/>
    </row>
    <row r="1528">
      <c r="C1528" s="36" t="n"/>
      <c r="D1528" s="36" t="n"/>
      <c r="E1528" s="36" t="n"/>
      <c r="F1528" s="36" t="n"/>
      <c r="G1528" s="42" t="n"/>
      <c r="H1528" s="30" t="n"/>
      <c r="I1528" s="30" t="n"/>
      <c r="J1528" s="31" t="n"/>
      <c r="K1528" s="36" t="n"/>
      <c r="L1528" s="32" t="n"/>
      <c r="M1528" s="36" t="n"/>
      <c r="N1528" s="36" t="n"/>
      <c r="O1528" s="36" t="n"/>
      <c r="P1528" s="36" t="n"/>
      <c r="Q1528" s="36" t="n"/>
    </row>
    <row r="1529">
      <c r="C1529" s="36" t="n"/>
      <c r="D1529" s="36" t="n"/>
      <c r="E1529" s="36" t="n"/>
      <c r="F1529" s="36" t="n"/>
      <c r="G1529" s="42" t="n"/>
      <c r="H1529" s="30" t="n"/>
      <c r="I1529" s="30" t="n"/>
      <c r="J1529" s="31" t="n"/>
      <c r="K1529" s="36" t="n"/>
      <c r="L1529" s="32" t="n"/>
      <c r="M1529" s="36" t="n"/>
      <c r="N1529" s="36" t="n"/>
      <c r="O1529" s="36" t="n"/>
      <c r="P1529" s="36" t="n"/>
      <c r="Q1529" s="36" t="n"/>
    </row>
    <row r="1530">
      <c r="C1530" s="36" t="n"/>
      <c r="D1530" s="36" t="n"/>
      <c r="E1530" s="36" t="n"/>
      <c r="F1530" s="36" t="n"/>
      <c r="G1530" s="42" t="n"/>
      <c r="H1530" s="30" t="n"/>
      <c r="I1530" s="30" t="n"/>
      <c r="J1530" s="31" t="n"/>
      <c r="K1530" s="36" t="n"/>
      <c r="L1530" s="32" t="n"/>
      <c r="M1530" s="36" t="n"/>
      <c r="N1530" s="36" t="n"/>
      <c r="O1530" s="36" t="n"/>
      <c r="P1530" s="36" t="n"/>
      <c r="Q1530" s="36" t="n"/>
    </row>
    <row r="1531">
      <c r="C1531" s="36" t="n"/>
      <c r="D1531" s="36" t="n"/>
      <c r="E1531" s="36" t="n"/>
      <c r="F1531" s="36" t="n"/>
      <c r="G1531" s="42" t="n"/>
      <c r="H1531" s="30" t="n"/>
      <c r="I1531" s="30" t="n"/>
      <c r="J1531" s="31" t="n"/>
      <c r="K1531" s="36" t="n"/>
      <c r="L1531" s="32" t="n"/>
      <c r="M1531" s="36" t="n"/>
      <c r="N1531" s="36" t="n"/>
      <c r="O1531" s="36" t="n"/>
      <c r="P1531" s="36" t="n"/>
      <c r="Q1531" s="36" t="n"/>
    </row>
    <row r="1532">
      <c r="C1532" s="36" t="n"/>
      <c r="D1532" s="36" t="n"/>
      <c r="E1532" s="36" t="n"/>
      <c r="F1532" s="36" t="n"/>
      <c r="G1532" s="42" t="n"/>
      <c r="H1532" s="30" t="n"/>
      <c r="I1532" s="30" t="n"/>
      <c r="J1532" s="31" t="n"/>
      <c r="K1532" s="36" t="n"/>
      <c r="L1532" s="32" t="n"/>
      <c r="M1532" s="36" t="n"/>
      <c r="N1532" s="36" t="n"/>
      <c r="O1532" s="36" t="n"/>
      <c r="P1532" s="36" t="n"/>
      <c r="Q1532" s="36" t="n"/>
    </row>
    <row r="1533">
      <c r="C1533" s="36" t="n"/>
      <c r="D1533" s="36" t="n"/>
      <c r="E1533" s="36" t="n"/>
      <c r="F1533" s="36" t="n"/>
      <c r="G1533" s="42" t="n"/>
      <c r="H1533" s="30" t="n"/>
      <c r="I1533" s="30" t="n"/>
      <c r="J1533" s="31" t="n"/>
      <c r="K1533" s="36" t="n"/>
      <c r="L1533" s="32" t="n"/>
      <c r="M1533" s="36" t="n"/>
      <c r="N1533" s="36" t="n"/>
      <c r="O1533" s="36" t="n"/>
      <c r="P1533" s="36" t="n"/>
      <c r="Q1533" s="36" t="n"/>
    </row>
    <row r="1534">
      <c r="C1534" s="36" t="n"/>
      <c r="D1534" s="36" t="n"/>
      <c r="E1534" s="36" t="n"/>
      <c r="F1534" s="36" t="n"/>
      <c r="G1534" s="42" t="n"/>
      <c r="H1534" s="30" t="n"/>
      <c r="I1534" s="30" t="n"/>
      <c r="J1534" s="31" t="n"/>
      <c r="K1534" s="36" t="n"/>
      <c r="L1534" s="32" t="n"/>
      <c r="M1534" s="36" t="n"/>
      <c r="N1534" s="36" t="n"/>
      <c r="O1534" s="36" t="n"/>
      <c r="P1534" s="36" t="n"/>
      <c r="Q1534" s="36" t="n"/>
    </row>
    <row r="1535">
      <c r="C1535" s="36" t="n"/>
      <c r="D1535" s="36" t="n"/>
      <c r="E1535" s="36" t="n"/>
      <c r="F1535" s="36" t="n"/>
      <c r="G1535" s="42" t="n"/>
      <c r="H1535" s="30" t="n"/>
      <c r="I1535" s="30" t="n"/>
      <c r="J1535" s="31" t="n"/>
      <c r="K1535" s="36" t="n"/>
      <c r="L1535" s="32" t="n"/>
      <c r="M1535" s="36" t="n"/>
      <c r="N1535" s="36" t="n"/>
      <c r="O1535" s="36" t="n"/>
      <c r="P1535" s="36" t="n"/>
      <c r="Q1535" s="36" t="n"/>
    </row>
    <row r="1536">
      <c r="C1536" s="36" t="n"/>
      <c r="D1536" s="36" t="n"/>
      <c r="E1536" s="36" t="n"/>
      <c r="F1536" s="36" t="n"/>
      <c r="G1536" s="42" t="n"/>
      <c r="H1536" s="30" t="n"/>
      <c r="I1536" s="30" t="n"/>
      <c r="J1536" s="31" t="n"/>
      <c r="K1536" s="36" t="n"/>
      <c r="L1536" s="32" t="n"/>
      <c r="M1536" s="36" t="n"/>
      <c r="N1536" s="36" t="n"/>
      <c r="O1536" s="36" t="n"/>
      <c r="P1536" s="36" t="n"/>
      <c r="Q1536" s="36" t="n"/>
    </row>
    <row r="1537">
      <c r="C1537" s="36" t="n"/>
      <c r="D1537" s="36" t="n"/>
      <c r="E1537" s="36" t="n"/>
      <c r="F1537" s="36" t="n"/>
      <c r="G1537" s="42" t="n"/>
      <c r="H1537" s="30" t="n"/>
      <c r="I1537" s="30" t="n"/>
      <c r="J1537" s="31" t="n"/>
      <c r="K1537" s="36" t="n"/>
      <c r="L1537" s="32" t="n"/>
      <c r="M1537" s="36" t="n"/>
      <c r="N1537" s="36" t="n"/>
      <c r="O1537" s="36" t="n"/>
      <c r="P1537" s="36" t="n"/>
      <c r="Q1537" s="36" t="n"/>
    </row>
    <row r="1538">
      <c r="C1538" s="36" t="n"/>
      <c r="D1538" s="36" t="n"/>
      <c r="E1538" s="36" t="n"/>
      <c r="F1538" s="36" t="n"/>
      <c r="G1538" s="42" t="n"/>
      <c r="H1538" s="30" t="n"/>
      <c r="I1538" s="30" t="n"/>
      <c r="J1538" s="31" t="n"/>
      <c r="K1538" s="36" t="n"/>
      <c r="L1538" s="32" t="n"/>
      <c r="M1538" s="36" t="n"/>
      <c r="N1538" s="36" t="n"/>
      <c r="O1538" s="36" t="n"/>
      <c r="P1538" s="36" t="n"/>
      <c r="Q1538" s="36" t="n"/>
    </row>
    <row r="1539">
      <c r="C1539" s="36" t="n"/>
      <c r="D1539" s="36" t="n"/>
      <c r="E1539" s="36" t="n"/>
      <c r="F1539" s="36" t="n"/>
      <c r="G1539" s="42" t="n"/>
      <c r="H1539" s="30" t="n"/>
      <c r="I1539" s="30" t="n"/>
      <c r="J1539" s="31" t="n"/>
      <c r="K1539" s="36" t="n"/>
      <c r="L1539" s="32" t="n"/>
      <c r="M1539" s="36" t="n"/>
      <c r="N1539" s="36" t="n"/>
      <c r="O1539" s="36" t="n"/>
      <c r="P1539" s="36" t="n"/>
      <c r="Q1539" s="36" t="n"/>
    </row>
    <row r="1540">
      <c r="C1540" s="36" t="n"/>
      <c r="D1540" s="36" t="n"/>
      <c r="E1540" s="36" t="n"/>
      <c r="F1540" s="36" t="n"/>
      <c r="G1540" s="42" t="n"/>
      <c r="H1540" s="30" t="n"/>
      <c r="I1540" s="30" t="n"/>
      <c r="J1540" s="31" t="n"/>
      <c r="K1540" s="36" t="n"/>
      <c r="L1540" s="32" t="n"/>
      <c r="M1540" s="36" t="n"/>
      <c r="N1540" s="36" t="n"/>
      <c r="O1540" s="36" t="n"/>
      <c r="P1540" s="36" t="n"/>
      <c r="Q1540" s="36" t="n"/>
    </row>
    <row r="1541">
      <c r="C1541" s="36" t="n"/>
      <c r="D1541" s="36" t="n"/>
      <c r="E1541" s="36" t="n"/>
      <c r="F1541" s="36" t="n"/>
      <c r="G1541" s="42" t="n"/>
      <c r="H1541" s="30" t="n"/>
      <c r="I1541" s="30" t="n"/>
      <c r="J1541" s="31" t="n"/>
      <c r="K1541" s="36" t="n"/>
      <c r="L1541" s="32" t="n"/>
      <c r="M1541" s="36" t="n"/>
      <c r="N1541" s="36" t="n"/>
      <c r="O1541" s="36" t="n"/>
      <c r="P1541" s="36" t="n"/>
      <c r="Q1541" s="36" t="n"/>
    </row>
    <row r="1542">
      <c r="C1542" s="36" t="n"/>
      <c r="D1542" s="36" t="n"/>
      <c r="E1542" s="36" t="n"/>
      <c r="F1542" s="36" t="n"/>
      <c r="G1542" s="42" t="n"/>
      <c r="H1542" s="30" t="n"/>
      <c r="I1542" s="30" t="n"/>
      <c r="J1542" s="31" t="n"/>
      <c r="K1542" s="36" t="n"/>
      <c r="L1542" s="32" t="n"/>
      <c r="M1542" s="36" t="n"/>
      <c r="N1542" s="36" t="n"/>
      <c r="O1542" s="36" t="n"/>
      <c r="P1542" s="36" t="n"/>
      <c r="Q1542" s="36" t="n"/>
    </row>
    <row r="1543">
      <c r="C1543" s="36" t="n"/>
      <c r="D1543" s="36" t="n"/>
      <c r="E1543" s="36" t="n"/>
      <c r="F1543" s="36" t="n"/>
      <c r="G1543" s="42" t="n"/>
      <c r="H1543" s="30" t="n"/>
      <c r="I1543" s="30" t="n"/>
      <c r="J1543" s="31" t="n"/>
      <c r="K1543" s="36" t="n"/>
      <c r="L1543" s="32" t="n"/>
      <c r="M1543" s="36" t="n"/>
      <c r="N1543" s="36" t="n"/>
      <c r="O1543" s="36" t="n"/>
      <c r="P1543" s="36" t="n"/>
      <c r="Q1543" s="36" t="n"/>
    </row>
    <row r="1544">
      <c r="C1544" s="36" t="n"/>
      <c r="D1544" s="36" t="n"/>
      <c r="E1544" s="36" t="n"/>
      <c r="F1544" s="36" t="n"/>
      <c r="G1544" s="42" t="n"/>
      <c r="H1544" s="30" t="n"/>
      <c r="I1544" s="30" t="n"/>
      <c r="J1544" s="31" t="n"/>
      <c r="K1544" s="36" t="n"/>
      <c r="L1544" s="32" t="n"/>
      <c r="M1544" s="36" t="n"/>
      <c r="N1544" s="36" t="n"/>
      <c r="O1544" s="36" t="n"/>
      <c r="P1544" s="36" t="n"/>
      <c r="Q1544" s="36" t="n"/>
    </row>
    <row r="1545">
      <c r="C1545" s="36" t="n"/>
      <c r="D1545" s="36" t="n"/>
      <c r="E1545" s="36" t="n"/>
      <c r="F1545" s="36" t="n"/>
      <c r="G1545" s="42" t="n"/>
      <c r="H1545" s="30" t="n"/>
      <c r="I1545" s="30" t="n"/>
      <c r="J1545" s="31" t="n"/>
      <c r="K1545" s="36" t="n"/>
      <c r="L1545" s="32" t="n"/>
      <c r="M1545" s="36" t="n"/>
      <c r="N1545" s="36" t="n"/>
      <c r="O1545" s="36" t="n"/>
      <c r="P1545" s="36" t="n"/>
      <c r="Q1545" s="36" t="n"/>
    </row>
    <row r="1546">
      <c r="C1546" s="36" t="n"/>
      <c r="D1546" s="36" t="n"/>
      <c r="E1546" s="36" t="n"/>
      <c r="F1546" s="36" t="n"/>
      <c r="G1546" s="42" t="n"/>
      <c r="H1546" s="30" t="n"/>
      <c r="I1546" s="30" t="n"/>
      <c r="J1546" s="31" t="n"/>
      <c r="K1546" s="36" t="n"/>
      <c r="L1546" s="32" t="n"/>
      <c r="M1546" s="36" t="n"/>
      <c r="N1546" s="36" t="n"/>
      <c r="O1546" s="36" t="n"/>
      <c r="P1546" s="36" t="n"/>
      <c r="Q1546" s="36" t="n"/>
    </row>
    <row r="1547">
      <c r="C1547" s="36" t="n"/>
      <c r="D1547" s="36" t="n"/>
      <c r="E1547" s="36" t="n"/>
      <c r="F1547" s="36" t="n"/>
      <c r="G1547" s="42" t="n"/>
      <c r="H1547" s="30" t="n"/>
      <c r="I1547" s="30" t="n"/>
      <c r="J1547" s="31" t="n"/>
      <c r="K1547" s="36" t="n"/>
      <c r="L1547" s="32" t="n"/>
      <c r="M1547" s="36" t="n"/>
      <c r="N1547" s="36" t="n"/>
      <c r="O1547" s="36" t="n"/>
      <c r="P1547" s="36" t="n"/>
      <c r="Q1547" s="36" t="n"/>
    </row>
    <row r="1548">
      <c r="C1548" s="36" t="n"/>
      <c r="D1548" s="36" t="n"/>
      <c r="E1548" s="36" t="n"/>
      <c r="F1548" s="36" t="n"/>
      <c r="G1548" s="42" t="n"/>
      <c r="H1548" s="30" t="n"/>
      <c r="I1548" s="30" t="n"/>
      <c r="J1548" s="31" t="n"/>
      <c r="K1548" s="36" t="n"/>
      <c r="L1548" s="32" t="n"/>
      <c r="M1548" s="36" t="n"/>
      <c r="N1548" s="36" t="n"/>
      <c r="O1548" s="36" t="n"/>
      <c r="P1548" s="36" t="n"/>
      <c r="Q1548" s="36" t="n"/>
    </row>
    <row r="1549">
      <c r="C1549" s="36" t="n"/>
      <c r="D1549" s="36" t="n"/>
      <c r="E1549" s="36" t="n"/>
      <c r="F1549" s="36" t="n"/>
      <c r="G1549" s="42" t="n"/>
      <c r="H1549" s="30" t="n"/>
      <c r="I1549" s="30" t="n"/>
      <c r="J1549" s="31" t="n"/>
      <c r="K1549" s="36" t="n"/>
      <c r="L1549" s="32" t="n"/>
      <c r="M1549" s="36" t="n"/>
      <c r="N1549" s="36" t="n"/>
      <c r="O1549" s="36" t="n"/>
      <c r="P1549" s="36" t="n"/>
      <c r="Q1549" s="36" t="n"/>
    </row>
    <row r="1550">
      <c r="C1550" s="36" t="n"/>
      <c r="D1550" s="36" t="n"/>
      <c r="E1550" s="36" t="n"/>
      <c r="F1550" s="36" t="n"/>
      <c r="G1550" s="42" t="n"/>
      <c r="H1550" s="30" t="n"/>
      <c r="I1550" s="30" t="n"/>
      <c r="J1550" s="31" t="n"/>
      <c r="K1550" s="36" t="n"/>
      <c r="L1550" s="32" t="n"/>
      <c r="M1550" s="36" t="n"/>
      <c r="N1550" s="36" t="n"/>
      <c r="O1550" s="36" t="n"/>
      <c r="P1550" s="36" t="n"/>
      <c r="Q1550" s="36" t="n"/>
    </row>
    <row r="1551">
      <c r="C1551" s="36" t="n"/>
      <c r="D1551" s="36" t="n"/>
      <c r="E1551" s="36" t="n"/>
      <c r="F1551" s="36" t="n"/>
      <c r="G1551" s="42" t="n"/>
      <c r="H1551" s="30" t="n"/>
      <c r="I1551" s="30" t="n"/>
      <c r="J1551" s="31" t="n"/>
      <c r="K1551" s="36" t="n"/>
      <c r="L1551" s="32" t="n"/>
      <c r="M1551" s="36" t="n"/>
      <c r="N1551" s="36" t="n"/>
      <c r="O1551" s="36" t="n"/>
      <c r="P1551" s="36" t="n"/>
      <c r="Q1551" s="36" t="n"/>
    </row>
    <row r="1552">
      <c r="C1552" s="36" t="n"/>
      <c r="D1552" s="36" t="n"/>
      <c r="E1552" s="36" t="n"/>
      <c r="F1552" s="36" t="n"/>
      <c r="G1552" s="42" t="n"/>
      <c r="H1552" s="30" t="n"/>
      <c r="I1552" s="30" t="n"/>
      <c r="J1552" s="31" t="n"/>
      <c r="K1552" s="36" t="n"/>
      <c r="L1552" s="32" t="n"/>
      <c r="M1552" s="36" t="n"/>
      <c r="N1552" s="36" t="n"/>
      <c r="O1552" s="36" t="n"/>
      <c r="P1552" s="36" t="n"/>
      <c r="Q1552" s="36" t="n"/>
    </row>
    <row r="1553">
      <c r="C1553" s="36" t="n"/>
      <c r="D1553" s="36" t="n"/>
      <c r="E1553" s="36" t="n"/>
      <c r="F1553" s="36" t="n"/>
      <c r="G1553" s="42" t="n"/>
      <c r="H1553" s="30" t="n"/>
      <c r="I1553" s="30" t="n"/>
      <c r="J1553" s="31" t="n"/>
      <c r="K1553" s="36" t="n"/>
      <c r="L1553" s="32" t="n"/>
      <c r="M1553" s="36" t="n"/>
      <c r="N1553" s="36" t="n"/>
      <c r="O1553" s="36" t="n"/>
      <c r="P1553" s="36" t="n"/>
      <c r="Q1553" s="36" t="n"/>
    </row>
    <row r="1554">
      <c r="C1554" s="36" t="n"/>
      <c r="D1554" s="36" t="n"/>
      <c r="E1554" s="36" t="n"/>
      <c r="F1554" s="36" t="n"/>
      <c r="G1554" s="42" t="n"/>
      <c r="H1554" s="30" t="n"/>
      <c r="I1554" s="30" t="n"/>
      <c r="J1554" s="31" t="n"/>
      <c r="K1554" s="36" t="n"/>
      <c r="L1554" s="32" t="n"/>
      <c r="M1554" s="36" t="n"/>
      <c r="N1554" s="36" t="n"/>
      <c r="O1554" s="36" t="n"/>
      <c r="P1554" s="36" t="n"/>
      <c r="Q1554" s="36" t="n"/>
    </row>
    <row r="1555">
      <c r="C1555" s="36" t="n"/>
      <c r="D1555" s="36" t="n"/>
      <c r="E1555" s="36" t="n"/>
      <c r="F1555" s="36" t="n"/>
      <c r="G1555" s="42" t="n"/>
      <c r="H1555" s="30" t="n"/>
      <c r="I1555" s="30" t="n"/>
      <c r="J1555" s="31" t="n"/>
      <c r="K1555" s="36" t="n"/>
      <c r="L1555" s="32" t="n"/>
      <c r="M1555" s="36" t="n"/>
      <c r="N1555" s="36" t="n"/>
      <c r="O1555" s="36" t="n"/>
      <c r="P1555" s="36" t="n"/>
      <c r="Q1555" s="36" t="n"/>
    </row>
    <row r="1556">
      <c r="C1556" s="36" t="n"/>
      <c r="D1556" s="36" t="n"/>
      <c r="E1556" s="36" t="n"/>
      <c r="F1556" s="36" t="n"/>
      <c r="G1556" s="42" t="n"/>
      <c r="H1556" s="30" t="n"/>
      <c r="I1556" s="30" t="n"/>
      <c r="J1556" s="31" t="n"/>
      <c r="K1556" s="36" t="n"/>
      <c r="L1556" s="32" t="n"/>
      <c r="M1556" s="36" t="n"/>
      <c r="N1556" s="36" t="n"/>
      <c r="O1556" s="36" t="n"/>
      <c r="P1556" s="36" t="n"/>
      <c r="Q1556" s="36" t="n"/>
    </row>
    <row r="1557">
      <c r="C1557" s="36" t="n"/>
      <c r="D1557" s="36" t="n"/>
      <c r="E1557" s="36" t="n"/>
      <c r="F1557" s="36" t="n"/>
      <c r="G1557" s="42" t="n"/>
      <c r="H1557" s="30" t="n"/>
      <c r="I1557" s="30" t="n"/>
      <c r="J1557" s="31" t="n"/>
      <c r="K1557" s="36" t="n"/>
      <c r="L1557" s="36" t="n"/>
      <c r="M1557" s="36" t="n"/>
      <c r="N1557" s="36" t="n"/>
      <c r="O1557" s="36" t="n"/>
      <c r="P1557" s="36" t="n"/>
      <c r="Q1557" s="36" t="n"/>
    </row>
    <row r="1558">
      <c r="C1558" s="36" t="n"/>
      <c r="D1558" s="36" t="n"/>
      <c r="E1558" s="36" t="n"/>
      <c r="F1558" s="36" t="n"/>
      <c r="G1558" s="42" t="n"/>
      <c r="H1558" s="30" t="n"/>
      <c r="I1558" s="30" t="n"/>
      <c r="J1558" s="31" t="n"/>
      <c r="K1558" s="36" t="n"/>
      <c r="L1558" s="36" t="n"/>
      <c r="M1558" s="36" t="n"/>
      <c r="N1558" s="36" t="n"/>
      <c r="O1558" s="36" t="n"/>
      <c r="P1558" s="36" t="n"/>
      <c r="Q1558" s="36" t="n"/>
    </row>
    <row r="1559">
      <c r="C1559" s="36" t="n"/>
      <c r="D1559" s="36" t="n"/>
      <c r="E1559" s="36" t="n"/>
      <c r="F1559" s="36" t="n"/>
      <c r="G1559" s="42" t="n"/>
      <c r="H1559" s="30" t="n"/>
      <c r="I1559" s="30" t="n"/>
      <c r="J1559" s="31" t="n"/>
      <c r="K1559" s="36" t="n"/>
      <c r="L1559" s="36" t="n"/>
      <c r="M1559" s="36" t="n"/>
      <c r="N1559" s="36" t="n"/>
      <c r="O1559" s="36" t="n"/>
      <c r="P1559" s="36" t="n"/>
      <c r="Q1559" s="36" t="n"/>
    </row>
    <row r="1560">
      <c r="C1560" s="36" t="n"/>
      <c r="D1560" s="36" t="n"/>
      <c r="E1560" s="36" t="n"/>
      <c r="F1560" s="36" t="n"/>
      <c r="G1560" s="42" t="n"/>
      <c r="H1560" s="30" t="n"/>
      <c r="I1560" s="30" t="n"/>
      <c r="J1560" s="31" t="n"/>
      <c r="K1560" s="36" t="n"/>
      <c r="L1560" s="36" t="n"/>
      <c r="M1560" s="36" t="n"/>
      <c r="N1560" s="36" t="n"/>
      <c r="O1560" s="36" t="n"/>
      <c r="P1560" s="36" t="n"/>
      <c r="Q1560" s="36" t="n"/>
    </row>
    <row r="1561">
      <c r="C1561" s="36" t="n"/>
      <c r="D1561" s="36" t="n"/>
      <c r="E1561" s="36" t="n"/>
      <c r="F1561" s="36" t="n"/>
      <c r="G1561" s="42" t="n"/>
      <c r="H1561" s="30" t="n"/>
      <c r="I1561" s="30" t="n"/>
      <c r="J1561" s="31" t="n"/>
      <c r="K1561" s="36" t="n"/>
      <c r="L1561" s="36" t="n"/>
      <c r="M1561" s="36" t="n"/>
      <c r="N1561" s="36" t="n"/>
      <c r="O1561" s="36" t="n"/>
      <c r="P1561" s="36" t="n"/>
      <c r="Q1561" s="36" t="n"/>
    </row>
    <row r="1562">
      <c r="C1562" s="36" t="n"/>
      <c r="D1562" s="36" t="n"/>
      <c r="E1562" s="36" t="n"/>
      <c r="F1562" s="36" t="n"/>
      <c r="G1562" s="42" t="n"/>
      <c r="H1562" s="30" t="n"/>
      <c r="I1562" s="30" t="n"/>
      <c r="J1562" s="31" t="n"/>
      <c r="K1562" s="36" t="n"/>
      <c r="L1562" s="36" t="n"/>
      <c r="M1562" s="36" t="n"/>
      <c r="N1562" s="36" t="n"/>
      <c r="O1562" s="36" t="n"/>
      <c r="P1562" s="36" t="n"/>
      <c r="Q1562" s="36" t="n"/>
    </row>
    <row r="1563">
      <c r="C1563" s="36" t="n"/>
      <c r="D1563" s="36" t="n"/>
      <c r="E1563" s="36" t="n"/>
      <c r="F1563" s="36" t="n"/>
      <c r="G1563" s="42" t="n"/>
      <c r="H1563" s="30" t="n"/>
      <c r="I1563" s="30" t="n"/>
      <c r="J1563" s="31" t="n"/>
      <c r="K1563" s="36" t="n"/>
      <c r="L1563" s="36" t="n"/>
      <c r="M1563" s="36" t="n"/>
      <c r="N1563" s="36" t="n"/>
      <c r="O1563" s="36" t="n"/>
      <c r="P1563" s="36" t="n"/>
      <c r="Q1563" s="36" t="n"/>
    </row>
    <row r="1564">
      <c r="C1564" s="36" t="n"/>
      <c r="D1564" s="36" t="n"/>
      <c r="E1564" s="36" t="n"/>
      <c r="F1564" s="36" t="n"/>
      <c r="G1564" s="42" t="n"/>
      <c r="H1564" s="30" t="n"/>
      <c r="I1564" s="30" t="n"/>
      <c r="J1564" s="31" t="n"/>
      <c r="K1564" s="36" t="n"/>
      <c r="L1564" s="36" t="n"/>
      <c r="M1564" s="36" t="n"/>
      <c r="N1564" s="36" t="n"/>
      <c r="O1564" s="36" t="n"/>
      <c r="P1564" s="36" t="n"/>
      <c r="Q1564" s="36" t="n"/>
    </row>
    <row r="1565">
      <c r="C1565" s="36" t="n"/>
      <c r="D1565" s="36" t="n"/>
      <c r="E1565" s="36" t="n"/>
      <c r="F1565" s="36" t="n"/>
      <c r="G1565" s="42" t="n"/>
      <c r="H1565" s="30" t="n"/>
      <c r="I1565" s="30" t="n"/>
      <c r="J1565" s="31" t="n"/>
      <c r="K1565" s="36" t="n"/>
      <c r="L1565" s="36" t="n"/>
      <c r="M1565" s="36" t="n"/>
      <c r="N1565" s="36" t="n"/>
      <c r="O1565" s="36" t="n"/>
      <c r="P1565" s="36" t="n"/>
      <c r="Q1565" s="36" t="n"/>
    </row>
    <row r="1566">
      <c r="C1566" s="36" t="n"/>
      <c r="D1566" s="36" t="n"/>
      <c r="E1566" s="36" t="n"/>
      <c r="F1566" s="36" t="n"/>
      <c r="G1566" s="42" t="n"/>
      <c r="H1566" s="30" t="n"/>
      <c r="I1566" s="30" t="n"/>
      <c r="J1566" s="31" t="n"/>
      <c r="K1566" s="36" t="n"/>
      <c r="L1566" s="36" t="n"/>
      <c r="M1566" s="36" t="n"/>
      <c r="N1566" s="36" t="n"/>
      <c r="O1566" s="36" t="n"/>
      <c r="P1566" s="36" t="n"/>
      <c r="Q1566" s="36" t="n"/>
    </row>
    <row r="1567">
      <c r="C1567" s="36" t="n"/>
      <c r="D1567" s="36" t="n"/>
      <c r="E1567" s="36" t="n"/>
      <c r="F1567" s="36" t="n"/>
      <c r="G1567" s="42" t="n"/>
      <c r="H1567" s="30" t="n"/>
      <c r="I1567" s="30" t="n"/>
      <c r="J1567" s="31" t="n"/>
      <c r="K1567" s="36" t="n"/>
      <c r="L1567" s="36" t="n"/>
      <c r="M1567" s="36" t="n"/>
      <c r="N1567" s="36" t="n"/>
      <c r="O1567" s="36" t="n"/>
      <c r="P1567" s="36" t="n"/>
      <c r="Q1567" s="36" t="n"/>
    </row>
    <row r="1568">
      <c r="C1568" s="36" t="n"/>
      <c r="D1568" s="36" t="n"/>
      <c r="E1568" s="36" t="n"/>
      <c r="F1568" s="36" t="n"/>
      <c r="G1568" s="42" t="n"/>
      <c r="H1568" s="30" t="n"/>
      <c r="I1568" s="30" t="n"/>
      <c r="J1568" s="31" t="n"/>
      <c r="K1568" s="36" t="n"/>
      <c r="L1568" s="36" t="n"/>
      <c r="M1568" s="36" t="n"/>
      <c r="N1568" s="36" t="n"/>
      <c r="O1568" s="36" t="n"/>
      <c r="P1568" s="36" t="n"/>
      <c r="Q1568" s="36" t="n"/>
    </row>
    <row r="1569">
      <c r="C1569" s="36" t="n"/>
      <c r="D1569" s="36" t="n"/>
      <c r="E1569" s="36" t="n"/>
      <c r="F1569" s="36" t="n"/>
      <c r="G1569" s="42" t="n"/>
      <c r="H1569" s="30" t="n"/>
      <c r="I1569" s="30" t="n"/>
      <c r="J1569" s="31" t="n"/>
      <c r="K1569" s="36" t="n"/>
      <c r="L1569" s="36" t="n"/>
      <c r="M1569" s="36" t="n"/>
      <c r="N1569" s="36" t="n"/>
      <c r="O1569" s="36" t="n"/>
      <c r="P1569" s="36" t="n"/>
      <c r="Q1569" s="36" t="n"/>
    </row>
    <row r="1570">
      <c r="C1570" s="36" t="n"/>
      <c r="D1570" s="36" t="n"/>
      <c r="E1570" s="36" t="n"/>
      <c r="F1570" s="36" t="n"/>
      <c r="G1570" s="42" t="n"/>
      <c r="H1570" s="30" t="n"/>
      <c r="I1570" s="30" t="n"/>
      <c r="J1570" s="31" t="n"/>
      <c r="K1570" s="36" t="n"/>
      <c r="L1570" s="36" t="n"/>
      <c r="M1570" s="36" t="n"/>
      <c r="N1570" s="36" t="n"/>
      <c r="O1570" s="36" t="n"/>
      <c r="P1570" s="36" t="n"/>
      <c r="Q1570" s="36" t="n"/>
    </row>
    <row r="1571">
      <c r="C1571" s="36" t="n"/>
      <c r="D1571" s="36" t="n"/>
      <c r="E1571" s="36" t="n"/>
      <c r="F1571" s="36" t="n"/>
      <c r="G1571" s="42" t="n"/>
      <c r="H1571" s="30" t="n"/>
      <c r="I1571" s="30" t="n"/>
      <c r="J1571" s="31" t="n"/>
      <c r="K1571" s="36" t="n"/>
      <c r="L1571" s="36" t="n"/>
      <c r="M1571" s="36" t="n"/>
      <c r="N1571" s="36" t="n"/>
      <c r="O1571" s="36" t="n"/>
      <c r="P1571" s="36" t="n"/>
      <c r="Q1571" s="36" t="n"/>
    </row>
    <row r="1572">
      <c r="C1572" s="36" t="n"/>
      <c r="D1572" s="36" t="n"/>
      <c r="E1572" s="36" t="n"/>
      <c r="F1572" s="36" t="n"/>
      <c r="G1572" s="42" t="n"/>
      <c r="H1572" s="30" t="n"/>
      <c r="I1572" s="30" t="n"/>
      <c r="J1572" s="31" t="n"/>
      <c r="K1572" s="36" t="n"/>
      <c r="L1572" s="36" t="n"/>
      <c r="M1572" s="36" t="n"/>
      <c r="N1572" s="36" t="n"/>
      <c r="O1572" s="36" t="n"/>
      <c r="P1572" s="36" t="n"/>
      <c r="Q1572" s="36" t="n"/>
    </row>
    <row r="1573">
      <c r="C1573" s="36" t="n"/>
      <c r="D1573" s="36" t="n"/>
      <c r="E1573" s="36" t="n"/>
      <c r="F1573" s="36" t="n"/>
      <c r="G1573" s="42" t="n"/>
      <c r="H1573" s="30" t="n"/>
      <c r="I1573" s="30" t="n"/>
      <c r="J1573" s="31" t="n"/>
      <c r="K1573" s="36" t="n"/>
      <c r="L1573" s="36" t="n"/>
      <c r="M1573" s="36" t="n"/>
      <c r="N1573" s="36" t="n"/>
      <c r="O1573" s="36" t="n"/>
      <c r="P1573" s="36" t="n"/>
      <c r="Q1573" s="36" t="n"/>
    </row>
    <row r="1574">
      <c r="C1574" s="36" t="n"/>
      <c r="D1574" s="36" t="n"/>
      <c r="E1574" s="36" t="n"/>
      <c r="F1574" s="36" t="n"/>
      <c r="G1574" s="42" t="n"/>
      <c r="H1574" s="30" t="n"/>
      <c r="I1574" s="30" t="n"/>
      <c r="J1574" s="31" t="n"/>
      <c r="K1574" s="36" t="n"/>
      <c r="L1574" s="36" t="n"/>
      <c r="M1574" s="36" t="n"/>
      <c r="N1574" s="36" t="n"/>
      <c r="O1574" s="36" t="n"/>
      <c r="P1574" s="36" t="n"/>
      <c r="Q1574" s="36" t="n"/>
    </row>
    <row r="1575">
      <c r="C1575" s="36" t="n"/>
      <c r="D1575" s="36" t="n"/>
      <c r="E1575" s="36" t="n"/>
      <c r="F1575" s="36" t="n"/>
      <c r="G1575" s="42" t="n"/>
      <c r="H1575" s="30" t="n"/>
      <c r="I1575" s="30" t="n"/>
      <c r="J1575" s="31" t="n"/>
      <c r="K1575" s="36" t="n"/>
      <c r="L1575" s="36" t="n"/>
      <c r="M1575" s="36" t="n"/>
      <c r="N1575" s="36" t="n"/>
      <c r="O1575" s="36" t="n"/>
      <c r="P1575" s="36" t="n"/>
      <c r="Q1575" s="36" t="n"/>
    </row>
    <row r="1576">
      <c r="C1576" s="36" t="n"/>
      <c r="D1576" s="36" t="n"/>
      <c r="E1576" s="36" t="n"/>
      <c r="F1576" s="36" t="n"/>
      <c r="G1576" s="42" t="n"/>
      <c r="H1576" s="30" t="n"/>
      <c r="I1576" s="30" t="n"/>
      <c r="J1576" s="31" t="n"/>
      <c r="K1576" s="36" t="n"/>
      <c r="L1576" s="36" t="n"/>
      <c r="M1576" s="36" t="n"/>
      <c r="N1576" s="36" t="n"/>
      <c r="O1576" s="36" t="n"/>
      <c r="P1576" s="36" t="n"/>
      <c r="Q1576" s="36" t="n"/>
    </row>
    <row r="1577">
      <c r="C1577" s="36" t="n"/>
      <c r="D1577" s="36" t="n"/>
      <c r="E1577" s="36" t="n"/>
      <c r="F1577" s="36" t="n"/>
      <c r="G1577" s="42" t="n"/>
      <c r="H1577" s="30" t="n"/>
      <c r="I1577" s="30" t="n"/>
      <c r="J1577" s="31" t="n"/>
      <c r="K1577" s="36" t="n"/>
      <c r="L1577" s="36" t="n"/>
      <c r="M1577" s="36" t="n"/>
      <c r="N1577" s="36" t="n"/>
      <c r="O1577" s="36" t="n"/>
      <c r="P1577" s="36" t="n"/>
      <c r="Q1577" s="36" t="n"/>
    </row>
    <row r="1578">
      <c r="C1578" s="36" t="n"/>
      <c r="D1578" s="36" t="n"/>
      <c r="E1578" s="36" t="n"/>
      <c r="F1578" s="36" t="n"/>
      <c r="G1578" s="42" t="n"/>
      <c r="H1578" s="30" t="n"/>
      <c r="I1578" s="30" t="n"/>
      <c r="J1578" s="31" t="n"/>
      <c r="K1578" s="36" t="n"/>
      <c r="L1578" s="36" t="n"/>
      <c r="M1578" s="36" t="n"/>
      <c r="N1578" s="36" t="n"/>
      <c r="O1578" s="36" t="n"/>
      <c r="P1578" s="36" t="n"/>
      <c r="Q1578" s="36" t="n"/>
    </row>
    <row r="1579">
      <c r="C1579" s="36" t="n"/>
      <c r="D1579" s="36" t="n"/>
      <c r="E1579" s="36" t="n"/>
      <c r="F1579" s="36" t="n"/>
      <c r="G1579" s="42" t="n"/>
      <c r="H1579" s="30" t="n"/>
      <c r="I1579" s="30" t="n"/>
      <c r="J1579" s="31" t="n"/>
      <c r="K1579" s="36" t="n"/>
      <c r="L1579" s="36" t="n"/>
      <c r="M1579" s="36" t="n"/>
      <c r="N1579" s="36" t="n"/>
      <c r="O1579" s="36" t="n"/>
      <c r="P1579" s="36" t="n"/>
      <c r="Q1579" s="36" t="n"/>
    </row>
    <row r="1580">
      <c r="C1580" s="36" t="n"/>
      <c r="D1580" s="36" t="n"/>
      <c r="E1580" s="36" t="n"/>
      <c r="F1580" s="36" t="n"/>
      <c r="G1580" s="42" t="n"/>
      <c r="H1580" s="30" t="n"/>
      <c r="I1580" s="30" t="n"/>
      <c r="J1580" s="31" t="n"/>
      <c r="K1580" s="36" t="n"/>
      <c r="L1580" s="36" t="n"/>
      <c r="M1580" s="36" t="n"/>
      <c r="N1580" s="36" t="n"/>
      <c r="O1580" s="36" t="n"/>
      <c r="P1580" s="36" t="n"/>
      <c r="Q1580" s="36" t="n"/>
    </row>
    <row r="1581">
      <c r="C1581" s="36" t="n"/>
      <c r="D1581" s="36" t="n"/>
      <c r="E1581" s="36" t="n"/>
      <c r="F1581" s="36" t="n"/>
      <c r="G1581" s="42" t="n"/>
      <c r="H1581" s="30" t="n"/>
      <c r="I1581" s="30" t="n"/>
      <c r="J1581" s="31" t="n"/>
      <c r="K1581" s="36" t="n"/>
      <c r="L1581" s="36" t="n"/>
      <c r="M1581" s="36" t="n"/>
      <c r="N1581" s="36" t="n"/>
      <c r="O1581" s="36" t="n"/>
      <c r="P1581" s="36" t="n"/>
      <c r="Q1581" s="36" t="n"/>
    </row>
    <row r="1582">
      <c r="C1582" s="36" t="n"/>
      <c r="D1582" s="36" t="n"/>
      <c r="E1582" s="36" t="n"/>
      <c r="F1582" s="36" t="n"/>
      <c r="G1582" s="42" t="n"/>
      <c r="H1582" s="30" t="n"/>
      <c r="I1582" s="30" t="n"/>
      <c r="J1582" s="31" t="n"/>
      <c r="K1582" s="36" t="n"/>
      <c r="L1582" s="36" t="n"/>
      <c r="M1582" s="36" t="n"/>
      <c r="N1582" s="36" t="n"/>
      <c r="O1582" s="36" t="n"/>
      <c r="P1582" s="36" t="n"/>
      <c r="Q1582" s="36" t="n"/>
    </row>
    <row r="1583">
      <c r="C1583" s="36" t="n"/>
      <c r="D1583" s="36" t="n"/>
      <c r="E1583" s="36" t="n"/>
      <c r="F1583" s="36" t="n"/>
      <c r="G1583" s="42" t="n"/>
      <c r="H1583" s="30" t="n"/>
      <c r="I1583" s="30" t="n"/>
      <c r="J1583" s="31" t="n"/>
      <c r="K1583" s="36" t="n"/>
      <c r="L1583" s="36" t="n"/>
      <c r="M1583" s="36" t="n"/>
      <c r="N1583" s="36" t="n"/>
      <c r="O1583" s="36" t="n"/>
      <c r="P1583" s="36" t="n"/>
      <c r="Q1583" s="36" t="n"/>
    </row>
    <row r="1584">
      <c r="C1584" s="36" t="n"/>
      <c r="D1584" s="36" t="n"/>
      <c r="E1584" s="36" t="n"/>
      <c r="F1584" s="36" t="n"/>
      <c r="G1584" s="42" t="n"/>
      <c r="H1584" s="30" t="n"/>
      <c r="I1584" s="30" t="n"/>
      <c r="J1584" s="31" t="n"/>
      <c r="K1584" s="36" t="n"/>
      <c r="L1584" s="36" t="n"/>
      <c r="M1584" s="36" t="n"/>
      <c r="N1584" s="36" t="n"/>
      <c r="O1584" s="36" t="n"/>
      <c r="P1584" s="36" t="n"/>
      <c r="Q1584" s="36" t="n"/>
    </row>
    <row r="1585">
      <c r="C1585" s="36" t="n"/>
      <c r="D1585" s="36" t="n"/>
      <c r="E1585" s="36" t="n"/>
      <c r="F1585" s="36" t="n"/>
      <c r="G1585" s="42" t="n"/>
      <c r="H1585" s="30" t="n"/>
      <c r="I1585" s="30" t="n"/>
      <c r="J1585" s="31" t="n"/>
      <c r="K1585" s="36" t="n"/>
      <c r="L1585" s="36" t="n"/>
      <c r="M1585" s="36" t="n"/>
      <c r="N1585" s="36" t="n"/>
      <c r="O1585" s="36" t="n"/>
      <c r="P1585" s="36" t="n"/>
      <c r="Q1585" s="36" t="n"/>
    </row>
    <row r="1586">
      <c r="C1586" s="36" t="n"/>
      <c r="D1586" s="36" t="n"/>
      <c r="E1586" s="36" t="n"/>
      <c r="F1586" s="36" t="n"/>
      <c r="G1586" s="42" t="n"/>
      <c r="H1586" s="30" t="n"/>
      <c r="I1586" s="30" t="n"/>
      <c r="J1586" s="31" t="n"/>
      <c r="K1586" s="36" t="n"/>
      <c r="L1586" s="36" t="n"/>
      <c r="M1586" s="36" t="n"/>
      <c r="N1586" s="36" t="n"/>
      <c r="O1586" s="36" t="n"/>
      <c r="P1586" s="36" t="n"/>
      <c r="Q1586" s="36" t="n"/>
    </row>
    <row r="1587">
      <c r="C1587" s="36" t="n"/>
      <c r="D1587" s="36" t="n"/>
      <c r="E1587" s="36" t="n"/>
      <c r="F1587" s="36" t="n"/>
      <c r="G1587" s="42" t="n"/>
      <c r="H1587" s="30" t="n"/>
      <c r="I1587" s="30" t="n"/>
      <c r="J1587" s="31" t="n"/>
      <c r="K1587" s="36" t="n"/>
      <c r="L1587" s="36" t="n"/>
      <c r="M1587" s="36" t="n"/>
      <c r="N1587" s="36" t="n"/>
      <c r="O1587" s="36" t="n"/>
      <c r="P1587" s="36" t="n"/>
      <c r="Q1587" s="36" t="n"/>
    </row>
    <row r="1588">
      <c r="C1588" s="36" t="n"/>
      <c r="D1588" s="36" t="n"/>
      <c r="E1588" s="36" t="n"/>
      <c r="F1588" s="36" t="n"/>
      <c r="G1588" s="42" t="n"/>
      <c r="H1588" s="30" t="n"/>
      <c r="I1588" s="30" t="n"/>
      <c r="J1588" s="31" t="n"/>
      <c r="K1588" s="36" t="n"/>
      <c r="L1588" s="36" t="n"/>
      <c r="M1588" s="36" t="n"/>
      <c r="N1588" s="36" t="n"/>
      <c r="O1588" s="36" t="n"/>
      <c r="P1588" s="36" t="n"/>
      <c r="Q1588" s="36" t="n"/>
    </row>
    <row r="1589">
      <c r="C1589" s="36" t="n"/>
      <c r="D1589" s="36" t="n"/>
      <c r="E1589" s="36" t="n"/>
      <c r="F1589" s="36" t="n"/>
      <c r="G1589" s="42" t="n"/>
      <c r="H1589" s="30" t="n"/>
      <c r="I1589" s="30" t="n"/>
      <c r="J1589" s="31" t="n"/>
      <c r="K1589" s="36" t="n"/>
      <c r="L1589" s="36" t="n"/>
      <c r="M1589" s="36" t="n"/>
      <c r="N1589" s="36" t="n"/>
      <c r="O1589" s="36" t="n"/>
      <c r="P1589" s="36" t="n"/>
      <c r="Q1589" s="36" t="n"/>
    </row>
    <row r="1590">
      <c r="C1590" s="36" t="n"/>
      <c r="D1590" s="36" t="n"/>
      <c r="E1590" s="36" t="n"/>
      <c r="F1590" s="36" t="n"/>
      <c r="G1590" s="42" t="n"/>
      <c r="H1590" s="30" t="n"/>
      <c r="I1590" s="30" t="n"/>
      <c r="J1590" s="31" t="n"/>
      <c r="K1590" s="36" t="n"/>
      <c r="L1590" s="36" t="n"/>
      <c r="M1590" s="36" t="n"/>
      <c r="N1590" s="36" t="n"/>
      <c r="O1590" s="36" t="n"/>
      <c r="P1590" s="36" t="n"/>
      <c r="Q1590" s="36" t="n"/>
    </row>
    <row r="1591">
      <c r="C1591" s="36" t="n"/>
      <c r="D1591" s="36" t="n"/>
      <c r="E1591" s="36" t="n"/>
      <c r="F1591" s="36" t="n"/>
      <c r="G1591" s="42" t="n"/>
      <c r="H1591" s="30" t="n"/>
      <c r="I1591" s="30" t="n"/>
      <c r="J1591" s="31" t="n"/>
      <c r="K1591" s="36" t="n"/>
      <c r="L1591" s="36" t="n"/>
      <c r="M1591" s="36" t="n"/>
      <c r="N1591" s="36" t="n"/>
      <c r="O1591" s="36" t="n"/>
      <c r="P1591" s="36" t="n"/>
      <c r="Q1591" s="36" t="n"/>
    </row>
    <row r="1592">
      <c r="C1592" s="36" t="n"/>
      <c r="D1592" s="36" t="n"/>
      <c r="E1592" s="36" t="n"/>
      <c r="F1592" s="36" t="n"/>
      <c r="G1592" s="42" t="n"/>
      <c r="H1592" s="30" t="n"/>
      <c r="I1592" s="30" t="n"/>
      <c r="J1592" s="31" t="n"/>
      <c r="K1592" s="36" t="n"/>
      <c r="L1592" s="36" t="n"/>
      <c r="M1592" s="36" t="n"/>
      <c r="N1592" s="36" t="n"/>
      <c r="O1592" s="36" t="n"/>
      <c r="P1592" s="36" t="n"/>
      <c r="Q1592" s="36" t="n"/>
    </row>
    <row r="1593">
      <c r="C1593" s="36" t="n"/>
      <c r="D1593" s="36" t="n"/>
      <c r="E1593" s="36" t="n"/>
      <c r="F1593" s="36" t="n"/>
      <c r="G1593" s="42" t="n"/>
      <c r="H1593" s="30" t="n"/>
      <c r="I1593" s="30" t="n"/>
      <c r="J1593" s="31" t="n"/>
      <c r="K1593" s="36" t="n"/>
      <c r="L1593" s="36" t="n"/>
      <c r="M1593" s="36" t="n"/>
      <c r="N1593" s="36" t="n"/>
      <c r="O1593" s="36" t="n"/>
      <c r="P1593" s="36" t="n"/>
      <c r="Q1593" s="36" t="n"/>
    </row>
    <row r="1594">
      <c r="C1594" s="36" t="n"/>
      <c r="D1594" s="36" t="n"/>
      <c r="E1594" s="36" t="n"/>
      <c r="F1594" s="36" t="n"/>
      <c r="G1594" s="42" t="n"/>
      <c r="H1594" s="30" t="n"/>
      <c r="I1594" s="30" t="n"/>
      <c r="J1594" s="31" t="n"/>
      <c r="K1594" s="36" t="n"/>
      <c r="L1594" s="36" t="n"/>
      <c r="M1594" s="36" t="n"/>
      <c r="N1594" s="36" t="n"/>
      <c r="O1594" s="36" t="n"/>
      <c r="P1594" s="36" t="n"/>
      <c r="Q1594" s="36" t="n"/>
    </row>
    <row r="1595">
      <c r="C1595" s="36" t="n"/>
      <c r="D1595" s="36" t="n"/>
      <c r="E1595" s="36" t="n"/>
      <c r="F1595" s="36" t="n"/>
      <c r="G1595" s="42" t="n"/>
      <c r="H1595" s="30" t="n"/>
      <c r="I1595" s="30" t="n"/>
      <c r="J1595" s="31" t="n"/>
      <c r="K1595" s="36" t="n"/>
      <c r="L1595" s="36" t="n"/>
      <c r="M1595" s="36" t="n"/>
      <c r="N1595" s="36" t="n"/>
      <c r="O1595" s="36" t="n"/>
      <c r="P1595" s="36" t="n"/>
      <c r="Q1595" s="36" t="n"/>
    </row>
    <row r="1596">
      <c r="C1596" s="36" t="n"/>
      <c r="D1596" s="36" t="n"/>
      <c r="E1596" s="36" t="n"/>
      <c r="F1596" s="36" t="n"/>
      <c r="G1596" s="42" t="n"/>
      <c r="H1596" s="30" t="n"/>
      <c r="I1596" s="30" t="n"/>
      <c r="J1596" s="31" t="n"/>
      <c r="K1596" s="36" t="n"/>
      <c r="L1596" s="36" t="n"/>
      <c r="M1596" s="36" t="n"/>
      <c r="N1596" s="36" t="n"/>
      <c r="O1596" s="36" t="n"/>
      <c r="P1596" s="36" t="n"/>
      <c r="Q1596" s="36" t="n"/>
    </row>
    <row r="1597">
      <c r="C1597" s="36" t="n"/>
      <c r="D1597" s="36" t="n"/>
      <c r="E1597" s="36" t="n"/>
      <c r="F1597" s="36" t="n"/>
      <c r="G1597" s="42" t="n"/>
      <c r="H1597" s="30" t="n"/>
      <c r="I1597" s="30" t="n"/>
      <c r="J1597" s="31" t="n"/>
      <c r="K1597" s="36" t="n"/>
      <c r="L1597" s="36" t="n"/>
      <c r="M1597" s="36" t="n"/>
      <c r="N1597" s="36" t="n"/>
      <c r="O1597" s="36" t="n"/>
      <c r="P1597" s="36" t="n"/>
      <c r="Q1597" s="36" t="n"/>
    </row>
    <row r="1598">
      <c r="C1598" s="36" t="n"/>
      <c r="D1598" s="36" t="n"/>
      <c r="E1598" s="36" t="n"/>
      <c r="F1598" s="36" t="n"/>
      <c r="G1598" s="42" t="n"/>
      <c r="H1598" s="30" t="n"/>
      <c r="I1598" s="30" t="n"/>
      <c r="J1598" s="31" t="n"/>
      <c r="K1598" s="36" t="n"/>
      <c r="L1598" s="36" t="n"/>
      <c r="M1598" s="36" t="n"/>
      <c r="N1598" s="36" t="n"/>
      <c r="O1598" s="36" t="n"/>
      <c r="P1598" s="36" t="n"/>
      <c r="Q1598" s="36" t="n"/>
    </row>
    <row r="1599">
      <c r="C1599" s="36" t="n"/>
      <c r="D1599" s="36" t="n"/>
      <c r="E1599" s="36" t="n"/>
      <c r="F1599" s="36" t="n"/>
      <c r="G1599" s="42" t="n"/>
      <c r="H1599" s="30" t="n"/>
      <c r="I1599" s="30" t="n"/>
      <c r="J1599" s="31" t="n"/>
      <c r="K1599" s="36" t="n"/>
      <c r="L1599" s="36" t="n"/>
      <c r="M1599" s="36" t="n"/>
      <c r="N1599" s="36" t="n"/>
      <c r="O1599" s="36" t="n"/>
      <c r="P1599" s="36" t="n"/>
      <c r="Q1599" s="36" t="n"/>
    </row>
    <row r="1600">
      <c r="C1600" s="36" t="n"/>
      <c r="D1600" s="36" t="n"/>
      <c r="E1600" s="36" t="n"/>
      <c r="F1600" s="36" t="n"/>
      <c r="G1600" s="42" t="n"/>
      <c r="H1600" s="30" t="n"/>
      <c r="I1600" s="30" t="n"/>
      <c r="J1600" s="31" t="n"/>
      <c r="K1600" s="36" t="n"/>
      <c r="L1600" s="36" t="n"/>
      <c r="M1600" s="36" t="n"/>
      <c r="N1600" s="36" t="n"/>
      <c r="O1600" s="36" t="n"/>
      <c r="P1600" s="36" t="n"/>
      <c r="Q1600" s="36" t="n"/>
    </row>
    <row r="1601">
      <c r="C1601" s="36" t="n"/>
      <c r="D1601" s="36" t="n"/>
      <c r="E1601" s="36" t="n"/>
      <c r="F1601" s="36" t="n"/>
      <c r="G1601" s="42" t="n"/>
      <c r="H1601" s="30" t="n"/>
      <c r="I1601" s="30" t="n"/>
      <c r="J1601" s="31" t="n"/>
      <c r="K1601" s="36" t="n"/>
      <c r="L1601" s="36" t="n"/>
      <c r="M1601" s="36" t="n"/>
      <c r="N1601" s="36" t="n"/>
      <c r="O1601" s="36" t="n"/>
      <c r="P1601" s="36" t="n"/>
      <c r="Q1601" s="36" t="n"/>
    </row>
    <row r="1602">
      <c r="C1602" s="36" t="n"/>
      <c r="D1602" s="36" t="n"/>
      <c r="E1602" s="36" t="n"/>
      <c r="F1602" s="36" t="n"/>
      <c r="G1602" s="42" t="n"/>
      <c r="H1602" s="30" t="n"/>
      <c r="I1602" s="30" t="n"/>
      <c r="J1602" s="31" t="n"/>
      <c r="K1602" s="36" t="n"/>
      <c r="L1602" s="36" t="n"/>
      <c r="M1602" s="36" t="n"/>
      <c r="N1602" s="36" t="n"/>
      <c r="O1602" s="36" t="n"/>
      <c r="P1602" s="36" t="n"/>
      <c r="Q1602" s="36" t="n"/>
    </row>
    <row r="1603">
      <c r="C1603" s="36" t="n"/>
      <c r="D1603" s="36" t="n"/>
      <c r="E1603" s="36" t="n"/>
      <c r="F1603" s="36" t="n"/>
      <c r="G1603" s="42" t="n"/>
      <c r="H1603" s="30" t="n"/>
      <c r="I1603" s="30" t="n"/>
      <c r="J1603" s="31" t="n"/>
      <c r="K1603" s="36" t="n"/>
      <c r="L1603" s="36" t="n"/>
      <c r="M1603" s="36" t="n"/>
      <c r="N1603" s="36" t="n"/>
      <c r="O1603" s="36" t="n"/>
      <c r="P1603" s="36" t="n"/>
      <c r="Q1603" s="36" t="n"/>
    </row>
    <row r="1604">
      <c r="C1604" s="36" t="n"/>
      <c r="D1604" s="36" t="n"/>
      <c r="E1604" s="36" t="n"/>
      <c r="F1604" s="36" t="n"/>
      <c r="G1604" s="42" t="n"/>
      <c r="H1604" s="30" t="n"/>
      <c r="I1604" s="30" t="n"/>
      <c r="J1604" s="31" t="n"/>
      <c r="K1604" s="36" t="n"/>
      <c r="L1604" s="36" t="n"/>
      <c r="M1604" s="36" t="n"/>
      <c r="N1604" s="36" t="n"/>
      <c r="O1604" s="36" t="n"/>
      <c r="P1604" s="36" t="n"/>
      <c r="Q1604" s="36" t="n"/>
    </row>
    <row r="1605">
      <c r="C1605" s="36" t="n"/>
      <c r="D1605" s="36" t="n"/>
      <c r="E1605" s="36" t="n"/>
      <c r="F1605" s="36" t="n"/>
      <c r="G1605" s="42" t="n"/>
      <c r="H1605" s="30" t="n"/>
      <c r="I1605" s="30" t="n"/>
      <c r="J1605" s="31" t="n"/>
      <c r="K1605" s="36" t="n"/>
      <c r="L1605" s="36" t="n"/>
      <c r="M1605" s="36" t="n"/>
      <c r="N1605" s="36" t="n"/>
      <c r="O1605" s="36" t="n"/>
      <c r="P1605" s="36" t="n"/>
      <c r="Q1605" s="36" t="n"/>
    </row>
    <row r="1606">
      <c r="C1606" s="36" t="n"/>
      <c r="D1606" s="36" t="n"/>
      <c r="E1606" s="36" t="n"/>
      <c r="F1606" s="36" t="n"/>
      <c r="G1606" s="42" t="n"/>
      <c r="H1606" s="30" t="n"/>
      <c r="I1606" s="30" t="n"/>
      <c r="J1606" s="31" t="n"/>
      <c r="K1606" s="36" t="n"/>
      <c r="L1606" s="36" t="n"/>
      <c r="M1606" s="36" t="n"/>
      <c r="N1606" s="36" t="n"/>
      <c r="O1606" s="36" t="n"/>
      <c r="P1606" s="36" t="n"/>
      <c r="Q1606" s="36" t="n"/>
    </row>
    <row r="1607">
      <c r="C1607" s="36" t="n"/>
      <c r="D1607" s="36" t="n"/>
      <c r="E1607" s="36" t="n"/>
      <c r="F1607" s="36" t="n"/>
      <c r="G1607" s="42" t="n"/>
      <c r="H1607" s="30" t="n"/>
      <c r="I1607" s="30" t="n"/>
      <c r="J1607" s="31" t="n"/>
      <c r="K1607" s="36" t="n"/>
      <c r="L1607" s="36" t="n"/>
      <c r="M1607" s="36" t="n"/>
      <c r="N1607" s="36" t="n"/>
      <c r="O1607" s="36" t="n"/>
      <c r="P1607" s="36" t="n"/>
      <c r="Q1607" s="36" t="n"/>
    </row>
    <row r="1608">
      <c r="C1608" s="36" t="n"/>
      <c r="D1608" s="36" t="n"/>
      <c r="E1608" s="36" t="n"/>
      <c r="F1608" s="36" t="n"/>
      <c r="G1608" s="42" t="n"/>
      <c r="H1608" s="30" t="n"/>
      <c r="I1608" s="30" t="n"/>
      <c r="J1608" s="31" t="n"/>
      <c r="K1608" s="36" t="n"/>
      <c r="L1608" s="36" t="n"/>
      <c r="M1608" s="36" t="n"/>
      <c r="N1608" s="36" t="n"/>
      <c r="O1608" s="36" t="n"/>
      <c r="P1608" s="36" t="n"/>
      <c r="Q1608" s="36" t="n"/>
    </row>
    <row r="1609">
      <c r="C1609" s="36" t="n"/>
      <c r="D1609" s="36" t="n"/>
      <c r="E1609" s="36" t="n"/>
      <c r="F1609" s="36" t="n"/>
      <c r="G1609" s="42" t="n"/>
      <c r="H1609" s="30" t="n"/>
      <c r="I1609" s="30" t="n"/>
      <c r="J1609" s="31" t="n"/>
      <c r="K1609" s="36" t="n"/>
      <c r="L1609" s="36" t="n"/>
      <c r="M1609" s="36" t="n"/>
      <c r="N1609" s="36" t="n"/>
      <c r="O1609" s="36" t="n"/>
      <c r="P1609" s="36" t="n"/>
      <c r="Q1609" s="36" t="n"/>
    </row>
    <row r="1610">
      <c r="C1610" s="36" t="n"/>
      <c r="D1610" s="36" t="n"/>
      <c r="E1610" s="36" t="n"/>
      <c r="F1610" s="36" t="n"/>
      <c r="G1610" s="42" t="n"/>
      <c r="H1610" s="30" t="n"/>
      <c r="I1610" s="30" t="n"/>
      <c r="J1610" s="31" t="n"/>
      <c r="K1610" s="36" t="n"/>
      <c r="L1610" s="36" t="n"/>
      <c r="M1610" s="36" t="n"/>
      <c r="N1610" s="36" t="n"/>
      <c r="O1610" s="36" t="n"/>
      <c r="P1610" s="36" t="n"/>
      <c r="Q1610" s="36" t="n"/>
    </row>
    <row r="1611">
      <c r="C1611" s="36" t="n"/>
      <c r="D1611" s="36" t="n"/>
      <c r="E1611" s="36" t="n"/>
      <c r="F1611" s="36" t="n"/>
      <c r="G1611" s="42" t="n"/>
      <c r="H1611" s="30" t="n"/>
      <c r="I1611" s="30" t="n"/>
      <c r="J1611" s="31" t="n"/>
      <c r="K1611" s="36" t="n"/>
      <c r="L1611" s="36" t="n"/>
      <c r="M1611" s="36" t="n"/>
      <c r="N1611" s="36" t="n"/>
      <c r="O1611" s="36" t="n"/>
      <c r="P1611" s="36" t="n"/>
      <c r="Q1611" s="36" t="n"/>
    </row>
    <row r="1612">
      <c r="C1612" s="36" t="n"/>
      <c r="D1612" s="36" t="n"/>
      <c r="E1612" s="36" t="n"/>
      <c r="F1612" s="36" t="n"/>
      <c r="G1612" s="42" t="n"/>
      <c r="H1612" s="30" t="n"/>
      <c r="I1612" s="30" t="n"/>
      <c r="J1612" s="31" t="n"/>
      <c r="K1612" s="36" t="n"/>
      <c r="L1612" s="36" t="n"/>
      <c r="M1612" s="36" t="n"/>
      <c r="N1612" s="36" t="n"/>
      <c r="O1612" s="36" t="n"/>
      <c r="P1612" s="36" t="n"/>
      <c r="Q1612" s="36" t="n"/>
    </row>
    <row r="1613">
      <c r="C1613" s="36" t="n"/>
      <c r="D1613" s="36" t="n"/>
      <c r="E1613" s="36" t="n"/>
      <c r="F1613" s="36" t="n"/>
      <c r="G1613" s="42" t="n"/>
      <c r="H1613" s="30" t="n"/>
      <c r="I1613" s="30" t="n"/>
      <c r="J1613" s="31" t="n"/>
      <c r="K1613" s="36" t="n"/>
      <c r="L1613" s="36" t="n"/>
      <c r="M1613" s="36" t="n"/>
      <c r="N1613" s="36" t="n"/>
      <c r="O1613" s="36" t="n"/>
      <c r="P1613" s="36" t="n"/>
      <c r="Q1613" s="36" t="n"/>
    </row>
    <row r="1614">
      <c r="C1614" s="36" t="n"/>
      <c r="D1614" s="36" t="n"/>
      <c r="E1614" s="36" t="n"/>
      <c r="F1614" s="36" t="n"/>
      <c r="G1614" s="42" t="n"/>
      <c r="H1614" s="30" t="n"/>
      <c r="I1614" s="30" t="n"/>
      <c r="J1614" s="31" t="n"/>
      <c r="K1614" s="36" t="n"/>
      <c r="L1614" s="36" t="n"/>
      <c r="M1614" s="36" t="n"/>
      <c r="N1614" s="36" t="n"/>
      <c r="O1614" s="36" t="n"/>
      <c r="P1614" s="36" t="n"/>
      <c r="Q1614" s="36" t="n"/>
    </row>
    <row r="1615">
      <c r="C1615" s="36" t="n"/>
      <c r="D1615" s="36" t="n"/>
      <c r="E1615" s="36" t="n"/>
      <c r="F1615" s="36" t="n"/>
      <c r="G1615" s="42" t="n"/>
      <c r="H1615" s="30" t="n"/>
      <c r="I1615" s="30" t="n"/>
      <c r="J1615" s="31" t="n"/>
      <c r="K1615" s="36" t="n"/>
      <c r="L1615" s="36" t="n"/>
      <c r="M1615" s="36" t="n"/>
      <c r="N1615" s="36" t="n"/>
      <c r="O1615" s="36" t="n"/>
      <c r="P1615" s="36" t="n"/>
      <c r="Q1615" s="36" t="n"/>
    </row>
    <row r="1616">
      <c r="C1616" s="36" t="n"/>
      <c r="D1616" s="36" t="n"/>
      <c r="E1616" s="36" t="n"/>
      <c r="F1616" s="36" t="n"/>
      <c r="G1616" s="42" t="n"/>
      <c r="H1616" s="30" t="n"/>
      <c r="I1616" s="30" t="n"/>
      <c r="J1616" s="31" t="n"/>
      <c r="K1616" s="36" t="n"/>
      <c r="L1616" s="36" t="n"/>
      <c r="M1616" s="36" t="n"/>
      <c r="N1616" s="36" t="n"/>
      <c r="O1616" s="36" t="n"/>
      <c r="P1616" s="36" t="n"/>
      <c r="Q1616" s="36" t="n"/>
    </row>
    <row r="1617">
      <c r="C1617" s="36" t="n"/>
      <c r="D1617" s="36" t="n"/>
      <c r="E1617" s="36" t="n"/>
      <c r="F1617" s="36" t="n"/>
      <c r="G1617" s="42" t="n"/>
      <c r="H1617" s="30" t="n"/>
      <c r="I1617" s="30" t="n"/>
      <c r="J1617" s="31" t="n"/>
      <c r="K1617" s="36" t="n"/>
      <c r="L1617" s="36" t="n"/>
      <c r="M1617" s="36" t="n"/>
      <c r="N1617" s="36" t="n"/>
      <c r="O1617" s="36" t="n"/>
      <c r="P1617" s="36" t="n"/>
      <c r="Q1617" s="36" t="n"/>
    </row>
    <row r="1618">
      <c r="C1618" s="36" t="n"/>
      <c r="D1618" s="36" t="n"/>
      <c r="E1618" s="36" t="n"/>
      <c r="F1618" s="36" t="n"/>
      <c r="G1618" s="42" t="n"/>
      <c r="H1618" s="30" t="n"/>
      <c r="I1618" s="30" t="n"/>
      <c r="J1618" s="31" t="n"/>
      <c r="K1618" s="36" t="n"/>
      <c r="L1618" s="36" t="n"/>
      <c r="M1618" s="36" t="n"/>
      <c r="N1618" s="36" t="n"/>
      <c r="O1618" s="36" t="n"/>
      <c r="P1618" s="36" t="n"/>
      <c r="Q1618" s="36" t="n"/>
    </row>
    <row r="1619">
      <c r="C1619" s="36" t="n"/>
      <c r="D1619" s="36" t="n"/>
      <c r="E1619" s="36" t="n"/>
      <c r="F1619" s="36" t="n"/>
      <c r="G1619" s="42" t="n"/>
      <c r="H1619" s="30" t="n"/>
      <c r="I1619" s="30" t="n"/>
      <c r="J1619" s="31" t="n"/>
      <c r="K1619" s="36" t="n"/>
      <c r="L1619" s="36" t="n"/>
      <c r="M1619" s="36" t="n"/>
      <c r="N1619" s="36" t="n"/>
      <c r="O1619" s="36" t="n"/>
      <c r="P1619" s="36" t="n"/>
      <c r="Q1619" s="36" t="n"/>
    </row>
    <row r="1620">
      <c r="C1620" s="36" t="n"/>
      <c r="D1620" s="36" t="n"/>
      <c r="E1620" s="36" t="n"/>
      <c r="F1620" s="36" t="n"/>
      <c r="G1620" s="42" t="n"/>
      <c r="H1620" s="30" t="n"/>
      <c r="I1620" s="30" t="n"/>
      <c r="J1620" s="31" t="n"/>
      <c r="K1620" s="36" t="n"/>
      <c r="L1620" s="36" t="n"/>
      <c r="M1620" s="36" t="n"/>
      <c r="N1620" s="36" t="n"/>
      <c r="O1620" s="36" t="n"/>
      <c r="P1620" s="36" t="n"/>
      <c r="Q1620" s="36" t="n"/>
    </row>
    <row r="1621">
      <c r="C1621" s="36" t="n"/>
      <c r="D1621" s="36" t="n"/>
      <c r="E1621" s="36" t="n"/>
      <c r="F1621" s="36" t="n"/>
      <c r="G1621" s="42" t="n"/>
      <c r="H1621" s="30" t="n"/>
      <c r="I1621" s="30" t="n"/>
      <c r="J1621" s="31" t="n"/>
      <c r="K1621" s="36" t="n"/>
      <c r="L1621" s="36" t="n"/>
      <c r="M1621" s="36" t="n"/>
      <c r="N1621" s="36" t="n"/>
      <c r="O1621" s="36" t="n"/>
      <c r="P1621" s="36" t="n"/>
      <c r="Q1621" s="36" t="n"/>
    </row>
    <row r="1622">
      <c r="C1622" s="36" t="n"/>
      <c r="D1622" s="36" t="n"/>
      <c r="E1622" s="36" t="n"/>
      <c r="F1622" s="36" t="n"/>
      <c r="G1622" s="42" t="n"/>
      <c r="H1622" s="30" t="n"/>
      <c r="I1622" s="30" t="n"/>
      <c r="J1622" s="31" t="n"/>
      <c r="K1622" s="36" t="n"/>
      <c r="L1622" s="36" t="n"/>
      <c r="M1622" s="36" t="n"/>
      <c r="N1622" s="36" t="n"/>
      <c r="O1622" s="36" t="n"/>
      <c r="P1622" s="36" t="n"/>
      <c r="Q1622" s="36" t="n"/>
    </row>
    <row r="1623">
      <c r="C1623" s="36" t="n"/>
      <c r="D1623" s="36" t="n"/>
      <c r="E1623" s="36" t="n"/>
      <c r="F1623" s="36" t="n"/>
      <c r="G1623" s="42" t="n"/>
      <c r="H1623" s="30" t="n"/>
      <c r="I1623" s="30" t="n"/>
      <c r="J1623" s="31" t="n"/>
      <c r="K1623" s="36" t="n"/>
      <c r="L1623" s="36" t="n"/>
      <c r="M1623" s="36" t="n"/>
      <c r="N1623" s="36" t="n"/>
      <c r="O1623" s="36" t="n"/>
      <c r="P1623" s="36" t="n"/>
      <c r="Q1623" s="36" t="n"/>
    </row>
    <row r="1624">
      <c r="C1624" s="36" t="n"/>
      <c r="D1624" s="36" t="n"/>
      <c r="E1624" s="36" t="n"/>
      <c r="F1624" s="36" t="n"/>
      <c r="G1624" s="42" t="n"/>
      <c r="H1624" s="30" t="n"/>
      <c r="I1624" s="30" t="n"/>
      <c r="J1624" s="31" t="n"/>
      <c r="K1624" s="36" t="n"/>
      <c r="L1624" s="36" t="n"/>
      <c r="M1624" s="36" t="n"/>
      <c r="N1624" s="36" t="n"/>
      <c r="O1624" s="36" t="n"/>
      <c r="P1624" s="36" t="n"/>
      <c r="Q1624" s="36" t="n"/>
    </row>
    <row r="1625">
      <c r="C1625" s="36" t="n"/>
      <c r="D1625" s="36" t="n"/>
      <c r="E1625" s="36" t="n"/>
      <c r="F1625" s="36" t="n"/>
      <c r="G1625" s="42" t="n"/>
      <c r="H1625" s="30" t="n"/>
      <c r="I1625" s="30" t="n"/>
      <c r="J1625" s="31" t="n"/>
      <c r="K1625" s="36" t="n"/>
      <c r="L1625" s="36" t="n"/>
      <c r="M1625" s="36" t="n"/>
      <c r="N1625" s="36" t="n"/>
      <c r="O1625" s="36" t="n"/>
      <c r="P1625" s="36" t="n"/>
      <c r="Q1625" s="36" t="n"/>
    </row>
    <row r="1626">
      <c r="C1626" s="36" t="n"/>
      <c r="D1626" s="36" t="n"/>
      <c r="E1626" s="36" t="n"/>
      <c r="F1626" s="36" t="n"/>
      <c r="G1626" s="42" t="n"/>
      <c r="H1626" s="30" t="n"/>
      <c r="I1626" s="30" t="n"/>
      <c r="J1626" s="31" t="n"/>
      <c r="K1626" s="36" t="n"/>
      <c r="L1626" s="36" t="n"/>
      <c r="M1626" s="36" t="n"/>
      <c r="N1626" s="36" t="n"/>
      <c r="O1626" s="36" t="n"/>
      <c r="P1626" s="36" t="n"/>
      <c r="Q1626" s="36" t="n"/>
    </row>
    <row r="1627">
      <c r="C1627" s="36" t="n"/>
      <c r="D1627" s="36" t="n"/>
      <c r="E1627" s="36" t="n"/>
      <c r="F1627" s="36" t="n"/>
      <c r="G1627" s="42" t="n"/>
      <c r="H1627" s="30" t="n"/>
      <c r="I1627" s="30" t="n"/>
      <c r="J1627" s="31" t="n"/>
      <c r="K1627" s="36" t="n"/>
      <c r="L1627" s="36" t="n"/>
      <c r="M1627" s="36" t="n"/>
      <c r="N1627" s="36" t="n"/>
      <c r="O1627" s="36" t="n"/>
      <c r="P1627" s="36" t="n"/>
      <c r="Q1627" s="36" t="n"/>
    </row>
    <row r="1628">
      <c r="C1628" s="36" t="n"/>
      <c r="D1628" s="36" t="n"/>
      <c r="E1628" s="36" t="n"/>
      <c r="F1628" s="36" t="n"/>
      <c r="G1628" s="42" t="n"/>
      <c r="H1628" s="30" t="n"/>
      <c r="I1628" s="30" t="n"/>
      <c r="J1628" s="31" t="n"/>
      <c r="K1628" s="36" t="n"/>
      <c r="L1628" s="36" t="n"/>
      <c r="M1628" s="36" t="n"/>
      <c r="N1628" s="36" t="n"/>
      <c r="O1628" s="36" t="n"/>
      <c r="P1628" s="36" t="n"/>
      <c r="Q1628" s="36" t="n"/>
    </row>
    <row r="1629">
      <c r="C1629" s="36" t="n"/>
      <c r="D1629" s="36" t="n"/>
      <c r="E1629" s="36" t="n"/>
      <c r="F1629" s="36" t="n"/>
      <c r="G1629" s="42" t="n"/>
      <c r="H1629" s="30" t="n"/>
      <c r="I1629" s="30" t="n"/>
      <c r="J1629" s="31" t="n"/>
      <c r="K1629" s="36" t="n"/>
      <c r="L1629" s="36" t="n"/>
      <c r="M1629" s="36" t="n"/>
      <c r="N1629" s="36" t="n"/>
      <c r="O1629" s="36" t="n"/>
      <c r="P1629" s="36" t="n"/>
      <c r="Q1629" s="36" t="n"/>
    </row>
    <row r="1630">
      <c r="C1630" s="36" t="n"/>
      <c r="D1630" s="36" t="n"/>
      <c r="E1630" s="36" t="n"/>
      <c r="F1630" s="36" t="n"/>
      <c r="G1630" s="42" t="n"/>
      <c r="H1630" s="30" t="n"/>
      <c r="I1630" s="30" t="n"/>
      <c r="J1630" s="31" t="n"/>
      <c r="K1630" s="36" t="n"/>
      <c r="L1630" s="36" t="n"/>
      <c r="M1630" s="36" t="n"/>
      <c r="N1630" s="36" t="n"/>
      <c r="O1630" s="36" t="n"/>
      <c r="P1630" s="36" t="n"/>
      <c r="Q1630" s="36" t="n"/>
    </row>
    <row r="1631">
      <c r="C1631" s="36" t="n"/>
      <c r="D1631" s="36" t="n"/>
      <c r="E1631" s="36" t="n"/>
      <c r="F1631" s="36" t="n"/>
      <c r="G1631" s="42" t="n"/>
      <c r="H1631" s="30" t="n"/>
      <c r="I1631" s="30" t="n"/>
      <c r="J1631" s="31" t="n"/>
      <c r="K1631" s="36" t="n"/>
      <c r="L1631" s="36" t="n"/>
      <c r="M1631" s="36" t="n"/>
      <c r="N1631" s="36" t="n"/>
      <c r="O1631" s="36" t="n"/>
      <c r="P1631" s="36" t="n"/>
      <c r="Q1631" s="36" t="n"/>
    </row>
    <row r="1632">
      <c r="C1632" s="36" t="n"/>
      <c r="D1632" s="36" t="n"/>
      <c r="E1632" s="36" t="n"/>
      <c r="F1632" s="36" t="n"/>
      <c r="G1632" s="42" t="n"/>
      <c r="H1632" s="30" t="n"/>
      <c r="I1632" s="30" t="n"/>
      <c r="J1632" s="31" t="n"/>
      <c r="K1632" s="36" t="n"/>
      <c r="L1632" s="36" t="n"/>
      <c r="M1632" s="36" t="n"/>
      <c r="N1632" s="36" t="n"/>
      <c r="O1632" s="36" t="n"/>
      <c r="P1632" s="36" t="n"/>
      <c r="Q1632" s="36" t="n"/>
    </row>
    <row r="1633">
      <c r="C1633" s="36" t="n"/>
      <c r="D1633" s="36" t="n"/>
      <c r="E1633" s="36" t="n"/>
      <c r="F1633" s="36" t="n"/>
      <c r="G1633" s="42" t="n"/>
      <c r="H1633" s="30" t="n"/>
      <c r="I1633" s="30" t="n"/>
      <c r="J1633" s="31" t="n"/>
      <c r="K1633" s="36" t="n"/>
      <c r="L1633" s="36" t="n"/>
      <c r="M1633" s="36" t="n"/>
      <c r="N1633" s="36" t="n"/>
      <c r="O1633" s="36" t="n"/>
      <c r="P1633" s="36" t="n"/>
      <c r="Q1633" s="36" t="n"/>
    </row>
    <row r="1634">
      <c r="C1634" s="36" t="n"/>
      <c r="D1634" s="36" t="n"/>
      <c r="E1634" s="36" t="n"/>
      <c r="F1634" s="36" t="n"/>
      <c r="G1634" s="42" t="n"/>
      <c r="H1634" s="30" t="n"/>
      <c r="I1634" s="30" t="n"/>
      <c r="J1634" s="31" t="n"/>
      <c r="K1634" s="36" t="n"/>
      <c r="L1634" s="36" t="n"/>
      <c r="M1634" s="36" t="n"/>
      <c r="N1634" s="36" t="n"/>
      <c r="O1634" s="36" t="n"/>
      <c r="P1634" s="36" t="n"/>
      <c r="Q1634" s="36" t="n"/>
    </row>
    <row r="1635">
      <c r="C1635" s="36" t="n"/>
      <c r="D1635" s="36" t="n"/>
      <c r="E1635" s="36" t="n"/>
      <c r="F1635" s="36" t="n"/>
      <c r="G1635" s="42" t="n"/>
      <c r="H1635" s="30" t="n"/>
      <c r="I1635" s="30" t="n"/>
      <c r="J1635" s="31" t="n"/>
      <c r="K1635" s="36" t="n"/>
      <c r="L1635" s="36" t="n"/>
      <c r="M1635" s="36" t="n"/>
      <c r="N1635" s="36" t="n"/>
      <c r="O1635" s="36" t="n"/>
      <c r="P1635" s="36" t="n"/>
      <c r="Q1635" s="36" t="n"/>
    </row>
    <row r="1636">
      <c r="C1636" s="36" t="n"/>
      <c r="D1636" s="36" t="n"/>
      <c r="E1636" s="36" t="n"/>
      <c r="F1636" s="36" t="n"/>
      <c r="G1636" s="42" t="n"/>
      <c r="H1636" s="30" t="n"/>
      <c r="I1636" s="30" t="n"/>
      <c r="J1636" s="31" t="n"/>
      <c r="K1636" s="36" t="n"/>
      <c r="L1636" s="36" t="n"/>
      <c r="M1636" s="36" t="n"/>
      <c r="N1636" s="36" t="n"/>
      <c r="O1636" s="36" t="n"/>
      <c r="P1636" s="36" t="n"/>
      <c r="Q1636" s="36" t="n"/>
    </row>
    <row r="1637">
      <c r="C1637" s="36" t="n"/>
      <c r="D1637" s="36" t="n"/>
      <c r="E1637" s="36" t="n"/>
      <c r="F1637" s="36" t="n"/>
      <c r="G1637" s="42" t="n"/>
      <c r="H1637" s="30" t="n"/>
      <c r="I1637" s="30" t="n"/>
      <c r="J1637" s="31" t="n"/>
      <c r="K1637" s="36" t="n"/>
      <c r="L1637" s="36" t="n"/>
      <c r="M1637" s="36" t="n"/>
      <c r="N1637" s="36" t="n"/>
      <c r="O1637" s="36" t="n"/>
      <c r="P1637" s="36" t="n"/>
      <c r="Q1637" s="36" t="n"/>
    </row>
    <row r="1638">
      <c r="C1638" s="36" t="n"/>
      <c r="D1638" s="36" t="n"/>
      <c r="E1638" s="36" t="n"/>
      <c r="F1638" s="36" t="n"/>
      <c r="G1638" s="42" t="n"/>
      <c r="H1638" s="30" t="n"/>
      <c r="I1638" s="30" t="n"/>
      <c r="J1638" s="31" t="n"/>
      <c r="K1638" s="36" t="n"/>
      <c r="L1638" s="36" t="n"/>
      <c r="M1638" s="36" t="n"/>
      <c r="N1638" s="36" t="n"/>
      <c r="O1638" s="36" t="n"/>
      <c r="P1638" s="36" t="n"/>
      <c r="Q1638" s="36" t="n"/>
    </row>
    <row r="1639">
      <c r="C1639" s="36" t="n"/>
      <c r="D1639" s="36" t="n"/>
      <c r="E1639" s="36" t="n"/>
      <c r="F1639" s="36" t="n"/>
      <c r="G1639" s="42" t="n"/>
      <c r="H1639" s="30" t="n"/>
      <c r="I1639" s="30" t="n"/>
      <c r="J1639" s="31" t="n"/>
      <c r="K1639" s="36" t="n"/>
      <c r="L1639" s="36" t="n"/>
      <c r="M1639" s="36" t="n"/>
      <c r="N1639" s="36" t="n"/>
      <c r="O1639" s="36" t="n"/>
      <c r="P1639" s="36" t="n"/>
      <c r="Q1639" s="36" t="n"/>
    </row>
    <row r="1640">
      <c r="C1640" s="36" t="n"/>
      <c r="D1640" s="36" t="n"/>
      <c r="E1640" s="36" t="n"/>
      <c r="F1640" s="36" t="n"/>
      <c r="G1640" s="42" t="n"/>
      <c r="H1640" s="30" t="n"/>
      <c r="I1640" s="30" t="n"/>
      <c r="J1640" s="31" t="n"/>
      <c r="K1640" s="36" t="n"/>
      <c r="L1640" s="36" t="n"/>
      <c r="M1640" s="36" t="n"/>
      <c r="N1640" s="36" t="n"/>
      <c r="O1640" s="36" t="n"/>
      <c r="P1640" s="36" t="n"/>
      <c r="Q1640" s="36" t="n"/>
    </row>
    <row r="1641">
      <c r="C1641" s="36" t="n"/>
      <c r="D1641" s="36" t="n"/>
      <c r="E1641" s="36" t="n"/>
      <c r="F1641" s="36" t="n"/>
      <c r="G1641" s="42" t="n"/>
      <c r="H1641" s="30" t="n"/>
      <c r="I1641" s="30" t="n"/>
      <c r="J1641" s="31" t="n"/>
      <c r="K1641" s="36" t="n"/>
      <c r="L1641" s="36" t="n"/>
      <c r="M1641" s="36" t="n"/>
      <c r="N1641" s="36" t="n"/>
      <c r="O1641" s="36" t="n"/>
      <c r="P1641" s="36" t="n"/>
      <c r="Q1641" s="36" t="n"/>
    </row>
    <row r="1642">
      <c r="C1642" s="36" t="n"/>
      <c r="D1642" s="36" t="n"/>
      <c r="E1642" s="36" t="n"/>
      <c r="F1642" s="36" t="n"/>
      <c r="G1642" s="42" t="n"/>
      <c r="H1642" s="30" t="n"/>
      <c r="I1642" s="30" t="n"/>
      <c r="J1642" s="31" t="n"/>
      <c r="K1642" s="36" t="n"/>
      <c r="L1642" s="36" t="n"/>
      <c r="M1642" s="36" t="n"/>
      <c r="N1642" s="36" t="n"/>
      <c r="O1642" s="36" t="n"/>
      <c r="P1642" s="36" t="n"/>
      <c r="Q1642" s="36" t="n"/>
    </row>
    <row r="1643">
      <c r="C1643" s="36" t="n"/>
      <c r="D1643" s="36" t="n"/>
      <c r="E1643" s="36" t="n"/>
      <c r="F1643" s="36" t="n"/>
      <c r="G1643" s="36" t="n"/>
      <c r="H1643" s="30" t="n"/>
      <c r="I1643" s="30" t="n"/>
      <c r="J1643" s="36" t="n"/>
      <c r="K1643" s="36" t="n"/>
      <c r="L1643" s="36" t="n"/>
      <c r="M1643" s="36" t="n"/>
      <c r="N1643" s="36" t="n"/>
      <c r="O1643" s="36" t="n"/>
      <c r="P1643" s="36" t="n"/>
      <c r="Q1643" s="36" t="n"/>
    </row>
    <row r="1644">
      <c r="C1644" s="36" t="n"/>
      <c r="D1644" s="36" t="n"/>
      <c r="E1644" s="36" t="n"/>
      <c r="F1644" s="36" t="n"/>
      <c r="G1644" s="36" t="n"/>
      <c r="H1644" s="30" t="n"/>
      <c r="I1644" s="30" t="n"/>
      <c r="J1644" s="36" t="n"/>
      <c r="K1644" s="36" t="n"/>
      <c r="L1644" s="36" t="n"/>
      <c r="M1644" s="36" t="n"/>
      <c r="N1644" s="36" t="n"/>
      <c r="O1644" s="36" t="n"/>
      <c r="P1644" s="36" t="n"/>
      <c r="Q1644" s="36" t="n"/>
    </row>
    <row r="1645">
      <c r="C1645" s="36" t="n"/>
      <c r="D1645" s="36" t="n"/>
      <c r="E1645" s="36" t="n"/>
      <c r="F1645" s="36" t="n"/>
      <c r="G1645" s="36" t="n"/>
      <c r="H1645" s="30" t="n"/>
      <c r="I1645" s="30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</row>
    <row r="1646">
      <c r="C1646" s="36" t="n"/>
      <c r="D1646" s="36" t="n"/>
      <c r="E1646" s="36" t="n"/>
      <c r="F1646" s="36" t="n"/>
      <c r="G1646" s="36" t="n"/>
      <c r="H1646" s="30" t="n"/>
      <c r="I1646" s="30" t="n"/>
      <c r="J1646" s="36" t="n"/>
      <c r="K1646" s="36" t="n"/>
      <c r="L1646" s="36" t="n"/>
      <c r="M1646" s="36" t="n"/>
      <c r="N1646" s="36" t="n"/>
      <c r="O1646" s="36" t="n"/>
      <c r="P1646" s="36" t="n"/>
      <c r="Q1646" s="36" t="n"/>
    </row>
    <row r="1647">
      <c r="C1647" s="36" t="n"/>
      <c r="D1647" s="36" t="n"/>
      <c r="E1647" s="36" t="n"/>
      <c r="F1647" s="36" t="n"/>
      <c r="G1647" s="36" t="n"/>
      <c r="H1647" s="30" t="n"/>
      <c r="I1647" s="30" t="n"/>
      <c r="J1647" s="36" t="n"/>
      <c r="K1647" s="36" t="n"/>
      <c r="L1647" s="36" t="n"/>
      <c r="M1647" s="36" t="n"/>
      <c r="N1647" s="36" t="n"/>
      <c r="O1647" s="36" t="n"/>
      <c r="P1647" s="36" t="n"/>
      <c r="Q1647" s="36" t="n"/>
    </row>
    <row r="1648">
      <c r="C1648" s="36" t="n"/>
      <c r="D1648" s="36" t="n"/>
      <c r="E1648" s="36" t="n"/>
      <c r="F1648" s="36" t="n"/>
      <c r="G1648" s="36" t="n"/>
      <c r="H1648" s="30" t="n"/>
      <c r="I1648" s="30" t="n"/>
      <c r="J1648" s="36" t="n"/>
      <c r="K1648" s="36" t="n"/>
      <c r="L1648" s="36" t="n"/>
      <c r="M1648" s="36" t="n"/>
      <c r="N1648" s="36" t="n"/>
      <c r="O1648" s="36" t="n"/>
      <c r="P1648" s="36" t="n"/>
      <c r="Q1648" s="36" t="n"/>
    </row>
    <row r="1649">
      <c r="C1649" s="36" t="n"/>
      <c r="D1649" s="36" t="n"/>
      <c r="E1649" s="36" t="n"/>
      <c r="F1649" s="36" t="n"/>
      <c r="G1649" s="36" t="n"/>
      <c r="H1649" s="30" t="n"/>
      <c r="I1649" s="30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</row>
    <row r="1650">
      <c r="C1650" s="36" t="n"/>
      <c r="D1650" s="36" t="n"/>
      <c r="E1650" s="36" t="n"/>
      <c r="F1650" s="36" t="n"/>
      <c r="G1650" s="36" t="n"/>
      <c r="H1650" s="30" t="n"/>
      <c r="I1650" s="30" t="n"/>
      <c r="J1650" s="36" t="n"/>
      <c r="K1650" s="36" t="n"/>
      <c r="L1650" s="36" t="n"/>
      <c r="M1650" s="36" t="n"/>
      <c r="N1650" s="36" t="n"/>
      <c r="O1650" s="36" t="n"/>
      <c r="P1650" s="36" t="n"/>
      <c r="Q1650" s="36" t="n"/>
    </row>
    <row r="1651">
      <c r="C1651" s="36" t="n"/>
      <c r="D1651" s="36" t="n"/>
      <c r="E1651" s="36" t="n"/>
      <c r="F1651" s="36" t="n"/>
      <c r="G1651" s="36" t="n"/>
      <c r="H1651" s="30" t="n"/>
      <c r="I1651" s="30" t="n"/>
      <c r="J1651" s="36" t="n"/>
      <c r="K1651" s="36" t="n"/>
      <c r="L1651" s="36" t="n"/>
      <c r="M1651" s="36" t="n"/>
      <c r="N1651" s="36" t="n"/>
      <c r="O1651" s="36" t="n"/>
      <c r="P1651" s="36" t="n"/>
      <c r="Q1651" s="36" t="n"/>
    </row>
    <row r="1652">
      <c r="C1652" s="36" t="n"/>
      <c r="D1652" s="36" t="n"/>
      <c r="E1652" s="36" t="n"/>
      <c r="F1652" s="36" t="n"/>
      <c r="G1652" s="36" t="n"/>
      <c r="H1652" s="30" t="n"/>
      <c r="I1652" s="30" t="n"/>
      <c r="J1652" s="36" t="n"/>
      <c r="K1652" s="36" t="n"/>
      <c r="L1652" s="36" t="n"/>
      <c r="M1652" s="36" t="n"/>
      <c r="N1652" s="36" t="n"/>
      <c r="O1652" s="36" t="n"/>
      <c r="P1652" s="36" t="n"/>
      <c r="Q1652" s="36" t="n"/>
    </row>
    <row r="1653">
      <c r="C1653" s="36" t="n"/>
      <c r="D1653" s="36" t="n"/>
      <c r="E1653" s="36" t="n"/>
      <c r="F1653" s="36" t="n"/>
      <c r="G1653" s="36" t="n"/>
      <c r="H1653" s="30" t="n"/>
      <c r="I1653" s="30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</row>
    <row r="1654">
      <c r="C1654" s="36" t="n"/>
      <c r="D1654" s="36" t="n"/>
      <c r="E1654" s="36" t="n"/>
      <c r="F1654" s="36" t="n"/>
      <c r="G1654" s="36" t="n"/>
      <c r="H1654" s="30" t="n"/>
      <c r="I1654" s="30" t="n"/>
      <c r="J1654" s="36" t="n"/>
      <c r="K1654" s="36" t="n"/>
      <c r="L1654" s="36" t="n"/>
      <c r="M1654" s="36" t="n"/>
      <c r="N1654" s="36" t="n"/>
      <c r="O1654" s="36" t="n"/>
      <c r="P1654" s="36" t="n"/>
      <c r="Q1654" s="36" t="n"/>
    </row>
    <row r="1655">
      <c r="C1655" s="36" t="n"/>
      <c r="D1655" s="36" t="n"/>
      <c r="E1655" s="36" t="n"/>
      <c r="F1655" s="36" t="n"/>
      <c r="G1655" s="36" t="n"/>
      <c r="H1655" s="30" t="n"/>
      <c r="I1655" s="30" t="n"/>
      <c r="J1655" s="36" t="n"/>
      <c r="K1655" s="36" t="n"/>
      <c r="L1655" s="36" t="n"/>
      <c r="M1655" s="36" t="n"/>
      <c r="N1655" s="36" t="n"/>
      <c r="O1655" s="36" t="n"/>
      <c r="P1655" s="36" t="n"/>
      <c r="Q1655" s="36" t="n"/>
    </row>
    <row r="1656">
      <c r="C1656" s="36" t="n"/>
      <c r="D1656" s="36" t="n"/>
      <c r="E1656" s="36" t="n"/>
      <c r="F1656" s="36" t="n"/>
      <c r="G1656" s="36" t="n"/>
      <c r="H1656" s="30" t="n"/>
      <c r="I1656" s="30" t="n"/>
      <c r="J1656" s="36" t="n"/>
      <c r="K1656" s="36" t="n"/>
      <c r="L1656" s="36" t="n"/>
      <c r="M1656" s="36" t="n"/>
      <c r="N1656" s="36" t="n"/>
      <c r="O1656" s="36" t="n"/>
      <c r="P1656" s="36" t="n"/>
      <c r="Q1656" s="36" t="n"/>
    </row>
    <row r="1657">
      <c r="C1657" s="36" t="n"/>
      <c r="D1657" s="36" t="n"/>
      <c r="E1657" s="36" t="n"/>
      <c r="F1657" s="36" t="n"/>
      <c r="G1657" s="36" t="n"/>
      <c r="H1657" s="30" t="n"/>
      <c r="I1657" s="30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</row>
    <row r="1658">
      <c r="C1658" s="36" t="n"/>
      <c r="D1658" s="36" t="n"/>
      <c r="E1658" s="36" t="n"/>
      <c r="F1658" s="36" t="n"/>
      <c r="G1658" s="36" t="n"/>
      <c r="H1658" s="30" t="n"/>
      <c r="I1658" s="30" t="n"/>
      <c r="J1658" s="36" t="n"/>
      <c r="K1658" s="36" t="n"/>
      <c r="L1658" s="36" t="n"/>
      <c r="M1658" s="36" t="n"/>
      <c r="N1658" s="36" t="n"/>
      <c r="O1658" s="36" t="n"/>
      <c r="P1658" s="36" t="n"/>
      <c r="Q1658" s="36" t="n"/>
    </row>
    <row r="1659">
      <c r="C1659" s="36" t="n"/>
      <c r="D1659" s="36" t="n"/>
      <c r="E1659" s="36" t="n"/>
      <c r="F1659" s="36" t="n"/>
      <c r="G1659" s="36" t="n"/>
      <c r="H1659" s="30" t="n"/>
      <c r="I1659" s="30" t="n"/>
      <c r="J1659" s="36" t="n"/>
      <c r="K1659" s="36" t="n"/>
      <c r="L1659" s="36" t="n"/>
      <c r="M1659" s="36" t="n"/>
      <c r="N1659" s="36" t="n"/>
      <c r="O1659" s="36" t="n"/>
      <c r="P1659" s="36" t="n"/>
      <c r="Q1659" s="36" t="n"/>
    </row>
    <row r="1660">
      <c r="C1660" s="36" t="n"/>
      <c r="D1660" s="36" t="n"/>
      <c r="E1660" s="36" t="n"/>
      <c r="F1660" s="36" t="n"/>
      <c r="G1660" s="36" t="n"/>
      <c r="H1660" s="30" t="n"/>
      <c r="I1660" s="30" t="n"/>
      <c r="J1660" s="36" t="n"/>
      <c r="K1660" s="36" t="n"/>
      <c r="L1660" s="36" t="n"/>
      <c r="M1660" s="36" t="n"/>
      <c r="N1660" s="36" t="n"/>
      <c r="O1660" s="36" t="n"/>
      <c r="P1660" s="36" t="n"/>
      <c r="Q1660" s="36" t="n"/>
    </row>
    <row r="1661">
      <c r="C1661" s="36" t="n"/>
      <c r="D1661" s="36" t="n"/>
      <c r="E1661" s="36" t="n"/>
      <c r="F1661" s="36" t="n"/>
      <c r="G1661" s="36" t="n"/>
      <c r="H1661" s="30" t="n"/>
      <c r="I1661" s="30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</row>
    <row r="1662">
      <c r="C1662" s="36" t="n"/>
      <c r="D1662" s="36" t="n"/>
      <c r="E1662" s="36" t="n"/>
      <c r="F1662" s="36" t="n"/>
      <c r="G1662" s="36" t="n"/>
      <c r="H1662" s="30" t="n"/>
      <c r="I1662" s="30" t="n"/>
      <c r="J1662" s="36" t="n"/>
      <c r="K1662" s="36" t="n"/>
      <c r="L1662" s="36" t="n"/>
      <c r="M1662" s="36" t="n"/>
      <c r="N1662" s="36" t="n"/>
      <c r="O1662" s="36" t="n"/>
      <c r="P1662" s="36" t="n"/>
      <c r="Q1662" s="36" t="n"/>
    </row>
    <row r="1663">
      <c r="C1663" s="36" t="n"/>
      <c r="D1663" s="36" t="n"/>
      <c r="E1663" s="36" t="n"/>
      <c r="F1663" s="36" t="n"/>
      <c r="G1663" s="36" t="n"/>
      <c r="H1663" s="30" t="n"/>
      <c r="I1663" s="30" t="n"/>
      <c r="J1663" s="36" t="n"/>
      <c r="K1663" s="36" t="n"/>
      <c r="L1663" s="36" t="n"/>
      <c r="M1663" s="36" t="n"/>
      <c r="N1663" s="36" t="n"/>
      <c r="O1663" s="36" t="n"/>
      <c r="P1663" s="36" t="n"/>
      <c r="Q1663" s="36" t="n"/>
    </row>
    <row r="1664">
      <c r="C1664" s="36" t="n"/>
      <c r="D1664" s="36" t="n"/>
      <c r="E1664" s="36" t="n"/>
      <c r="F1664" s="36" t="n"/>
      <c r="G1664" s="36" t="n"/>
      <c r="H1664" s="30" t="n"/>
      <c r="I1664" s="30" t="n"/>
      <c r="J1664" s="36" t="n"/>
      <c r="K1664" s="36" t="n"/>
      <c r="L1664" s="36" t="n"/>
      <c r="M1664" s="36" t="n"/>
      <c r="N1664" s="36" t="n"/>
      <c r="O1664" s="36" t="n"/>
      <c r="P1664" s="36" t="n"/>
      <c r="Q1664" s="36" t="n"/>
    </row>
    <row r="1665">
      <c r="C1665" s="36" t="n"/>
      <c r="D1665" s="36" t="n"/>
      <c r="E1665" s="36" t="n"/>
      <c r="F1665" s="36" t="n"/>
      <c r="G1665" s="36" t="n"/>
      <c r="H1665" s="30" t="n"/>
      <c r="I1665" s="30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</row>
    <row r="1666">
      <c r="C1666" s="36" t="n"/>
      <c r="D1666" s="36" t="n"/>
      <c r="E1666" s="36" t="n"/>
      <c r="F1666" s="36" t="n"/>
      <c r="G1666" s="36" t="n"/>
      <c r="H1666" s="30" t="n"/>
      <c r="I1666" s="30" t="n"/>
      <c r="J1666" s="36" t="n"/>
      <c r="K1666" s="36" t="n"/>
      <c r="L1666" s="36" t="n"/>
      <c r="M1666" s="36" t="n"/>
      <c r="N1666" s="36" t="n"/>
      <c r="O1666" s="36" t="n"/>
      <c r="P1666" s="36" t="n"/>
      <c r="Q1666" s="36" t="n"/>
    </row>
    <row r="1667">
      <c r="C1667" s="36" t="n"/>
      <c r="D1667" s="36" t="n"/>
      <c r="E1667" s="36" t="n"/>
      <c r="F1667" s="36" t="n"/>
      <c r="G1667" s="36" t="n"/>
      <c r="H1667" s="30" t="n"/>
      <c r="I1667" s="30" t="n"/>
      <c r="J1667" s="36" t="n"/>
      <c r="K1667" s="36" t="n"/>
      <c r="L1667" s="36" t="n"/>
      <c r="M1667" s="36" t="n"/>
      <c r="N1667" s="36" t="n"/>
      <c r="O1667" s="36" t="n"/>
      <c r="P1667" s="36" t="n"/>
      <c r="Q1667" s="36" t="n"/>
    </row>
    <row r="1668">
      <c r="C1668" s="36" t="n"/>
      <c r="D1668" s="36" t="n"/>
      <c r="E1668" s="36" t="n"/>
      <c r="F1668" s="36" t="n"/>
      <c r="G1668" s="36" t="n"/>
      <c r="H1668" s="30" t="n"/>
      <c r="I1668" s="30" t="n"/>
      <c r="J1668" s="36" t="n"/>
      <c r="K1668" s="36" t="n"/>
      <c r="L1668" s="36" t="n"/>
      <c r="M1668" s="36" t="n"/>
      <c r="N1668" s="36" t="n"/>
      <c r="O1668" s="36" t="n"/>
      <c r="P1668" s="36" t="n"/>
      <c r="Q1668" s="36" t="n"/>
    </row>
    <row r="1669">
      <c r="C1669" s="36" t="n"/>
      <c r="D1669" s="36" t="n"/>
      <c r="E1669" s="36" t="n"/>
      <c r="F1669" s="36" t="n"/>
      <c r="G1669" s="36" t="n"/>
      <c r="H1669" s="30" t="n"/>
      <c r="I1669" s="30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</row>
    <row r="1670">
      <c r="C1670" s="36" t="n"/>
      <c r="D1670" s="36" t="n"/>
      <c r="E1670" s="36" t="n"/>
      <c r="F1670" s="36" t="n"/>
      <c r="G1670" s="36" t="n"/>
      <c r="H1670" s="30" t="n"/>
      <c r="I1670" s="30" t="n"/>
      <c r="J1670" s="36" t="n"/>
      <c r="K1670" s="36" t="n"/>
      <c r="L1670" s="36" t="n"/>
      <c r="M1670" s="36" t="n"/>
      <c r="N1670" s="36" t="n"/>
      <c r="O1670" s="36" t="n"/>
      <c r="P1670" s="36" t="n"/>
      <c r="Q1670" s="36" t="n"/>
    </row>
    <row r="1671">
      <c r="C1671" s="36" t="n"/>
      <c r="D1671" s="36" t="n"/>
      <c r="E1671" s="36" t="n"/>
      <c r="F1671" s="36" t="n"/>
      <c r="G1671" s="36" t="n"/>
      <c r="H1671" s="30" t="n"/>
      <c r="I1671" s="30" t="n"/>
      <c r="J1671" s="36" t="n"/>
      <c r="K1671" s="36" t="n"/>
      <c r="L1671" s="36" t="n"/>
      <c r="M1671" s="36" t="n"/>
      <c r="N1671" s="36" t="n"/>
      <c r="O1671" s="36" t="n"/>
      <c r="P1671" s="36" t="n"/>
      <c r="Q1671" s="36" t="n"/>
    </row>
    <row r="1672">
      <c r="C1672" s="36" t="n"/>
      <c r="D1672" s="36" t="n"/>
      <c r="E1672" s="36" t="n"/>
      <c r="F1672" s="36" t="n"/>
      <c r="G1672" s="36" t="n"/>
      <c r="H1672" s="30" t="n"/>
      <c r="I1672" s="30" t="n"/>
      <c r="J1672" s="36" t="n"/>
      <c r="K1672" s="36" t="n"/>
      <c r="L1672" s="36" t="n"/>
      <c r="M1672" s="36" t="n"/>
      <c r="N1672" s="36" t="n"/>
      <c r="O1672" s="36" t="n"/>
      <c r="P1672" s="36" t="n"/>
      <c r="Q1672" s="36" t="n"/>
    </row>
    <row r="1673">
      <c r="C1673" s="36" t="n"/>
      <c r="D1673" s="36" t="n"/>
      <c r="E1673" s="36" t="n"/>
      <c r="F1673" s="36" t="n"/>
      <c r="G1673" s="36" t="n"/>
      <c r="H1673" s="30" t="n"/>
      <c r="I1673" s="30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</row>
    <row r="1674">
      <c r="C1674" s="36" t="n"/>
      <c r="D1674" s="36" t="n"/>
      <c r="E1674" s="36" t="n"/>
      <c r="F1674" s="36" t="n"/>
      <c r="G1674" s="36" t="n"/>
      <c r="H1674" s="30" t="n"/>
      <c r="I1674" s="30" t="n"/>
      <c r="J1674" s="36" t="n"/>
      <c r="K1674" s="36" t="n"/>
      <c r="L1674" s="36" t="n"/>
      <c r="M1674" s="36" t="n"/>
      <c r="N1674" s="36" t="n"/>
      <c r="O1674" s="36" t="n"/>
      <c r="P1674" s="36" t="n"/>
      <c r="Q1674" s="36" t="n"/>
    </row>
    <row r="1675">
      <c r="C1675" s="36" t="n"/>
      <c r="D1675" s="36" t="n"/>
      <c r="E1675" s="36" t="n"/>
      <c r="F1675" s="36" t="n"/>
      <c r="G1675" s="36" t="n"/>
      <c r="H1675" s="30" t="n"/>
      <c r="I1675" s="30" t="n"/>
      <c r="J1675" s="36" t="n"/>
      <c r="K1675" s="36" t="n"/>
      <c r="L1675" s="36" t="n"/>
      <c r="M1675" s="36" t="n"/>
      <c r="N1675" s="36" t="n"/>
      <c r="O1675" s="36" t="n"/>
      <c r="P1675" s="36" t="n"/>
      <c r="Q1675" s="36" t="n"/>
    </row>
    <row r="1676">
      <c r="C1676" s="36" t="n"/>
      <c r="D1676" s="36" t="n"/>
      <c r="E1676" s="36" t="n"/>
      <c r="F1676" s="36" t="n"/>
      <c r="G1676" s="36" t="n"/>
      <c r="H1676" s="30" t="n"/>
      <c r="I1676" s="30" t="n"/>
      <c r="J1676" s="36" t="n"/>
      <c r="K1676" s="36" t="n"/>
      <c r="L1676" s="36" t="n"/>
      <c r="M1676" s="36" t="n"/>
      <c r="N1676" s="36" t="n"/>
      <c r="O1676" s="36" t="n"/>
      <c r="P1676" s="36" t="n"/>
      <c r="Q1676" s="36" t="n"/>
    </row>
    <row r="1677">
      <c r="C1677" s="36" t="n"/>
      <c r="D1677" s="36" t="n"/>
      <c r="E1677" s="36" t="n"/>
      <c r="F1677" s="36" t="n"/>
      <c r="G1677" s="36" t="n"/>
      <c r="H1677" s="30" t="n"/>
      <c r="I1677" s="30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</row>
    <row r="1678">
      <c r="C1678" s="36" t="n"/>
      <c r="D1678" s="36" t="n"/>
      <c r="E1678" s="36" t="n"/>
      <c r="F1678" s="36" t="n"/>
      <c r="G1678" s="36" t="n"/>
      <c r="H1678" s="30" t="n"/>
      <c r="I1678" s="30" t="n"/>
      <c r="J1678" s="36" t="n"/>
      <c r="K1678" s="36" t="n"/>
      <c r="L1678" s="36" t="n"/>
      <c r="M1678" s="36" t="n"/>
      <c r="N1678" s="36" t="n"/>
      <c r="O1678" s="36" t="n"/>
      <c r="P1678" s="36" t="n"/>
      <c r="Q1678" s="36" t="n"/>
    </row>
    <row r="1679">
      <c r="C1679" s="36" t="n"/>
      <c r="D1679" s="36" t="n"/>
      <c r="E1679" s="36" t="n"/>
      <c r="F1679" s="36" t="n"/>
      <c r="G1679" s="36" t="n"/>
      <c r="H1679" s="30" t="n"/>
      <c r="I1679" s="30" t="n"/>
      <c r="J1679" s="36" t="n"/>
      <c r="K1679" s="36" t="n"/>
      <c r="L1679" s="36" t="n"/>
      <c r="M1679" s="36" t="n"/>
      <c r="N1679" s="36" t="n"/>
      <c r="O1679" s="36" t="n"/>
      <c r="P1679" s="36" t="n"/>
      <c r="Q1679" s="36" t="n"/>
    </row>
    <row r="1680">
      <c r="C1680" s="36" t="n"/>
      <c r="D1680" s="36" t="n"/>
      <c r="E1680" s="36" t="n"/>
      <c r="F1680" s="36" t="n"/>
      <c r="G1680" s="36" t="n"/>
      <c r="H1680" s="30" t="n"/>
      <c r="I1680" s="30" t="n"/>
      <c r="J1680" s="36" t="n"/>
      <c r="K1680" s="36" t="n"/>
      <c r="L1680" s="36" t="n"/>
      <c r="M1680" s="36" t="n"/>
      <c r="N1680" s="36" t="n"/>
      <c r="O1680" s="36" t="n"/>
      <c r="P1680" s="36" t="n"/>
      <c r="Q1680" s="36" t="n"/>
    </row>
    <row r="1681">
      <c r="C1681" s="36" t="n"/>
      <c r="D1681" s="36" t="n"/>
      <c r="E1681" s="36" t="n"/>
      <c r="F1681" s="36" t="n"/>
      <c r="G1681" s="36" t="n"/>
      <c r="H1681" s="30" t="n"/>
      <c r="I1681" s="30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</row>
    <row r="1682">
      <c r="C1682" s="36" t="n"/>
      <c r="D1682" s="36" t="n"/>
      <c r="E1682" s="36" t="n"/>
      <c r="F1682" s="36" t="n"/>
      <c r="G1682" s="36" t="n"/>
      <c r="H1682" s="30" t="n"/>
      <c r="I1682" s="30" t="n"/>
      <c r="J1682" s="36" t="n"/>
      <c r="K1682" s="36" t="n"/>
      <c r="L1682" s="36" t="n"/>
      <c r="M1682" s="36" t="n"/>
      <c r="N1682" s="36" t="n"/>
      <c r="O1682" s="36" t="n"/>
      <c r="P1682" s="36" t="n"/>
      <c r="Q1682" s="36" t="n"/>
    </row>
    <row r="1683">
      <c r="C1683" s="36" t="n"/>
      <c r="D1683" s="36" t="n"/>
      <c r="E1683" s="36" t="n"/>
      <c r="F1683" s="36" t="n"/>
      <c r="G1683" s="36" t="n"/>
      <c r="H1683" s="30" t="n"/>
      <c r="I1683" s="30" t="n"/>
      <c r="J1683" s="36" t="n"/>
      <c r="K1683" s="36" t="n"/>
      <c r="L1683" s="36" t="n"/>
      <c r="M1683" s="36" t="n"/>
      <c r="N1683" s="36" t="n"/>
      <c r="O1683" s="36" t="n"/>
      <c r="P1683" s="36" t="n"/>
      <c r="Q1683" s="36" t="n"/>
    </row>
    <row r="1684">
      <c r="C1684" s="36" t="n"/>
      <c r="D1684" s="36" t="n"/>
      <c r="E1684" s="36" t="n"/>
      <c r="F1684" s="36" t="n"/>
      <c r="G1684" s="36" t="n"/>
      <c r="H1684" s="30" t="n"/>
      <c r="I1684" s="30" t="n"/>
      <c r="J1684" s="36" t="n"/>
      <c r="K1684" s="36" t="n"/>
      <c r="L1684" s="36" t="n"/>
      <c r="M1684" s="36" t="n"/>
      <c r="N1684" s="36" t="n"/>
      <c r="O1684" s="36" t="n"/>
      <c r="P1684" s="36" t="n"/>
      <c r="Q1684" s="36" t="n"/>
    </row>
    <row r="1685">
      <c r="C1685" s="36" t="n"/>
      <c r="D1685" s="36" t="n"/>
      <c r="E1685" s="36" t="n"/>
      <c r="F1685" s="36" t="n"/>
      <c r="G1685" s="36" t="n"/>
      <c r="H1685" s="30" t="n"/>
      <c r="I1685" s="30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</row>
    <row r="1686">
      <c r="C1686" s="36" t="n"/>
      <c r="D1686" s="36" t="n"/>
      <c r="E1686" s="36" t="n"/>
      <c r="F1686" s="36" t="n"/>
      <c r="G1686" s="36" t="n"/>
      <c r="H1686" s="30" t="n"/>
      <c r="I1686" s="30" t="n"/>
      <c r="J1686" s="36" t="n"/>
      <c r="K1686" s="36" t="n"/>
      <c r="L1686" s="36" t="n"/>
      <c r="M1686" s="36" t="n"/>
      <c r="N1686" s="36" t="n"/>
      <c r="O1686" s="36" t="n"/>
      <c r="P1686" s="36" t="n"/>
      <c r="Q1686" s="36" t="n"/>
    </row>
    <row r="1687">
      <c r="C1687" s="36" t="n"/>
      <c r="D1687" s="36" t="n"/>
      <c r="E1687" s="36" t="n"/>
      <c r="F1687" s="36" t="n"/>
      <c r="G1687" s="36" t="n"/>
      <c r="H1687" s="30" t="n"/>
      <c r="I1687" s="30" t="n"/>
      <c r="J1687" s="36" t="n"/>
      <c r="K1687" s="36" t="n"/>
      <c r="L1687" s="36" t="n"/>
      <c r="M1687" s="36" t="n"/>
      <c r="N1687" s="36" t="n"/>
      <c r="O1687" s="36" t="n"/>
      <c r="P1687" s="36" t="n"/>
      <c r="Q1687" s="36" t="n"/>
    </row>
    <row r="1688">
      <c r="C1688" s="36" t="n"/>
      <c r="D1688" s="36" t="n"/>
      <c r="E1688" s="36" t="n"/>
      <c r="F1688" s="36" t="n"/>
      <c r="G1688" s="36" t="n"/>
      <c r="H1688" s="30" t="n"/>
      <c r="I1688" s="30" t="n"/>
      <c r="J1688" s="36" t="n"/>
      <c r="K1688" s="36" t="n"/>
      <c r="L1688" s="36" t="n"/>
      <c r="M1688" s="36" t="n"/>
      <c r="N1688" s="36" t="n"/>
      <c r="O1688" s="36" t="n"/>
      <c r="P1688" s="36" t="n"/>
      <c r="Q1688" s="36" t="n"/>
    </row>
    <row r="1689">
      <c r="C1689" s="36" t="n"/>
      <c r="D1689" s="36" t="n"/>
      <c r="E1689" s="36" t="n"/>
      <c r="F1689" s="36" t="n"/>
      <c r="G1689" s="36" t="n"/>
      <c r="H1689" s="30" t="n"/>
      <c r="I1689" s="30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</row>
    <row r="1690">
      <c r="C1690" s="36" t="n"/>
      <c r="D1690" s="36" t="n"/>
      <c r="E1690" s="36" t="n"/>
      <c r="F1690" s="36" t="n"/>
      <c r="G1690" s="36" t="n"/>
      <c r="H1690" s="30" t="n"/>
      <c r="I1690" s="30" t="n"/>
      <c r="J1690" s="36" t="n"/>
      <c r="K1690" s="36" t="n"/>
      <c r="L1690" s="36" t="n"/>
      <c r="M1690" s="36" t="n"/>
      <c r="N1690" s="36" t="n"/>
      <c r="O1690" s="36" t="n"/>
      <c r="P1690" s="36" t="n"/>
      <c r="Q1690" s="36" t="n"/>
    </row>
    <row r="1691">
      <c r="C1691" s="36" t="n"/>
      <c r="D1691" s="36" t="n"/>
      <c r="E1691" s="36" t="n"/>
      <c r="F1691" s="36" t="n"/>
      <c r="G1691" s="36" t="n"/>
      <c r="H1691" s="30" t="n"/>
      <c r="I1691" s="30" t="n"/>
      <c r="J1691" s="36" t="n"/>
      <c r="K1691" s="36" t="n"/>
      <c r="L1691" s="36" t="n"/>
      <c r="M1691" s="36" t="n"/>
      <c r="N1691" s="36" t="n"/>
      <c r="O1691" s="36" t="n"/>
      <c r="P1691" s="36" t="n"/>
      <c r="Q1691" s="36" t="n"/>
    </row>
    <row r="1692">
      <c r="C1692" s="36" t="n"/>
      <c r="D1692" s="36" t="n"/>
      <c r="E1692" s="36" t="n"/>
      <c r="F1692" s="36" t="n"/>
      <c r="G1692" s="36" t="n"/>
      <c r="H1692" s="30" t="n"/>
      <c r="I1692" s="30" t="n"/>
      <c r="J1692" s="36" t="n"/>
      <c r="K1692" s="36" t="n"/>
      <c r="L1692" s="36" t="n"/>
      <c r="M1692" s="36" t="n"/>
      <c r="N1692" s="36" t="n"/>
      <c r="O1692" s="36" t="n"/>
      <c r="P1692" s="36" t="n"/>
      <c r="Q1692" s="36" t="n"/>
    </row>
    <row r="1693">
      <c r="C1693" s="36" t="n"/>
      <c r="D1693" s="36" t="n"/>
      <c r="E1693" s="36" t="n"/>
      <c r="F1693" s="36" t="n"/>
      <c r="G1693" s="36" t="n"/>
      <c r="H1693" s="30" t="n"/>
      <c r="I1693" s="30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</row>
    <row r="1694">
      <c r="C1694" s="36" t="n"/>
      <c r="D1694" s="36" t="n"/>
      <c r="E1694" s="36" t="n"/>
      <c r="F1694" s="36" t="n"/>
      <c r="G1694" s="36" t="n"/>
      <c r="H1694" s="30" t="n"/>
      <c r="I1694" s="30" t="n"/>
      <c r="J1694" s="36" t="n"/>
      <c r="K1694" s="36" t="n"/>
      <c r="L1694" s="36" t="n"/>
      <c r="M1694" s="36" t="n"/>
      <c r="N1694" s="36" t="n"/>
      <c r="O1694" s="36" t="n"/>
      <c r="P1694" s="36" t="n"/>
      <c r="Q1694" s="36" t="n"/>
    </row>
    <row r="1695">
      <c r="C1695" s="36" t="n"/>
      <c r="D1695" s="36" t="n"/>
      <c r="E1695" s="36" t="n"/>
      <c r="F1695" s="36" t="n"/>
      <c r="G1695" s="36" t="n"/>
      <c r="H1695" s="30" t="n"/>
      <c r="I1695" s="30" t="n"/>
      <c r="J1695" s="36" t="n"/>
      <c r="K1695" s="36" t="n"/>
      <c r="L1695" s="36" t="n"/>
      <c r="M1695" s="36" t="n"/>
      <c r="N1695" s="36" t="n"/>
      <c r="O1695" s="36" t="n"/>
      <c r="P1695" s="36" t="n"/>
      <c r="Q1695" s="36" t="n"/>
    </row>
    <row r="1696">
      <c r="C1696" s="36" t="n"/>
      <c r="D1696" s="36" t="n"/>
      <c r="E1696" s="36" t="n"/>
      <c r="F1696" s="36" t="n"/>
      <c r="G1696" s="36" t="n"/>
      <c r="H1696" s="30" t="n"/>
      <c r="I1696" s="30" t="n"/>
      <c r="J1696" s="36" t="n"/>
      <c r="K1696" s="36" t="n"/>
      <c r="L1696" s="36" t="n"/>
      <c r="M1696" s="36" t="n"/>
      <c r="N1696" s="36" t="n"/>
      <c r="O1696" s="36" t="n"/>
      <c r="P1696" s="36" t="n"/>
      <c r="Q1696" s="36" t="n"/>
    </row>
    <row r="1697">
      <c r="C1697" s="36" t="n"/>
      <c r="D1697" s="36" t="n"/>
      <c r="E1697" s="36" t="n"/>
      <c r="F1697" s="36" t="n"/>
      <c r="G1697" s="36" t="n"/>
      <c r="H1697" s="30" t="n"/>
      <c r="I1697" s="30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</row>
    <row r="1698">
      <c r="C1698" s="36" t="n"/>
      <c r="D1698" s="36" t="n"/>
      <c r="E1698" s="36" t="n"/>
      <c r="F1698" s="36" t="n"/>
      <c r="G1698" s="36" t="n"/>
      <c r="H1698" s="30" t="n"/>
      <c r="I1698" s="30" t="n"/>
      <c r="J1698" s="36" t="n"/>
      <c r="K1698" s="36" t="n"/>
      <c r="L1698" s="36" t="n"/>
      <c r="M1698" s="36" t="n"/>
      <c r="N1698" s="36" t="n"/>
      <c r="O1698" s="36" t="n"/>
      <c r="P1698" s="36" t="n"/>
      <c r="Q1698" s="36" t="n"/>
    </row>
    <row r="1699">
      <c r="C1699" s="36" t="n"/>
      <c r="D1699" s="36" t="n"/>
      <c r="E1699" s="36" t="n"/>
      <c r="F1699" s="36" t="n"/>
      <c r="G1699" s="36" t="n"/>
      <c r="H1699" s="30" t="n"/>
      <c r="I1699" s="30" t="n"/>
      <c r="J1699" s="36" t="n"/>
      <c r="K1699" s="36" t="n"/>
      <c r="L1699" s="36" t="n"/>
      <c r="M1699" s="36" t="n"/>
      <c r="N1699" s="36" t="n"/>
      <c r="O1699" s="36" t="n"/>
      <c r="P1699" s="36" t="n"/>
      <c r="Q1699" s="36" t="n"/>
    </row>
    <row r="1700">
      <c r="C1700" s="36" t="n"/>
      <c r="D1700" s="36" t="n"/>
      <c r="E1700" s="36" t="n"/>
      <c r="F1700" s="36" t="n"/>
      <c r="G1700" s="36" t="n"/>
      <c r="H1700" s="30" t="n"/>
      <c r="I1700" s="30" t="n"/>
      <c r="J1700" s="36" t="n"/>
      <c r="K1700" s="36" t="n"/>
      <c r="L1700" s="36" t="n"/>
      <c r="M1700" s="36" t="n"/>
      <c r="N1700" s="36" t="n"/>
      <c r="O1700" s="36" t="n"/>
      <c r="P1700" s="36" t="n"/>
      <c r="Q1700" s="36" t="n"/>
    </row>
    <row r="1701">
      <c r="C1701" s="36" t="n"/>
      <c r="D1701" s="36" t="n"/>
      <c r="E1701" s="36" t="n"/>
      <c r="F1701" s="36" t="n"/>
      <c r="G1701" s="36" t="n"/>
      <c r="H1701" s="30" t="n"/>
      <c r="I1701" s="30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</row>
    <row r="1702">
      <c r="C1702" s="36" t="n"/>
      <c r="D1702" s="36" t="n"/>
      <c r="E1702" s="36" t="n"/>
      <c r="F1702" s="36" t="n"/>
      <c r="G1702" s="36" t="n"/>
      <c r="H1702" s="30" t="n"/>
      <c r="I1702" s="30" t="n"/>
      <c r="J1702" s="36" t="n"/>
      <c r="K1702" s="36" t="n"/>
      <c r="L1702" s="36" t="n"/>
      <c r="M1702" s="36" t="n"/>
      <c r="N1702" s="36" t="n"/>
      <c r="O1702" s="36" t="n"/>
      <c r="P1702" s="36" t="n"/>
      <c r="Q1702" s="36" t="n"/>
    </row>
    <row r="1703">
      <c r="C1703" s="36" t="n"/>
      <c r="D1703" s="36" t="n"/>
      <c r="E1703" s="36" t="n"/>
      <c r="F1703" s="36" t="n"/>
      <c r="G1703" s="36" t="n"/>
      <c r="H1703" s="30" t="n"/>
      <c r="I1703" s="30" t="n"/>
      <c r="J1703" s="36" t="n"/>
      <c r="K1703" s="36" t="n"/>
      <c r="L1703" s="36" t="n"/>
      <c r="M1703" s="36" t="n"/>
      <c r="N1703" s="36" t="n"/>
      <c r="O1703" s="36" t="n"/>
      <c r="P1703" s="36" t="n"/>
      <c r="Q1703" s="36" t="n"/>
    </row>
    <row r="1704">
      <c r="C1704" s="36" t="n"/>
      <c r="D1704" s="36" t="n"/>
      <c r="E1704" s="36" t="n"/>
      <c r="F1704" s="36" t="n"/>
      <c r="G1704" s="36" t="n"/>
      <c r="H1704" s="30" t="n"/>
      <c r="I1704" s="30" t="n"/>
      <c r="J1704" s="36" t="n"/>
      <c r="K1704" s="36" t="n"/>
      <c r="L1704" s="36" t="n"/>
      <c r="M1704" s="36" t="n"/>
      <c r="N1704" s="36" t="n"/>
      <c r="O1704" s="36" t="n"/>
      <c r="P1704" s="36" t="n"/>
      <c r="Q1704" s="36" t="n"/>
    </row>
    <row r="1705">
      <c r="C1705" s="36" t="n"/>
      <c r="D1705" s="36" t="n"/>
      <c r="E1705" s="36" t="n"/>
      <c r="F1705" s="36" t="n"/>
      <c r="G1705" s="36" t="n"/>
      <c r="H1705" s="30" t="n"/>
      <c r="I1705" s="30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</row>
    <row r="1706">
      <c r="C1706" s="36" t="n"/>
      <c r="D1706" s="36" t="n"/>
      <c r="E1706" s="36" t="n"/>
      <c r="F1706" s="36" t="n"/>
      <c r="G1706" s="36" t="n"/>
      <c r="H1706" s="30" t="n"/>
      <c r="I1706" s="30" t="n"/>
      <c r="J1706" s="36" t="n"/>
      <c r="K1706" s="36" t="n"/>
      <c r="L1706" s="36" t="n"/>
      <c r="M1706" s="36" t="n"/>
      <c r="N1706" s="36" t="n"/>
      <c r="O1706" s="36" t="n"/>
      <c r="P1706" s="36" t="n"/>
      <c r="Q1706" s="36" t="n"/>
    </row>
    <row r="1707">
      <c r="C1707" s="36" t="n"/>
      <c r="D1707" s="36" t="n"/>
      <c r="E1707" s="36" t="n"/>
      <c r="F1707" s="36" t="n"/>
      <c r="G1707" s="36" t="n"/>
      <c r="H1707" s="30" t="n"/>
      <c r="I1707" s="30" t="n"/>
      <c r="J1707" s="36" t="n"/>
      <c r="K1707" s="36" t="n"/>
      <c r="L1707" s="36" t="n"/>
      <c r="M1707" s="36" t="n"/>
      <c r="N1707" s="36" t="n"/>
      <c r="O1707" s="36" t="n"/>
      <c r="P1707" s="36" t="n"/>
      <c r="Q1707" s="36" t="n"/>
    </row>
    <row r="1708">
      <c r="C1708" s="36" t="n"/>
      <c r="D1708" s="36" t="n"/>
      <c r="E1708" s="36" t="n"/>
      <c r="F1708" s="36" t="n"/>
      <c r="G1708" s="36" t="n"/>
      <c r="H1708" s="30" t="n"/>
      <c r="I1708" s="30" t="n"/>
      <c r="J1708" s="36" t="n"/>
      <c r="K1708" s="36" t="n"/>
      <c r="L1708" s="36" t="n"/>
      <c r="M1708" s="36" t="n"/>
      <c r="N1708" s="36" t="n"/>
      <c r="O1708" s="36" t="n"/>
      <c r="P1708" s="36" t="n"/>
      <c r="Q1708" s="36" t="n"/>
    </row>
    <row r="1709">
      <c r="C1709" s="36" t="n"/>
      <c r="D1709" s="36" t="n"/>
      <c r="E1709" s="36" t="n"/>
      <c r="F1709" s="36" t="n"/>
      <c r="G1709" s="36" t="n"/>
      <c r="H1709" s="30" t="n"/>
      <c r="I1709" s="30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</row>
    <row r="1710">
      <c r="C1710" s="36" t="n"/>
      <c r="D1710" s="36" t="n"/>
      <c r="E1710" s="36" t="n"/>
      <c r="F1710" s="36" t="n"/>
      <c r="G1710" s="36" t="n"/>
      <c r="H1710" s="30" t="n"/>
      <c r="I1710" s="30" t="n"/>
      <c r="J1710" s="36" t="n"/>
      <c r="K1710" s="36" t="n"/>
      <c r="L1710" s="36" t="n"/>
      <c r="M1710" s="36" t="n"/>
      <c r="N1710" s="36" t="n"/>
      <c r="O1710" s="36" t="n"/>
      <c r="P1710" s="36" t="n"/>
      <c r="Q1710" s="36" t="n"/>
    </row>
    <row r="1711">
      <c r="C1711" s="36" t="n"/>
      <c r="D1711" s="36" t="n"/>
      <c r="E1711" s="36" t="n"/>
      <c r="F1711" s="36" t="n"/>
      <c r="G1711" s="36" t="n"/>
      <c r="H1711" s="30" t="n"/>
      <c r="I1711" s="30" t="n"/>
      <c r="J1711" s="36" t="n"/>
      <c r="K1711" s="36" t="n"/>
      <c r="L1711" s="36" t="n"/>
      <c r="M1711" s="36" t="n"/>
      <c r="N1711" s="36" t="n"/>
      <c r="O1711" s="36" t="n"/>
      <c r="P1711" s="36" t="n"/>
      <c r="Q1711" s="36" t="n"/>
    </row>
    <row r="1712">
      <c r="C1712" s="36" t="n"/>
      <c r="D1712" s="36" t="n"/>
      <c r="E1712" s="36" t="n"/>
      <c r="F1712" s="36" t="n"/>
      <c r="G1712" s="36" t="n"/>
      <c r="H1712" s="30" t="n"/>
      <c r="I1712" s="30" t="n"/>
      <c r="J1712" s="36" t="n"/>
      <c r="K1712" s="36" t="n"/>
      <c r="L1712" s="36" t="n"/>
      <c r="M1712" s="36" t="n"/>
      <c r="N1712" s="36" t="n"/>
      <c r="O1712" s="36" t="n"/>
      <c r="P1712" s="36" t="n"/>
      <c r="Q1712" s="36" t="n"/>
    </row>
    <row r="1713">
      <c r="C1713" s="36" t="n"/>
      <c r="D1713" s="36" t="n"/>
      <c r="E1713" s="36" t="n"/>
      <c r="F1713" s="36" t="n"/>
      <c r="G1713" s="36" t="n"/>
      <c r="H1713" s="30" t="n"/>
      <c r="I1713" s="30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</row>
    <row r="1714">
      <c r="C1714" s="36" t="n"/>
      <c r="D1714" s="36" t="n"/>
      <c r="E1714" s="36" t="n"/>
      <c r="F1714" s="36" t="n"/>
      <c r="G1714" s="36" t="n"/>
      <c r="H1714" s="30" t="n"/>
      <c r="I1714" s="30" t="n"/>
      <c r="J1714" s="36" t="n"/>
      <c r="K1714" s="36" t="n"/>
      <c r="L1714" s="36" t="n"/>
      <c r="M1714" s="36" t="n"/>
      <c r="N1714" s="36" t="n"/>
      <c r="O1714" s="36" t="n"/>
      <c r="P1714" s="36" t="n"/>
      <c r="Q1714" s="36" t="n"/>
    </row>
    <row r="1715">
      <c r="C1715" s="36" t="n"/>
      <c r="D1715" s="36" t="n"/>
      <c r="E1715" s="36" t="n"/>
      <c r="F1715" s="36" t="n"/>
      <c r="G1715" s="36" t="n"/>
      <c r="H1715" s="30" t="n"/>
      <c r="I1715" s="30" t="n"/>
      <c r="J1715" s="36" t="n"/>
      <c r="K1715" s="36" t="n"/>
      <c r="L1715" s="36" t="n"/>
      <c r="M1715" s="36" t="n"/>
      <c r="N1715" s="36" t="n"/>
      <c r="O1715" s="36" t="n"/>
      <c r="P1715" s="36" t="n"/>
      <c r="Q1715" s="36" t="n"/>
    </row>
    <row r="1716">
      <c r="C1716" s="36" t="n"/>
      <c r="D1716" s="36" t="n"/>
      <c r="E1716" s="36" t="n"/>
      <c r="F1716" s="36" t="n"/>
      <c r="G1716" s="36" t="n"/>
      <c r="H1716" s="30" t="n"/>
      <c r="I1716" s="30" t="n"/>
      <c r="J1716" s="36" t="n"/>
      <c r="K1716" s="36" t="n"/>
      <c r="L1716" s="36" t="n"/>
      <c r="M1716" s="36" t="n"/>
      <c r="N1716" s="36" t="n"/>
      <c r="O1716" s="36" t="n"/>
      <c r="P1716" s="36" t="n"/>
      <c r="Q1716" s="36" t="n"/>
    </row>
    <row r="1717">
      <c r="C1717" s="36" t="n"/>
      <c r="D1717" s="36" t="n"/>
      <c r="E1717" s="36" t="n"/>
      <c r="F1717" s="36" t="n"/>
      <c r="G1717" s="36" t="n"/>
      <c r="H1717" s="30" t="n"/>
      <c r="I1717" s="30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</row>
    <row r="1718">
      <c r="C1718" s="36" t="n"/>
      <c r="D1718" s="36" t="n"/>
      <c r="E1718" s="36" t="n"/>
      <c r="F1718" s="36" t="n"/>
      <c r="G1718" s="36" t="n"/>
      <c r="H1718" s="30" t="n"/>
      <c r="I1718" s="30" t="n"/>
      <c r="J1718" s="36" t="n"/>
      <c r="K1718" s="36" t="n"/>
      <c r="L1718" s="36" t="n"/>
      <c r="M1718" s="36" t="n"/>
      <c r="N1718" s="36" t="n"/>
      <c r="O1718" s="36" t="n"/>
      <c r="P1718" s="36" t="n"/>
      <c r="Q1718" s="36" t="n"/>
    </row>
    <row r="1719">
      <c r="C1719" s="36" t="n"/>
      <c r="D1719" s="36" t="n"/>
      <c r="E1719" s="36" t="n"/>
      <c r="F1719" s="36" t="n"/>
      <c r="G1719" s="36" t="n"/>
      <c r="H1719" s="30" t="n"/>
      <c r="I1719" s="30" t="n"/>
      <c r="J1719" s="36" t="n"/>
      <c r="K1719" s="36" t="n"/>
      <c r="L1719" s="36" t="n"/>
      <c r="M1719" s="36" t="n"/>
      <c r="N1719" s="36" t="n"/>
      <c r="O1719" s="36" t="n"/>
      <c r="P1719" s="36" t="n"/>
      <c r="Q1719" s="36" t="n"/>
    </row>
    <row r="1720">
      <c r="C1720" s="36" t="n"/>
      <c r="D1720" s="36" t="n"/>
      <c r="E1720" s="36" t="n"/>
      <c r="F1720" s="36" t="n"/>
      <c r="G1720" s="36" t="n"/>
      <c r="H1720" s="30" t="n"/>
      <c r="I1720" s="30" t="n"/>
      <c r="J1720" s="36" t="n"/>
      <c r="K1720" s="36" t="n"/>
      <c r="L1720" s="36" t="n"/>
      <c r="M1720" s="36" t="n"/>
      <c r="N1720" s="36" t="n"/>
      <c r="O1720" s="36" t="n"/>
      <c r="P1720" s="36" t="n"/>
      <c r="Q1720" s="36" t="n"/>
    </row>
    <row r="1721">
      <c r="C1721" s="36" t="n"/>
      <c r="D1721" s="36" t="n"/>
      <c r="E1721" s="36" t="n"/>
      <c r="F1721" s="36" t="n"/>
      <c r="G1721" s="36" t="n"/>
      <c r="H1721" s="30" t="n"/>
      <c r="I1721" s="30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</row>
    <row r="1722">
      <c r="C1722" s="36" t="n"/>
      <c r="D1722" s="36" t="n"/>
      <c r="E1722" s="36" t="n"/>
      <c r="F1722" s="36" t="n"/>
      <c r="G1722" s="36" t="n"/>
      <c r="H1722" s="30" t="n"/>
      <c r="I1722" s="30" t="n"/>
      <c r="J1722" s="36" t="n"/>
      <c r="K1722" s="36" t="n"/>
      <c r="L1722" s="36" t="n"/>
      <c r="M1722" s="36" t="n"/>
      <c r="N1722" s="36" t="n"/>
      <c r="O1722" s="36" t="n"/>
      <c r="P1722" s="36" t="n"/>
      <c r="Q1722" s="36" t="n"/>
    </row>
    <row r="1723">
      <c r="C1723" s="36" t="n"/>
      <c r="D1723" s="36" t="n"/>
      <c r="E1723" s="36" t="n"/>
      <c r="F1723" s="36" t="n"/>
      <c r="G1723" s="36" t="n"/>
      <c r="H1723" s="30" t="n"/>
      <c r="I1723" s="30" t="n"/>
      <c r="J1723" s="36" t="n"/>
      <c r="K1723" s="36" t="n"/>
      <c r="L1723" s="36" t="n"/>
      <c r="M1723" s="36" t="n"/>
      <c r="N1723" s="36" t="n"/>
      <c r="O1723" s="36" t="n"/>
      <c r="P1723" s="36" t="n"/>
      <c r="Q1723" s="36" t="n"/>
    </row>
    <row r="1724">
      <c r="C1724" s="36" t="n"/>
      <c r="D1724" s="36" t="n"/>
      <c r="E1724" s="36" t="n"/>
      <c r="F1724" s="36" t="n"/>
      <c r="G1724" s="36" t="n"/>
      <c r="H1724" s="30" t="n"/>
      <c r="I1724" s="30" t="n"/>
      <c r="J1724" s="36" t="n"/>
      <c r="K1724" s="36" t="n"/>
      <c r="L1724" s="36" t="n"/>
      <c r="M1724" s="36" t="n"/>
      <c r="N1724" s="36" t="n"/>
      <c r="O1724" s="36" t="n"/>
      <c r="P1724" s="36" t="n"/>
      <c r="Q1724" s="36" t="n"/>
    </row>
    <row r="1725">
      <c r="C1725" s="36" t="n"/>
      <c r="D1725" s="36" t="n"/>
      <c r="E1725" s="36" t="n"/>
      <c r="F1725" s="36" t="n"/>
      <c r="G1725" s="36" t="n"/>
      <c r="H1725" s="30" t="n"/>
      <c r="I1725" s="30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</row>
    <row r="1726">
      <c r="C1726" s="36" t="n"/>
      <c r="D1726" s="36" t="n"/>
      <c r="E1726" s="36" t="n"/>
      <c r="F1726" s="36" t="n"/>
      <c r="G1726" s="36" t="n"/>
      <c r="H1726" s="30" t="n"/>
      <c r="I1726" s="30" t="n"/>
      <c r="J1726" s="36" t="n"/>
      <c r="K1726" s="36" t="n"/>
      <c r="L1726" s="36" t="n"/>
      <c r="M1726" s="36" t="n"/>
      <c r="N1726" s="36" t="n"/>
      <c r="O1726" s="36" t="n"/>
      <c r="P1726" s="36" t="n"/>
      <c r="Q1726" s="36" t="n"/>
    </row>
    <row r="1727">
      <c r="C1727" s="36" t="n"/>
      <c r="D1727" s="36" t="n"/>
      <c r="E1727" s="36" t="n"/>
      <c r="F1727" s="36" t="n"/>
      <c r="G1727" s="36" t="n"/>
      <c r="H1727" s="30" t="n"/>
      <c r="I1727" s="30" t="n"/>
      <c r="J1727" s="36" t="n"/>
      <c r="K1727" s="36" t="n"/>
      <c r="L1727" s="36" t="n"/>
      <c r="M1727" s="36" t="n"/>
      <c r="N1727" s="36" t="n"/>
      <c r="O1727" s="36" t="n"/>
      <c r="P1727" s="36" t="n"/>
      <c r="Q1727" s="36" t="n"/>
    </row>
    <row r="1728">
      <c r="C1728" s="36" t="n"/>
      <c r="D1728" s="36" t="n"/>
      <c r="E1728" s="36" t="n"/>
      <c r="F1728" s="36" t="n"/>
      <c r="G1728" s="36" t="n"/>
      <c r="H1728" s="30" t="n"/>
      <c r="I1728" s="30" t="n"/>
      <c r="J1728" s="36" t="n"/>
      <c r="K1728" s="36" t="n"/>
      <c r="L1728" s="36" t="n"/>
      <c r="M1728" s="36" t="n"/>
      <c r="N1728" s="36" t="n"/>
      <c r="O1728" s="36" t="n"/>
      <c r="P1728" s="36" t="n"/>
      <c r="Q1728" s="36" t="n"/>
    </row>
    <row r="1729">
      <c r="C1729" s="36" t="n"/>
      <c r="D1729" s="36" t="n"/>
      <c r="E1729" s="36" t="n"/>
      <c r="F1729" s="36" t="n"/>
      <c r="G1729" s="36" t="n"/>
      <c r="H1729" s="30" t="n"/>
      <c r="I1729" s="30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</row>
    <row r="1730">
      <c r="C1730" s="36" t="n"/>
      <c r="D1730" s="36" t="n"/>
      <c r="E1730" s="36" t="n"/>
      <c r="F1730" s="36" t="n"/>
      <c r="G1730" s="36" t="n"/>
      <c r="H1730" s="30" t="n"/>
      <c r="I1730" s="30" t="n"/>
      <c r="J1730" s="36" t="n"/>
      <c r="K1730" s="36" t="n"/>
      <c r="L1730" s="36" t="n"/>
      <c r="M1730" s="36" t="n"/>
      <c r="N1730" s="36" t="n"/>
      <c r="O1730" s="36" t="n"/>
      <c r="P1730" s="36" t="n"/>
      <c r="Q1730" s="36" t="n"/>
    </row>
    <row r="1731">
      <c r="C1731" s="36" t="n"/>
      <c r="D1731" s="36" t="n"/>
      <c r="E1731" s="36" t="n"/>
      <c r="F1731" s="36" t="n"/>
      <c r="G1731" s="36" t="n"/>
      <c r="H1731" s="30" t="n"/>
      <c r="I1731" s="30" t="n"/>
      <c r="J1731" s="36" t="n"/>
      <c r="K1731" s="36" t="n"/>
      <c r="L1731" s="36" t="n"/>
      <c r="M1731" s="36" t="n"/>
      <c r="N1731" s="36" t="n"/>
      <c r="O1731" s="36" t="n"/>
      <c r="P1731" s="36" t="n"/>
      <c r="Q1731" s="36" t="n"/>
    </row>
    <row r="1732">
      <c r="C1732" s="36" t="n"/>
      <c r="D1732" s="36" t="n"/>
      <c r="E1732" s="36" t="n"/>
      <c r="F1732" s="36" t="n"/>
      <c r="G1732" s="36" t="n"/>
      <c r="H1732" s="30" t="n"/>
      <c r="I1732" s="30" t="n"/>
      <c r="J1732" s="36" t="n"/>
      <c r="K1732" s="36" t="n"/>
      <c r="L1732" s="36" t="n"/>
      <c r="M1732" s="36" t="n"/>
      <c r="N1732" s="36" t="n"/>
      <c r="O1732" s="36" t="n"/>
      <c r="P1732" s="36" t="n"/>
      <c r="Q1732" s="36" t="n"/>
    </row>
    <row r="1733">
      <c r="C1733" s="36" t="n"/>
      <c r="D1733" s="36" t="n"/>
      <c r="E1733" s="36" t="n"/>
      <c r="F1733" s="36" t="n"/>
      <c r="G1733" s="36" t="n"/>
      <c r="H1733" s="30" t="n"/>
      <c r="I1733" s="30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</row>
    <row r="1734">
      <c r="C1734" s="36" t="n"/>
      <c r="D1734" s="36" t="n"/>
      <c r="E1734" s="36" t="n"/>
      <c r="F1734" s="36" t="n"/>
      <c r="G1734" s="36" t="n"/>
      <c r="H1734" s="30" t="n"/>
      <c r="I1734" s="30" t="n"/>
      <c r="J1734" s="36" t="n"/>
      <c r="K1734" s="36" t="n"/>
      <c r="L1734" s="36" t="n"/>
      <c r="M1734" s="36" t="n"/>
      <c r="N1734" s="36" t="n"/>
      <c r="O1734" s="36" t="n"/>
      <c r="P1734" s="36" t="n"/>
      <c r="Q1734" s="36" t="n"/>
    </row>
    <row r="1735">
      <c r="C1735" s="36" t="n"/>
      <c r="D1735" s="36" t="n"/>
      <c r="E1735" s="36" t="n"/>
      <c r="F1735" s="36" t="n"/>
      <c r="G1735" s="36" t="n"/>
      <c r="H1735" s="30" t="n"/>
      <c r="I1735" s="30" t="n"/>
      <c r="J1735" s="36" t="n"/>
      <c r="K1735" s="36" t="n"/>
      <c r="L1735" s="36" t="n"/>
      <c r="M1735" s="36" t="n"/>
      <c r="N1735" s="36" t="n"/>
      <c r="O1735" s="36" t="n"/>
      <c r="P1735" s="36" t="n"/>
      <c r="Q1735" s="36" t="n"/>
    </row>
    <row r="1736">
      <c r="C1736" s="36" t="n"/>
      <c r="D1736" s="36" t="n"/>
      <c r="E1736" s="36" t="n"/>
      <c r="F1736" s="36" t="n"/>
      <c r="G1736" s="36" t="n"/>
      <c r="H1736" s="30" t="n"/>
      <c r="I1736" s="30" t="n"/>
      <c r="J1736" s="36" t="n"/>
      <c r="K1736" s="36" t="n"/>
      <c r="L1736" s="36" t="n"/>
      <c r="M1736" s="36" t="n"/>
      <c r="N1736" s="36" t="n"/>
      <c r="O1736" s="36" t="n"/>
      <c r="P1736" s="36" t="n"/>
      <c r="Q1736" s="36" t="n"/>
    </row>
    <row r="1737">
      <c r="C1737" s="36" t="n"/>
      <c r="D1737" s="36" t="n"/>
      <c r="E1737" s="36" t="n"/>
      <c r="F1737" s="36" t="n"/>
      <c r="G1737" s="36" t="n"/>
      <c r="H1737" s="30" t="n"/>
      <c r="I1737" s="30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</row>
    <row r="1738">
      <c r="C1738" s="36" t="n"/>
      <c r="D1738" s="36" t="n"/>
      <c r="E1738" s="36" t="n"/>
      <c r="F1738" s="36" t="n"/>
      <c r="G1738" s="36" t="n"/>
      <c r="H1738" s="30" t="n"/>
      <c r="I1738" s="30" t="n"/>
      <c r="J1738" s="36" t="n"/>
      <c r="K1738" s="36" t="n"/>
      <c r="L1738" s="36" t="n"/>
      <c r="M1738" s="36" t="n"/>
      <c r="N1738" s="36" t="n"/>
      <c r="O1738" s="36" t="n"/>
      <c r="P1738" s="36" t="n"/>
      <c r="Q1738" s="36" t="n"/>
    </row>
    <row r="1739">
      <c r="C1739" s="36" t="n"/>
      <c r="D1739" s="36" t="n"/>
      <c r="E1739" s="36" t="n"/>
      <c r="F1739" s="36" t="n"/>
      <c r="G1739" s="36" t="n"/>
      <c r="H1739" s="30" t="n"/>
      <c r="I1739" s="30" t="n"/>
      <c r="J1739" s="36" t="n"/>
      <c r="K1739" s="36" t="n"/>
      <c r="L1739" s="36" t="n"/>
      <c r="M1739" s="36" t="n"/>
      <c r="N1739" s="36" t="n"/>
      <c r="O1739" s="36" t="n"/>
      <c r="P1739" s="36" t="n"/>
      <c r="Q1739" s="36" t="n"/>
    </row>
    <row r="1740">
      <c r="C1740" s="36" t="n"/>
      <c r="D1740" s="36" t="n"/>
      <c r="E1740" s="36" t="n"/>
      <c r="F1740" s="36" t="n"/>
      <c r="G1740" s="36" t="n"/>
      <c r="H1740" s="30" t="n"/>
      <c r="I1740" s="30" t="n"/>
      <c r="J1740" s="36" t="n"/>
      <c r="K1740" s="36" t="n"/>
      <c r="L1740" s="36" t="n"/>
      <c r="M1740" s="36" t="n"/>
      <c r="N1740" s="36" t="n"/>
      <c r="O1740" s="36" t="n"/>
      <c r="P1740" s="36" t="n"/>
      <c r="Q1740" s="36" t="n"/>
    </row>
    <row r="1741">
      <c r="C1741" s="36" t="n"/>
      <c r="D1741" s="36" t="n"/>
      <c r="E1741" s="36" t="n"/>
      <c r="F1741" s="36" t="n"/>
      <c r="G1741" s="36" t="n"/>
      <c r="H1741" s="30" t="n"/>
      <c r="I1741" s="30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</row>
    <row r="1742">
      <c r="C1742" s="36" t="n"/>
      <c r="D1742" s="36" t="n"/>
      <c r="E1742" s="36" t="n"/>
      <c r="F1742" s="36" t="n"/>
      <c r="G1742" s="36" t="n"/>
      <c r="H1742" s="30" t="n"/>
      <c r="I1742" s="30" t="n"/>
      <c r="J1742" s="36" t="n"/>
      <c r="K1742" s="36" t="n"/>
      <c r="L1742" s="36" t="n"/>
      <c r="M1742" s="36" t="n"/>
      <c r="N1742" s="36" t="n"/>
      <c r="O1742" s="36" t="n"/>
      <c r="P1742" s="36" t="n"/>
      <c r="Q1742" s="36" t="n"/>
    </row>
    <row r="1743">
      <c r="C1743" s="36" t="n"/>
      <c r="D1743" s="36" t="n"/>
      <c r="E1743" s="36" t="n"/>
      <c r="F1743" s="36" t="n"/>
      <c r="G1743" s="36" t="n"/>
      <c r="H1743" s="36" t="n"/>
      <c r="I1743" s="36" t="n"/>
      <c r="J1743" s="36" t="n"/>
      <c r="K1743" s="36" t="n"/>
      <c r="L1743" s="36" t="n"/>
      <c r="M1743" s="36" t="n"/>
      <c r="N1743" s="36" t="n"/>
      <c r="O1743" s="36" t="n"/>
      <c r="P1743" s="36" t="n"/>
      <c r="Q1743" s="36" t="n"/>
    </row>
    <row r="1744">
      <c r="C1744" s="36" t="n"/>
      <c r="D1744" s="36" t="n"/>
      <c r="E1744" s="36" t="n"/>
      <c r="F1744" s="36" t="n"/>
      <c r="G1744" s="36" t="n"/>
      <c r="H1744" s="36" t="n"/>
      <c r="I1744" s="36" t="n"/>
      <c r="J1744" s="36" t="n"/>
      <c r="K1744" s="36" t="n"/>
      <c r="L1744" s="36" t="n"/>
      <c r="M1744" s="36" t="n"/>
      <c r="N1744" s="36" t="n"/>
      <c r="O1744" s="36" t="n"/>
      <c r="P1744" s="36" t="n"/>
      <c r="Q1744" s="36" t="n"/>
    </row>
    <row r="1745">
      <c r="C1745" s="3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</row>
    <row r="1746">
      <c r="C1746" s="36" t="n"/>
      <c r="D1746" s="36" t="n"/>
      <c r="E1746" s="36" t="n"/>
      <c r="F1746" s="36" t="n"/>
      <c r="G1746" s="36" t="n"/>
      <c r="H1746" s="36" t="n"/>
      <c r="I1746" s="36" t="n"/>
      <c r="J1746" s="36" t="n"/>
      <c r="K1746" s="36" t="n"/>
      <c r="L1746" s="36" t="n"/>
      <c r="M1746" s="36" t="n"/>
      <c r="N1746" s="36" t="n"/>
      <c r="O1746" s="36" t="n"/>
      <c r="P1746" s="36" t="n"/>
      <c r="Q1746" s="36" t="n"/>
    </row>
    <row r="1747">
      <c r="C1747" s="36" t="n"/>
      <c r="D1747" s="36" t="n"/>
      <c r="E1747" s="36" t="n"/>
      <c r="F1747" s="36" t="n"/>
      <c r="G1747" s="36" t="n"/>
      <c r="H1747" s="36" t="n"/>
      <c r="I1747" s="36" t="n"/>
      <c r="J1747" s="36" t="n"/>
      <c r="K1747" s="36" t="n"/>
      <c r="L1747" s="36" t="n"/>
      <c r="M1747" s="36" t="n"/>
      <c r="N1747" s="36" t="n"/>
      <c r="O1747" s="36" t="n"/>
      <c r="P1747" s="36" t="n"/>
      <c r="Q1747" s="36" t="n"/>
    </row>
    <row r="1748">
      <c r="C1748" s="36" t="n"/>
      <c r="D1748" s="36" t="n"/>
      <c r="E1748" s="36" t="n"/>
      <c r="F1748" s="36" t="n"/>
      <c r="G1748" s="36" t="n"/>
      <c r="H1748" s="36" t="n"/>
      <c r="I1748" s="36" t="n"/>
      <c r="J1748" s="36" t="n"/>
      <c r="K1748" s="36" t="n"/>
      <c r="L1748" s="36" t="n"/>
      <c r="M1748" s="36" t="n"/>
      <c r="N1748" s="36" t="n"/>
      <c r="O1748" s="36" t="n"/>
      <c r="P1748" s="36" t="n"/>
      <c r="Q1748" s="36" t="n"/>
    </row>
    <row r="1749">
      <c r="C1749" s="3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</row>
    <row r="1750">
      <c r="C1750" s="36" t="n"/>
      <c r="D1750" s="36" t="n"/>
      <c r="E1750" s="36" t="n"/>
      <c r="F1750" s="36" t="n"/>
      <c r="G1750" s="36" t="n"/>
      <c r="H1750" s="36" t="n"/>
      <c r="I1750" s="36" t="n"/>
      <c r="J1750" s="36" t="n"/>
      <c r="K1750" s="36" t="n"/>
      <c r="L1750" s="36" t="n"/>
      <c r="M1750" s="36" t="n"/>
      <c r="N1750" s="36" t="n"/>
      <c r="O1750" s="36" t="n"/>
      <c r="P1750" s="36" t="n"/>
      <c r="Q1750" s="36" t="n"/>
    </row>
    <row r="1751">
      <c r="C1751" s="36" t="n"/>
      <c r="D1751" s="36" t="n"/>
      <c r="E1751" s="36" t="n"/>
      <c r="F1751" s="36" t="n"/>
      <c r="G1751" s="36" t="n"/>
      <c r="H1751" s="36" t="n"/>
      <c r="I1751" s="36" t="n"/>
      <c r="J1751" s="36" t="n"/>
      <c r="K1751" s="36" t="n"/>
      <c r="L1751" s="36" t="n"/>
      <c r="M1751" s="36" t="n"/>
      <c r="N1751" s="36" t="n"/>
      <c r="O1751" s="36" t="n"/>
      <c r="P1751" s="36" t="n"/>
      <c r="Q1751" s="36" t="n"/>
    </row>
    <row r="1752">
      <c r="C1752" s="36" t="n"/>
      <c r="D1752" s="36" t="n"/>
      <c r="E1752" s="36" t="n"/>
      <c r="F1752" s="36" t="n"/>
      <c r="G1752" s="36" t="n"/>
      <c r="H1752" s="36" t="n"/>
      <c r="I1752" s="36" t="n"/>
      <c r="J1752" s="36" t="n"/>
      <c r="K1752" s="36" t="n"/>
      <c r="L1752" s="36" t="n"/>
      <c r="M1752" s="36" t="n"/>
      <c r="N1752" s="36" t="n"/>
      <c r="O1752" s="36" t="n"/>
      <c r="P1752" s="36" t="n"/>
      <c r="Q1752" s="36" t="n"/>
    </row>
    <row r="1753">
      <c r="C1753" s="3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</row>
    <row r="1754">
      <c r="C1754" s="36" t="n"/>
      <c r="D1754" s="36" t="n"/>
      <c r="E1754" s="36" t="n"/>
      <c r="F1754" s="36" t="n"/>
      <c r="G1754" s="36" t="n"/>
      <c r="H1754" s="36" t="n"/>
      <c r="I1754" s="36" t="n"/>
      <c r="J1754" s="36" t="n"/>
      <c r="K1754" s="36" t="n"/>
      <c r="L1754" s="36" t="n"/>
      <c r="M1754" s="36" t="n"/>
      <c r="N1754" s="36" t="n"/>
      <c r="O1754" s="36" t="n"/>
      <c r="P1754" s="36" t="n"/>
      <c r="Q1754" s="36" t="n"/>
    </row>
    <row r="1755">
      <c r="C1755" s="36" t="n"/>
      <c r="D1755" s="36" t="n"/>
      <c r="E1755" s="36" t="n"/>
      <c r="F1755" s="36" t="n"/>
      <c r="G1755" s="36" t="n"/>
      <c r="H1755" s="36" t="n"/>
      <c r="I1755" s="36" t="n"/>
      <c r="J1755" s="36" t="n"/>
      <c r="K1755" s="36" t="n"/>
      <c r="L1755" s="36" t="n"/>
      <c r="M1755" s="36" t="n"/>
      <c r="N1755" s="36" t="n"/>
      <c r="O1755" s="36" t="n"/>
      <c r="P1755" s="36" t="n"/>
      <c r="Q1755" s="36" t="n"/>
    </row>
    <row r="1756">
      <c r="C1756" s="36" t="n"/>
      <c r="D1756" s="36" t="n"/>
      <c r="E1756" s="36" t="n"/>
      <c r="F1756" s="36" t="n"/>
      <c r="G1756" s="36" t="n"/>
      <c r="H1756" s="36" t="n"/>
      <c r="I1756" s="36" t="n"/>
      <c r="J1756" s="36" t="n"/>
      <c r="K1756" s="36" t="n"/>
      <c r="L1756" s="36" t="n"/>
      <c r="M1756" s="36" t="n"/>
      <c r="N1756" s="36" t="n"/>
      <c r="O1756" s="36" t="n"/>
      <c r="P1756" s="36" t="n"/>
      <c r="Q1756" s="36" t="n"/>
    </row>
    <row r="1757">
      <c r="C1757" s="3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</row>
    <row r="1758">
      <c r="C1758" s="36" t="n"/>
      <c r="D1758" s="36" t="n"/>
      <c r="E1758" s="36" t="n"/>
      <c r="F1758" s="36" t="n"/>
      <c r="G1758" s="36" t="n"/>
      <c r="H1758" s="36" t="n"/>
      <c r="I1758" s="36" t="n"/>
      <c r="J1758" s="36" t="n"/>
      <c r="K1758" s="36" t="n"/>
      <c r="L1758" s="36" t="n"/>
      <c r="M1758" s="36" t="n"/>
      <c r="N1758" s="36" t="n"/>
      <c r="O1758" s="36" t="n"/>
      <c r="P1758" s="36" t="n"/>
      <c r="Q1758" s="36" t="n"/>
    </row>
    <row r="1759">
      <c r="C1759" s="36" t="n"/>
      <c r="D1759" s="36" t="n"/>
      <c r="E1759" s="36" t="n"/>
      <c r="F1759" s="36" t="n"/>
      <c r="G1759" s="36" t="n"/>
      <c r="H1759" s="36" t="n"/>
      <c r="I1759" s="36" t="n"/>
      <c r="J1759" s="36" t="n"/>
      <c r="K1759" s="36" t="n"/>
      <c r="L1759" s="36" t="n"/>
      <c r="M1759" s="36" t="n"/>
      <c r="N1759" s="36" t="n"/>
      <c r="O1759" s="36" t="n"/>
      <c r="P1759" s="36" t="n"/>
      <c r="Q1759" s="36" t="n"/>
    </row>
    <row r="1760">
      <c r="C1760" s="36" t="n"/>
      <c r="D1760" s="36" t="n"/>
      <c r="E1760" s="36" t="n"/>
      <c r="F1760" s="36" t="n"/>
      <c r="G1760" s="36" t="n"/>
      <c r="H1760" s="36" t="n"/>
      <c r="I1760" s="36" t="n"/>
      <c r="J1760" s="36" t="n"/>
      <c r="K1760" s="36" t="n"/>
      <c r="L1760" s="36" t="n"/>
      <c r="M1760" s="36" t="n"/>
      <c r="N1760" s="36" t="n"/>
      <c r="O1760" s="36" t="n"/>
      <c r="P1760" s="36" t="n"/>
      <c r="Q1760" s="36" t="n"/>
    </row>
    <row r="1761">
      <c r="C1761" s="3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</row>
    <row r="1762">
      <c r="C1762" s="36" t="n"/>
      <c r="D1762" s="36" t="n"/>
      <c r="E1762" s="36" t="n"/>
      <c r="F1762" s="36" t="n"/>
      <c r="G1762" s="36" t="n"/>
      <c r="H1762" s="36" t="n"/>
      <c r="I1762" s="36" t="n"/>
      <c r="J1762" s="36" t="n"/>
      <c r="K1762" s="36" t="n"/>
      <c r="L1762" s="36" t="n"/>
      <c r="M1762" s="36" t="n"/>
      <c r="N1762" s="36" t="n"/>
      <c r="O1762" s="36" t="n"/>
      <c r="P1762" s="36" t="n"/>
      <c r="Q1762" s="36" t="n"/>
    </row>
    <row r="1763">
      <c r="C1763" s="36" t="n"/>
      <c r="D1763" s="36" t="n"/>
      <c r="E1763" s="36" t="n"/>
      <c r="F1763" s="36" t="n"/>
      <c r="G1763" s="36" t="n"/>
      <c r="H1763" s="36" t="n"/>
      <c r="I1763" s="36" t="n"/>
      <c r="J1763" s="36" t="n"/>
      <c r="K1763" s="36" t="n"/>
      <c r="L1763" s="36" t="n"/>
      <c r="M1763" s="36" t="n"/>
      <c r="N1763" s="36" t="n"/>
      <c r="O1763" s="36" t="n"/>
      <c r="P1763" s="36" t="n"/>
      <c r="Q1763" s="36" t="n"/>
    </row>
    <row r="1764">
      <c r="C1764" s="36" t="n"/>
      <c r="D1764" s="36" t="n"/>
      <c r="E1764" s="36" t="n"/>
      <c r="F1764" s="36" t="n"/>
      <c r="G1764" s="36" t="n"/>
      <c r="H1764" s="36" t="n"/>
      <c r="I1764" s="36" t="n"/>
      <c r="J1764" s="36" t="n"/>
      <c r="K1764" s="36" t="n"/>
      <c r="L1764" s="36" t="n"/>
      <c r="M1764" s="36" t="n"/>
      <c r="N1764" s="36" t="n"/>
      <c r="O1764" s="36" t="n"/>
      <c r="P1764" s="36" t="n"/>
      <c r="Q1764" s="36" t="n"/>
    </row>
    <row r="1765">
      <c r="C1765" s="3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</row>
    <row r="1766">
      <c r="C1766" s="36" t="n"/>
      <c r="D1766" s="36" t="n"/>
      <c r="E1766" s="36" t="n"/>
      <c r="F1766" s="36" t="n"/>
      <c r="G1766" s="36" t="n"/>
      <c r="H1766" s="36" t="n"/>
      <c r="I1766" s="36" t="n"/>
      <c r="J1766" s="36" t="n"/>
      <c r="K1766" s="36" t="n"/>
      <c r="L1766" s="36" t="n"/>
      <c r="M1766" s="36" t="n"/>
      <c r="N1766" s="36" t="n"/>
      <c r="O1766" s="36" t="n"/>
      <c r="P1766" s="36" t="n"/>
      <c r="Q1766" s="36" t="n"/>
    </row>
    <row r="1767">
      <c r="C1767" s="36" t="n"/>
      <c r="D1767" s="36" t="n"/>
      <c r="E1767" s="36" t="n"/>
      <c r="F1767" s="36" t="n"/>
      <c r="G1767" s="36" t="n"/>
      <c r="H1767" s="36" t="n"/>
      <c r="I1767" s="36" t="n"/>
      <c r="J1767" s="36" t="n"/>
      <c r="K1767" s="36" t="n"/>
      <c r="L1767" s="36" t="n"/>
      <c r="M1767" s="36" t="n"/>
      <c r="N1767" s="36" t="n"/>
      <c r="O1767" s="36" t="n"/>
      <c r="P1767" s="36" t="n"/>
      <c r="Q1767" s="36" t="n"/>
    </row>
    <row r="1768">
      <c r="C1768" s="36" t="n"/>
      <c r="D1768" s="36" t="n"/>
      <c r="E1768" s="36" t="n"/>
      <c r="F1768" s="36" t="n"/>
      <c r="G1768" s="36" t="n"/>
      <c r="H1768" s="36" t="n"/>
      <c r="I1768" s="36" t="n"/>
      <c r="J1768" s="36" t="n"/>
      <c r="K1768" s="36" t="n"/>
      <c r="L1768" s="36" t="n"/>
      <c r="M1768" s="36" t="n"/>
      <c r="N1768" s="36" t="n"/>
      <c r="O1768" s="36" t="n"/>
      <c r="P1768" s="36" t="n"/>
      <c r="Q1768" s="36" t="n"/>
    </row>
    <row r="1769">
      <c r="C1769" s="3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</row>
    <row r="1770">
      <c r="C1770" s="36" t="n"/>
      <c r="D1770" s="36" t="n"/>
      <c r="E1770" s="36" t="n"/>
      <c r="F1770" s="36" t="n"/>
      <c r="G1770" s="36" t="n"/>
      <c r="H1770" s="36" t="n"/>
      <c r="I1770" s="36" t="n"/>
      <c r="J1770" s="36" t="n"/>
      <c r="K1770" s="36" t="n"/>
      <c r="L1770" s="36" t="n"/>
      <c r="M1770" s="36" t="n"/>
      <c r="N1770" s="36" t="n"/>
      <c r="O1770" s="36" t="n"/>
      <c r="P1770" s="36" t="n"/>
      <c r="Q1770" s="36" t="n"/>
    </row>
    <row r="1771">
      <c r="C1771" s="36" t="n"/>
      <c r="D1771" s="36" t="n"/>
      <c r="E1771" s="36" t="n"/>
      <c r="F1771" s="36" t="n"/>
      <c r="G1771" s="36" t="n"/>
      <c r="H1771" s="36" t="n"/>
      <c r="I1771" s="36" t="n"/>
      <c r="J1771" s="36" t="n"/>
      <c r="K1771" s="36" t="n"/>
      <c r="L1771" s="36" t="n"/>
      <c r="M1771" s="36" t="n"/>
      <c r="N1771" s="36" t="n"/>
      <c r="O1771" s="36" t="n"/>
      <c r="P1771" s="36" t="n"/>
      <c r="Q1771" s="36" t="n"/>
    </row>
    <row r="1772">
      <c r="C1772" s="36" t="n"/>
      <c r="D1772" s="36" t="n"/>
      <c r="E1772" s="36" t="n"/>
      <c r="F1772" s="36" t="n"/>
      <c r="G1772" s="36" t="n"/>
      <c r="H1772" s="36" t="n"/>
      <c r="I1772" s="36" t="n"/>
      <c r="J1772" s="36" t="n"/>
      <c r="K1772" s="36" t="n"/>
      <c r="L1772" s="36" t="n"/>
      <c r="M1772" s="36" t="n"/>
      <c r="N1772" s="36" t="n"/>
      <c r="O1772" s="36" t="n"/>
      <c r="P1772" s="36" t="n"/>
      <c r="Q1772" s="36" t="n"/>
    </row>
    <row r="1773">
      <c r="C1773" s="3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</row>
    <row r="1774">
      <c r="C1774" s="36" t="n"/>
      <c r="D1774" s="36" t="n"/>
      <c r="E1774" s="36" t="n"/>
      <c r="G1774" s="36" t="n"/>
      <c r="H1774" s="36" t="n"/>
      <c r="I1774" s="36" t="n"/>
      <c r="J1774" s="36" t="n"/>
      <c r="K1774" s="36" t="n"/>
      <c r="L1774" s="36" t="n"/>
      <c r="M1774" s="36" t="n"/>
      <c r="N1774" s="36" t="n"/>
      <c r="O1774" s="36" t="n"/>
      <c r="P1774" s="36" t="n"/>
      <c r="Q1774" s="36" t="n"/>
    </row>
    <row r="1775">
      <c r="C1775" s="36" t="n"/>
      <c r="D1775" s="36" t="n"/>
      <c r="G1775" s="36" t="n"/>
      <c r="H1775" s="36" t="n"/>
      <c r="I1775" s="36" t="n"/>
      <c r="J1775" s="36" t="n"/>
      <c r="K1775" s="36" t="n"/>
      <c r="L1775" s="36" t="n"/>
      <c r="M1775" s="36" t="n"/>
      <c r="N1775" s="36" t="n"/>
      <c r="O1775" s="36" t="n"/>
      <c r="P1775" s="36" t="n"/>
      <c r="Q1775" s="36" t="n"/>
    </row>
  </sheetData>
  <autoFilter ref="C8:Q1642"/>
  <mergeCells count="2">
    <mergeCell ref="A7:E7"/>
    <mergeCell ref="F7:L7"/>
  </mergeCells>
  <conditionalFormatting sqref="C8:F8 H8:Q8 H9:I61 H62:H214 I62:I454 J9:J1642 L9:M49 L50:L1556 M51:M148 N9:P1256 N1257:N1267 N1270:P1292 O1257:P1269 O1293:O1300 P1293:P1299">
    <cfRule type="expression" priority="17" dxfId="1">
      <formula>DAYS360(NOW(), $N8) &lt;= 0</formula>
    </cfRule>
    <cfRule type="expression" priority="18" dxfId="0">
      <formula>DAYS360(NOW(), $N8) &lt;= 30</formula>
    </cfRule>
  </conditionalFormatting>
  <conditionalFormatting sqref="J1116">
    <cfRule type="expression" priority="15" dxfId="1">
      <formula>DAYS360(NOW(), $N1116) &lt;= 0</formula>
    </cfRule>
    <cfRule type="expression" priority="16" dxfId="0">
      <formula>DAYS360(NOW(), $N1116) &lt;= 30</formula>
    </cfRule>
  </conditionalFormatting>
  <conditionalFormatting sqref="J1114">
    <cfRule type="expression" priority="13" dxfId="1">
      <formula>DAYS360(NOW(), $N1114) &lt;= 0</formula>
    </cfRule>
    <cfRule type="expression" priority="14" dxfId="0">
      <formula>DAYS360(NOW(), $N1114) &lt;= 30</formula>
    </cfRule>
  </conditionalFormatting>
  <conditionalFormatting sqref="J712:J737">
    <cfRule type="expression" priority="11" dxfId="1">
      <formula>DAYS360(NOW(), $N811) &lt;= 0</formula>
    </cfRule>
    <cfRule type="expression" priority="12" dxfId="0">
      <formula>DAYS360(NOW(), $N811) &lt;= 30</formula>
    </cfRule>
  </conditionalFormatting>
  <conditionalFormatting sqref="J701:J711">
    <cfRule type="expression" priority="9" dxfId="1">
      <formula>DAYS360(NOW(), $N800) &lt;= 0</formula>
    </cfRule>
    <cfRule type="expression" priority="10" dxfId="0">
      <formula>DAYS360(NOW(), $N800) &lt;= 30</formula>
    </cfRule>
  </conditionalFormatting>
  <conditionalFormatting sqref="G8">
    <cfRule type="expression" priority="5" dxfId="1">
      <formula>DAYS360(NOW(), $N8) &lt;= 0</formula>
    </cfRule>
    <cfRule type="expression" priority="6" dxfId="0">
      <formula>DAYS360(NOW(), $N8) &lt;= 30</formula>
    </cfRule>
  </conditionalFormatting>
  <pageMargins left="0.24" right="0.16" top="0.2" bottom="0.21" header="0.38" footer="0.3149606299212598"/>
  <pageSetup orientation="landscape" paperSize="9" scale="90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2026-04-21T09:38:26Z</dcterms:modified>
</cp:coreProperties>
</file>