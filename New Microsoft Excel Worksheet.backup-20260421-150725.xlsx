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Sheet1" sheetId="1" r:id="rId1"/>
    <sheet name="SWIMMING 2026" sheetId="2" r:id="rId2"/>
  </sheets>
  <externalReferences>
    <externalReference r:id="rId3"/>
  </externalReferences>
  <definedNames>
    <definedName name="_xlnm._FilterDatabase" localSheetId="1" hidden="1">'SWIMMING 2026'!$C$8:$Q$1642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972" i="2" l="1"/>
  <c r="L972" i="2"/>
  <c r="P971" i="2"/>
  <c r="L971" i="2"/>
  <c r="P970" i="2"/>
  <c r="L970" i="2"/>
  <c r="P969" i="2"/>
  <c r="L969" i="2"/>
  <c r="P968" i="2"/>
  <c r="L968" i="2"/>
  <c r="P967" i="2"/>
  <c r="L967" i="2"/>
  <c r="P966" i="2"/>
  <c r="L966" i="2"/>
  <c r="P965" i="2"/>
  <c r="L965" i="2"/>
  <c r="P964" i="2"/>
  <c r="L964" i="2"/>
  <c r="P963" i="2"/>
  <c r="L963" i="2"/>
  <c r="P962" i="2"/>
  <c r="L962" i="2"/>
  <c r="P961" i="2"/>
  <c r="L961" i="2"/>
  <c r="P960" i="2"/>
  <c r="L960" i="2"/>
  <c r="P959" i="2"/>
  <c r="L959" i="2"/>
  <c r="P958" i="2"/>
  <c r="L958" i="2"/>
  <c r="P957" i="2"/>
  <c r="L957" i="2"/>
  <c r="P956" i="2"/>
  <c r="L956" i="2"/>
  <c r="P955" i="2"/>
  <c r="L955" i="2"/>
  <c r="P954" i="2"/>
  <c r="L954" i="2"/>
  <c r="P953" i="2"/>
  <c r="L953" i="2"/>
  <c r="P952" i="2"/>
  <c r="L952" i="2"/>
  <c r="P951" i="2"/>
  <c r="L951" i="2"/>
  <c r="P950" i="2"/>
  <c r="L950" i="2"/>
  <c r="P949" i="2"/>
  <c r="L949" i="2"/>
  <c r="P948" i="2"/>
  <c r="L948" i="2"/>
  <c r="P947" i="2"/>
  <c r="L947" i="2"/>
  <c r="P946" i="2"/>
  <c r="L946" i="2"/>
  <c r="P945" i="2"/>
  <c r="L945" i="2"/>
  <c r="P944" i="2"/>
  <c r="L944" i="2"/>
  <c r="P943" i="2"/>
  <c r="L943" i="2"/>
  <c r="P942" i="2"/>
  <c r="L942" i="2"/>
  <c r="P941" i="2"/>
  <c r="L941" i="2"/>
  <c r="P940" i="2"/>
  <c r="L940" i="2"/>
  <c r="P939" i="2"/>
  <c r="L939" i="2"/>
  <c r="P938" i="2"/>
  <c r="L938" i="2"/>
  <c r="P937" i="2"/>
  <c r="L937" i="2"/>
  <c r="P936" i="2"/>
  <c r="L936" i="2"/>
  <c r="P935" i="2"/>
  <c r="L935" i="2"/>
  <c r="P934" i="2"/>
  <c r="L934" i="2"/>
  <c r="P933" i="2"/>
  <c r="L933" i="2"/>
  <c r="P932" i="2"/>
  <c r="L932" i="2"/>
  <c r="P931" i="2"/>
  <c r="L931" i="2"/>
  <c r="P930" i="2"/>
  <c r="L930" i="2"/>
  <c r="P929" i="2"/>
  <c r="L929" i="2"/>
  <c r="P928" i="2"/>
  <c r="L928" i="2"/>
  <c r="P927" i="2"/>
  <c r="L927" i="2"/>
  <c r="P926" i="2"/>
  <c r="L926" i="2"/>
  <c r="P925" i="2"/>
  <c r="L925" i="2"/>
  <c r="P924" i="2"/>
  <c r="L924" i="2"/>
  <c r="P923" i="2"/>
  <c r="L923" i="2"/>
  <c r="P922" i="2"/>
  <c r="L922" i="2"/>
  <c r="P921" i="2"/>
  <c r="L921" i="2"/>
  <c r="P920" i="2"/>
  <c r="L920" i="2"/>
  <c r="P919" i="2"/>
  <c r="L919" i="2"/>
  <c r="P918" i="2"/>
  <c r="L918" i="2"/>
  <c r="P917" i="2"/>
  <c r="L917" i="2"/>
  <c r="P916" i="2"/>
  <c r="L916" i="2"/>
  <c r="P915" i="2"/>
  <c r="L915" i="2"/>
  <c r="P914" i="2"/>
  <c r="L914" i="2"/>
  <c r="P913" i="2"/>
  <c r="L913" i="2"/>
  <c r="P912" i="2"/>
  <c r="L912" i="2"/>
  <c r="P911" i="2"/>
  <c r="L911" i="2"/>
  <c r="P910" i="2"/>
  <c r="L910" i="2"/>
  <c r="P909" i="2"/>
  <c r="L909" i="2"/>
  <c r="P908" i="2"/>
  <c r="L908" i="2"/>
  <c r="P907" i="2"/>
  <c r="L907" i="2"/>
  <c r="P906" i="2"/>
  <c r="L906" i="2"/>
  <c r="P905" i="2"/>
  <c r="L905" i="2"/>
  <c r="P904" i="2"/>
  <c r="L904" i="2"/>
  <c r="P903" i="2"/>
  <c r="L903" i="2"/>
  <c r="P902" i="2"/>
  <c r="L902" i="2"/>
  <c r="P901" i="2"/>
  <c r="L901" i="2"/>
  <c r="P900" i="2"/>
  <c r="L900" i="2"/>
  <c r="P899" i="2"/>
  <c r="L899" i="2"/>
  <c r="P898" i="2"/>
  <c r="L898" i="2"/>
  <c r="P897" i="2"/>
  <c r="L897" i="2"/>
  <c r="P896" i="2"/>
  <c r="L896" i="2"/>
  <c r="P895" i="2"/>
  <c r="L895" i="2"/>
  <c r="P894" i="2"/>
  <c r="L894" i="2"/>
  <c r="P893" i="2"/>
  <c r="L893" i="2"/>
  <c r="P892" i="2"/>
  <c r="L892" i="2"/>
  <c r="P891" i="2"/>
  <c r="L891" i="2"/>
  <c r="P890" i="2"/>
  <c r="L890" i="2"/>
  <c r="P889" i="2"/>
  <c r="L889" i="2"/>
  <c r="P888" i="2"/>
  <c r="L888" i="2"/>
  <c r="O888" i="2" s="1"/>
  <c r="P887" i="2"/>
  <c r="L887" i="2"/>
  <c r="O887" i="2" s="1"/>
  <c r="P886" i="2"/>
  <c r="L886" i="2"/>
  <c r="O886" i="2" s="1"/>
  <c r="P885" i="2"/>
  <c r="L885" i="2"/>
  <c r="P884" i="2"/>
  <c r="L884" i="2"/>
  <c r="O884" i="2" s="1"/>
  <c r="P883" i="2"/>
  <c r="L883" i="2"/>
  <c r="O883" i="2" s="1"/>
  <c r="P882" i="2"/>
  <c r="L882" i="2"/>
  <c r="O882" i="2" s="1"/>
  <c r="P881" i="2"/>
  <c r="L881" i="2"/>
  <c r="P880" i="2"/>
  <c r="L880" i="2"/>
  <c r="O880" i="2" s="1"/>
  <c r="P879" i="2"/>
  <c r="L879" i="2"/>
  <c r="O879" i="2" s="1"/>
  <c r="P878" i="2"/>
  <c r="L878" i="2"/>
  <c r="P877" i="2"/>
  <c r="L877" i="2"/>
  <c r="P876" i="2"/>
  <c r="L876" i="2"/>
  <c r="O876" i="2" s="1"/>
  <c r="P875" i="2"/>
  <c r="L875" i="2"/>
  <c r="O875" i="2" s="1"/>
  <c r="P874" i="2"/>
  <c r="L874" i="2"/>
  <c r="O874" i="2" s="1"/>
  <c r="P873" i="2"/>
  <c r="L873" i="2"/>
  <c r="P872" i="2"/>
  <c r="L872" i="2"/>
  <c r="O872" i="2" s="1"/>
  <c r="P871" i="2"/>
  <c r="L871" i="2"/>
  <c r="O871" i="2" s="1"/>
  <c r="P870" i="2"/>
  <c r="L870" i="2"/>
  <c r="P869" i="2"/>
  <c r="L869" i="2"/>
  <c r="P868" i="2"/>
  <c r="L868" i="2"/>
  <c r="O868" i="2" s="1"/>
  <c r="P867" i="2"/>
  <c r="L867" i="2"/>
  <c r="O867" i="2" s="1"/>
  <c r="P866" i="2"/>
  <c r="L866" i="2"/>
  <c r="O866" i="2" s="1"/>
  <c r="P865" i="2"/>
  <c r="L865" i="2"/>
  <c r="P864" i="2"/>
  <c r="L864" i="2"/>
  <c r="O864" i="2" s="1"/>
  <c r="P863" i="2"/>
  <c r="L863" i="2"/>
  <c r="O863" i="2" s="1"/>
  <c r="P862" i="2"/>
  <c r="L862" i="2"/>
  <c r="P861" i="2"/>
  <c r="L861" i="2"/>
  <c r="P860" i="2"/>
  <c r="L860" i="2"/>
  <c r="O860" i="2" s="1"/>
  <c r="P859" i="2"/>
  <c r="L859" i="2"/>
  <c r="O859" i="2" s="1"/>
  <c r="P858" i="2"/>
  <c r="L858" i="2"/>
  <c r="O858" i="2" s="1"/>
  <c r="P857" i="2"/>
  <c r="L857" i="2"/>
  <c r="P856" i="2"/>
  <c r="L856" i="2"/>
  <c r="O856" i="2" s="1"/>
  <c r="P855" i="2"/>
  <c r="L855" i="2"/>
  <c r="O855" i="2" s="1"/>
  <c r="P854" i="2"/>
  <c r="L854" i="2"/>
  <c r="P853" i="2"/>
  <c r="L853" i="2"/>
  <c r="P852" i="2"/>
  <c r="L852" i="2"/>
  <c r="O852" i="2" s="1"/>
  <c r="P851" i="2"/>
  <c r="L851" i="2"/>
  <c r="O851" i="2" s="1"/>
  <c r="P850" i="2"/>
  <c r="L850" i="2"/>
  <c r="O850" i="2" s="1"/>
  <c r="P849" i="2"/>
  <c r="L849" i="2"/>
  <c r="P848" i="2"/>
  <c r="L848" i="2"/>
  <c r="O848" i="2" s="1"/>
  <c r="P847" i="2"/>
  <c r="L847" i="2"/>
  <c r="O847" i="2" s="1"/>
  <c r="P846" i="2"/>
  <c r="L846" i="2"/>
  <c r="P845" i="2"/>
  <c r="L845" i="2"/>
  <c r="P844" i="2"/>
  <c r="L844" i="2"/>
  <c r="O844" i="2" s="1"/>
  <c r="P843" i="2"/>
  <c r="L843" i="2"/>
  <c r="O843" i="2" s="1"/>
  <c r="P842" i="2"/>
  <c r="L842" i="2"/>
  <c r="O842" i="2" s="1"/>
  <c r="P841" i="2"/>
  <c r="L841" i="2"/>
  <c r="P840" i="2"/>
  <c r="L840" i="2"/>
  <c r="O840" i="2" s="1"/>
  <c r="P839" i="2"/>
  <c r="L839" i="2"/>
  <c r="O839" i="2" s="1"/>
  <c r="P838" i="2"/>
  <c r="L838" i="2"/>
  <c r="P837" i="2"/>
  <c r="L837" i="2"/>
  <c r="P836" i="2"/>
  <c r="L836" i="2"/>
  <c r="O836" i="2" s="1"/>
  <c r="P835" i="2"/>
  <c r="L835" i="2"/>
  <c r="O835" i="2" s="1"/>
  <c r="P834" i="2"/>
  <c r="L834" i="2"/>
  <c r="O834" i="2" s="1"/>
  <c r="P833" i="2"/>
  <c r="L833" i="2"/>
  <c r="P832" i="2"/>
  <c r="L832" i="2"/>
  <c r="O832" i="2" s="1"/>
  <c r="P831" i="2"/>
  <c r="L831" i="2"/>
  <c r="O831" i="2" s="1"/>
  <c r="P830" i="2"/>
  <c r="L830" i="2"/>
  <c r="P829" i="2"/>
  <c r="L829" i="2"/>
  <c r="P828" i="2"/>
  <c r="L828" i="2"/>
  <c r="O828" i="2" s="1"/>
  <c r="P827" i="2"/>
  <c r="L827" i="2"/>
  <c r="O827" i="2" s="1"/>
  <c r="P826" i="2"/>
  <c r="L826" i="2"/>
  <c r="O826" i="2" s="1"/>
  <c r="P825" i="2"/>
  <c r="L825" i="2"/>
  <c r="P824" i="2"/>
  <c r="L824" i="2"/>
  <c r="O824" i="2" s="1"/>
  <c r="P823" i="2"/>
  <c r="L823" i="2"/>
  <c r="O823" i="2" s="1"/>
  <c r="P822" i="2"/>
  <c r="L822" i="2"/>
  <c r="P821" i="2"/>
  <c r="L821" i="2"/>
  <c r="P820" i="2"/>
  <c r="L820" i="2"/>
  <c r="O820" i="2" s="1"/>
  <c r="P819" i="2"/>
  <c r="L819" i="2"/>
  <c r="O819" i="2" s="1"/>
  <c r="P818" i="2"/>
  <c r="L818" i="2"/>
  <c r="O818" i="2" s="1"/>
  <c r="P817" i="2"/>
  <c r="L817" i="2"/>
  <c r="P816" i="2"/>
  <c r="L816" i="2"/>
  <c r="O816" i="2" s="1"/>
  <c r="P815" i="2"/>
  <c r="L815" i="2"/>
  <c r="O815" i="2" s="1"/>
  <c r="P814" i="2"/>
  <c r="L814" i="2"/>
  <c r="P813" i="2"/>
  <c r="L813" i="2"/>
  <c r="P812" i="2"/>
  <c r="L812" i="2"/>
  <c r="O812" i="2" s="1"/>
  <c r="P811" i="2"/>
  <c r="L811" i="2"/>
  <c r="O811" i="2" s="1"/>
  <c r="P810" i="2"/>
  <c r="L810" i="2"/>
  <c r="O810" i="2" s="1"/>
  <c r="P809" i="2"/>
  <c r="L809" i="2"/>
  <c r="P808" i="2"/>
  <c r="L808" i="2"/>
  <c r="O808" i="2" s="1"/>
  <c r="P807" i="2"/>
  <c r="L807" i="2"/>
  <c r="O807" i="2" s="1"/>
  <c r="P806" i="2"/>
  <c r="L806" i="2"/>
  <c r="P805" i="2"/>
  <c r="L805" i="2"/>
  <c r="P804" i="2"/>
  <c r="N804" i="2"/>
  <c r="L804" i="2"/>
  <c r="O804" i="2" s="1"/>
  <c r="P803" i="2"/>
  <c r="L803" i="2"/>
  <c r="O803" i="2" s="1"/>
  <c r="P802" i="2"/>
  <c r="L802" i="2"/>
  <c r="N802" i="2" s="1"/>
  <c r="P801" i="2"/>
  <c r="L801" i="2"/>
  <c r="N801" i="2" s="1"/>
  <c r="P800" i="2"/>
  <c r="L800" i="2"/>
  <c r="P799" i="2"/>
  <c r="L799" i="2"/>
  <c r="N799" i="2" s="1"/>
  <c r="P798" i="2"/>
  <c r="L798" i="2"/>
  <c r="N798" i="2" s="1"/>
  <c r="P797" i="2"/>
  <c r="L797" i="2"/>
  <c r="N797" i="2" s="1"/>
  <c r="P796" i="2"/>
  <c r="L796" i="2"/>
  <c r="P795" i="2"/>
  <c r="L795" i="2"/>
  <c r="N795" i="2" s="1"/>
  <c r="P794" i="2"/>
  <c r="L794" i="2"/>
  <c r="N794" i="2" s="1"/>
  <c r="P793" i="2"/>
  <c r="L793" i="2"/>
  <c r="N793" i="2" s="1"/>
  <c r="P792" i="2"/>
  <c r="L792" i="2"/>
  <c r="P791" i="2"/>
  <c r="L791" i="2"/>
  <c r="N791" i="2" s="1"/>
  <c r="P790" i="2"/>
  <c r="L790" i="2"/>
  <c r="N790" i="2" s="1"/>
  <c r="P789" i="2"/>
  <c r="L789" i="2"/>
  <c r="N789" i="2" s="1"/>
  <c r="P788" i="2"/>
  <c r="L788" i="2"/>
  <c r="P787" i="2"/>
  <c r="L787" i="2"/>
  <c r="P786" i="2"/>
  <c r="L786" i="2"/>
  <c r="N786" i="2" s="1"/>
  <c r="P785" i="2"/>
  <c r="L785" i="2"/>
  <c r="N785" i="2" s="1"/>
  <c r="P784" i="2"/>
  <c r="L784" i="2"/>
  <c r="P783" i="2"/>
  <c r="L783" i="2"/>
  <c r="N783" i="2" s="1"/>
  <c r="P782" i="2"/>
  <c r="L782" i="2"/>
  <c r="N782" i="2" s="1"/>
  <c r="P781" i="2"/>
  <c r="L781" i="2"/>
  <c r="N781" i="2" s="1"/>
  <c r="P780" i="2"/>
  <c r="L780" i="2"/>
  <c r="P779" i="2"/>
  <c r="L779" i="2"/>
  <c r="P778" i="2"/>
  <c r="L778" i="2"/>
  <c r="N778" i="2" s="1"/>
  <c r="P777" i="2"/>
  <c r="L777" i="2"/>
  <c r="N777" i="2" s="1"/>
  <c r="P776" i="2"/>
  <c r="L776" i="2"/>
  <c r="P775" i="2"/>
  <c r="L775" i="2"/>
  <c r="N775" i="2" s="1"/>
  <c r="P774" i="2"/>
  <c r="L774" i="2"/>
  <c r="N774" i="2" s="1"/>
  <c r="P773" i="2"/>
  <c r="L773" i="2"/>
  <c r="N773" i="2" s="1"/>
  <c r="P772" i="2"/>
  <c r="L772" i="2"/>
  <c r="P771" i="2"/>
  <c r="L771" i="2"/>
  <c r="P770" i="2"/>
  <c r="L770" i="2"/>
  <c r="N770" i="2" s="1"/>
  <c r="P769" i="2"/>
  <c r="L769" i="2"/>
  <c r="N769" i="2" s="1"/>
  <c r="P768" i="2"/>
  <c r="L768" i="2"/>
  <c r="P767" i="2"/>
  <c r="L767" i="2"/>
  <c r="N767" i="2" s="1"/>
  <c r="P766" i="2"/>
  <c r="L766" i="2"/>
  <c r="N766" i="2" s="1"/>
  <c r="P765" i="2"/>
  <c r="L765" i="2"/>
  <c r="N765" i="2" s="1"/>
  <c r="P764" i="2"/>
  <c r="L764" i="2"/>
  <c r="P763" i="2"/>
  <c r="L763" i="2"/>
  <c r="P762" i="2"/>
  <c r="L762" i="2"/>
  <c r="N762" i="2" s="1"/>
  <c r="P761" i="2"/>
  <c r="L761" i="2"/>
  <c r="N761" i="2" s="1"/>
  <c r="P760" i="2"/>
  <c r="L760" i="2"/>
  <c r="P759" i="2"/>
  <c r="L759" i="2"/>
  <c r="N759" i="2" s="1"/>
  <c r="P758" i="2"/>
  <c r="L758" i="2"/>
  <c r="N758" i="2" s="1"/>
  <c r="P757" i="2"/>
  <c r="L757" i="2"/>
  <c r="N757" i="2" s="1"/>
  <c r="P756" i="2"/>
  <c r="L756" i="2"/>
  <c r="P755" i="2"/>
  <c r="L755" i="2"/>
  <c r="P754" i="2"/>
  <c r="L754" i="2"/>
  <c r="N754" i="2" s="1"/>
  <c r="P753" i="2"/>
  <c r="L753" i="2"/>
  <c r="N753" i="2" s="1"/>
  <c r="P752" i="2"/>
  <c r="L752" i="2"/>
  <c r="P751" i="2"/>
  <c r="L751" i="2"/>
  <c r="N751" i="2" s="1"/>
  <c r="P750" i="2"/>
  <c r="L750" i="2"/>
  <c r="N750" i="2" s="1"/>
  <c r="P749" i="2"/>
  <c r="L749" i="2"/>
  <c r="N749" i="2" s="1"/>
  <c r="P748" i="2"/>
  <c r="L748" i="2"/>
  <c r="P747" i="2"/>
  <c r="L747" i="2"/>
  <c r="P746" i="2"/>
  <c r="L746" i="2"/>
  <c r="N746" i="2" s="1"/>
  <c r="P745" i="2"/>
  <c r="L745" i="2"/>
  <c r="N745" i="2" s="1"/>
  <c r="P744" i="2"/>
  <c r="L744" i="2"/>
  <c r="P743" i="2"/>
  <c r="L743" i="2"/>
  <c r="N743" i="2" s="1"/>
  <c r="P742" i="2"/>
  <c r="L742" i="2"/>
  <c r="N742" i="2" s="1"/>
  <c r="P741" i="2"/>
  <c r="L741" i="2"/>
  <c r="N741" i="2" s="1"/>
  <c r="P740" i="2"/>
  <c r="L740" i="2"/>
  <c r="P739" i="2"/>
  <c r="L739" i="2"/>
  <c r="P738" i="2"/>
  <c r="L738" i="2"/>
  <c r="N738" i="2" s="1"/>
  <c r="P737" i="2"/>
  <c r="L737" i="2"/>
  <c r="N737" i="2" s="1"/>
  <c r="P736" i="2"/>
  <c r="L736" i="2"/>
  <c r="P735" i="2"/>
  <c r="L735" i="2"/>
  <c r="N735" i="2" s="1"/>
  <c r="P734" i="2"/>
  <c r="L734" i="2"/>
  <c r="N734" i="2" s="1"/>
  <c r="P733" i="2"/>
  <c r="L733" i="2"/>
  <c r="N733" i="2" s="1"/>
  <c r="P732" i="2"/>
  <c r="L732" i="2"/>
  <c r="P731" i="2"/>
  <c r="L731" i="2"/>
  <c r="P730" i="2"/>
  <c r="L730" i="2"/>
  <c r="N730" i="2" s="1"/>
  <c r="P729" i="2"/>
  <c r="L729" i="2"/>
  <c r="N729" i="2" s="1"/>
  <c r="P728" i="2"/>
  <c r="L728" i="2"/>
  <c r="P727" i="2"/>
  <c r="L727" i="2"/>
  <c r="N727" i="2" s="1"/>
  <c r="P726" i="2"/>
  <c r="L726" i="2"/>
  <c r="N726" i="2" s="1"/>
  <c r="P725" i="2"/>
  <c r="L725" i="2"/>
  <c r="N725" i="2" s="1"/>
  <c r="P724" i="2"/>
  <c r="L724" i="2"/>
  <c r="P723" i="2"/>
  <c r="L723" i="2"/>
  <c r="P722" i="2"/>
  <c r="L722" i="2"/>
  <c r="N722" i="2" s="1"/>
  <c r="P721" i="2"/>
  <c r="L721" i="2"/>
  <c r="N721" i="2" s="1"/>
  <c r="P720" i="2"/>
  <c r="L720" i="2"/>
  <c r="P719" i="2"/>
  <c r="L719" i="2"/>
  <c r="N719" i="2" s="1"/>
  <c r="P718" i="2"/>
  <c r="L718" i="2"/>
  <c r="N718" i="2" s="1"/>
  <c r="P717" i="2"/>
  <c r="L717" i="2"/>
  <c r="N717" i="2" s="1"/>
  <c r="P716" i="2"/>
  <c r="L716" i="2"/>
  <c r="P715" i="2"/>
  <c r="L715" i="2"/>
  <c r="P714" i="2"/>
  <c r="L714" i="2"/>
  <c r="N714" i="2" s="1"/>
  <c r="P713" i="2"/>
  <c r="L713" i="2"/>
  <c r="N713" i="2" s="1"/>
  <c r="P712" i="2"/>
  <c r="L712" i="2"/>
  <c r="P711" i="2"/>
  <c r="L711" i="2"/>
  <c r="N711" i="2" s="1"/>
  <c r="P710" i="2"/>
  <c r="L710" i="2"/>
  <c r="N710" i="2" s="1"/>
  <c r="P709" i="2"/>
  <c r="L709" i="2"/>
  <c r="N709" i="2" s="1"/>
  <c r="P708" i="2"/>
  <c r="L708" i="2"/>
  <c r="P707" i="2"/>
  <c r="L707" i="2"/>
  <c r="P706" i="2"/>
  <c r="L706" i="2"/>
  <c r="N706" i="2" s="1"/>
  <c r="P705" i="2"/>
  <c r="L705" i="2"/>
  <c r="N705" i="2" s="1"/>
  <c r="P704" i="2"/>
  <c r="L704" i="2"/>
  <c r="P703" i="2"/>
  <c r="L703" i="2"/>
  <c r="N703" i="2" s="1"/>
  <c r="P702" i="2"/>
  <c r="L702" i="2"/>
  <c r="N702" i="2" s="1"/>
  <c r="P701" i="2"/>
  <c r="L701" i="2"/>
  <c r="N701" i="2" s="1"/>
  <c r="P700" i="2"/>
  <c r="L700" i="2"/>
  <c r="P699" i="2"/>
  <c r="L699" i="2"/>
  <c r="P698" i="2"/>
  <c r="L698" i="2"/>
  <c r="N698" i="2" s="1"/>
  <c r="P697" i="2"/>
  <c r="L697" i="2"/>
  <c r="N697" i="2" s="1"/>
  <c r="P696" i="2"/>
  <c r="L696" i="2"/>
  <c r="P695" i="2"/>
  <c r="L695" i="2"/>
  <c r="N695" i="2" s="1"/>
  <c r="P694" i="2"/>
  <c r="L694" i="2"/>
  <c r="N694" i="2" s="1"/>
  <c r="P693" i="2"/>
  <c r="L693" i="2"/>
  <c r="N693" i="2" s="1"/>
  <c r="P692" i="2"/>
  <c r="L692" i="2"/>
  <c r="P691" i="2"/>
  <c r="L691" i="2"/>
  <c r="P690" i="2"/>
  <c r="L690" i="2"/>
  <c r="N690" i="2" s="1"/>
  <c r="P689" i="2"/>
  <c r="L689" i="2"/>
  <c r="N689" i="2" s="1"/>
  <c r="P688" i="2"/>
  <c r="L688" i="2"/>
  <c r="P687" i="2"/>
  <c r="L687" i="2"/>
  <c r="N687" i="2" s="1"/>
  <c r="P686" i="2"/>
  <c r="L686" i="2"/>
  <c r="P685" i="2"/>
  <c r="L685" i="2"/>
  <c r="N685" i="2" s="1"/>
  <c r="P684" i="2"/>
  <c r="L684" i="2"/>
  <c r="P683" i="2"/>
  <c r="L683" i="2"/>
  <c r="P682" i="2"/>
  <c r="L682" i="2"/>
  <c r="P681" i="2"/>
  <c r="L681" i="2"/>
  <c r="N681" i="2" s="1"/>
  <c r="P680" i="2"/>
  <c r="L680" i="2"/>
  <c r="P679" i="2"/>
  <c r="L679" i="2"/>
  <c r="N679" i="2" s="1"/>
  <c r="P678" i="2"/>
  <c r="L678" i="2"/>
  <c r="P677" i="2"/>
  <c r="L677" i="2"/>
  <c r="N677" i="2" s="1"/>
  <c r="P676" i="2"/>
  <c r="L676" i="2"/>
  <c r="P675" i="2"/>
  <c r="L675" i="2"/>
  <c r="P674" i="2"/>
  <c r="L674" i="2"/>
  <c r="P673" i="2"/>
  <c r="L673" i="2"/>
  <c r="N673" i="2" s="1"/>
  <c r="P672" i="2"/>
  <c r="L672" i="2"/>
  <c r="P671" i="2"/>
  <c r="L671" i="2"/>
  <c r="N671" i="2" s="1"/>
  <c r="P670" i="2"/>
  <c r="L670" i="2"/>
  <c r="P669" i="2"/>
  <c r="L669" i="2"/>
  <c r="N669" i="2" s="1"/>
  <c r="P668" i="2"/>
  <c r="L668" i="2"/>
  <c r="P667" i="2"/>
  <c r="L667" i="2"/>
  <c r="P666" i="2"/>
  <c r="L666" i="2"/>
  <c r="P665" i="2"/>
  <c r="L665" i="2"/>
  <c r="N665" i="2" s="1"/>
  <c r="P664" i="2"/>
  <c r="L664" i="2"/>
  <c r="P663" i="2"/>
  <c r="L663" i="2"/>
  <c r="N663" i="2" s="1"/>
  <c r="P662" i="2"/>
  <c r="L662" i="2"/>
  <c r="P661" i="2"/>
  <c r="L661" i="2"/>
  <c r="N661" i="2" s="1"/>
  <c r="P660" i="2"/>
  <c r="L660" i="2"/>
  <c r="P659" i="2"/>
  <c r="L659" i="2"/>
  <c r="P658" i="2"/>
  <c r="L658" i="2"/>
  <c r="P657" i="2"/>
  <c r="L657" i="2"/>
  <c r="N657" i="2" s="1"/>
  <c r="P656" i="2"/>
  <c r="L656" i="2"/>
  <c r="P655" i="2"/>
  <c r="L655" i="2"/>
  <c r="N655" i="2" s="1"/>
  <c r="P654" i="2"/>
  <c r="L654" i="2"/>
  <c r="P653" i="2"/>
  <c r="L653" i="2"/>
  <c r="N653" i="2" s="1"/>
  <c r="P652" i="2"/>
  <c r="L652" i="2"/>
  <c r="O652" i="2" s="1"/>
  <c r="P651" i="2"/>
  <c r="L651" i="2"/>
  <c r="O651" i="2" s="1"/>
  <c r="P650" i="2"/>
  <c r="L650" i="2"/>
  <c r="P649" i="2"/>
  <c r="L649" i="2"/>
  <c r="O649" i="2" s="1"/>
  <c r="P648" i="2"/>
  <c r="L648" i="2"/>
  <c r="O648" i="2" s="1"/>
  <c r="P647" i="2"/>
  <c r="L647" i="2"/>
  <c r="O647" i="2" s="1"/>
  <c r="P646" i="2"/>
  <c r="L646" i="2"/>
  <c r="P645" i="2"/>
  <c r="L645" i="2"/>
  <c r="O645" i="2" s="1"/>
  <c r="P644" i="2"/>
  <c r="L644" i="2"/>
  <c r="O644" i="2" s="1"/>
  <c r="P643" i="2"/>
  <c r="L643" i="2"/>
  <c r="O643" i="2" s="1"/>
  <c r="P642" i="2"/>
  <c r="L642" i="2"/>
  <c r="P641" i="2"/>
  <c r="L641" i="2"/>
  <c r="O641" i="2" s="1"/>
  <c r="P640" i="2"/>
  <c r="L640" i="2"/>
  <c r="P639" i="2"/>
  <c r="L639" i="2"/>
  <c r="O639" i="2" s="1"/>
  <c r="P638" i="2"/>
  <c r="L638" i="2"/>
  <c r="P637" i="2"/>
  <c r="L637" i="2"/>
  <c r="O637" i="2" s="1"/>
  <c r="P636" i="2"/>
  <c r="L636" i="2"/>
  <c r="O636" i="2" s="1"/>
  <c r="P635" i="2"/>
  <c r="L635" i="2"/>
  <c r="O635" i="2" s="1"/>
  <c r="P634" i="2"/>
  <c r="L634" i="2"/>
  <c r="P633" i="2"/>
  <c r="L633" i="2"/>
  <c r="O633" i="2" s="1"/>
  <c r="P632" i="2"/>
  <c r="L632" i="2"/>
  <c r="P631" i="2"/>
  <c r="L631" i="2"/>
  <c r="O631" i="2" s="1"/>
  <c r="P630" i="2"/>
  <c r="L630" i="2"/>
  <c r="P629" i="2"/>
  <c r="L629" i="2"/>
  <c r="O629" i="2" s="1"/>
  <c r="P628" i="2"/>
  <c r="L628" i="2"/>
  <c r="O628" i="2" s="1"/>
  <c r="P627" i="2"/>
  <c r="L627" i="2"/>
  <c r="O627" i="2" s="1"/>
  <c r="P626" i="2"/>
  <c r="L626" i="2"/>
  <c r="P625" i="2"/>
  <c r="L625" i="2"/>
  <c r="O625" i="2" s="1"/>
  <c r="P624" i="2"/>
  <c r="L624" i="2"/>
  <c r="P623" i="2"/>
  <c r="L623" i="2"/>
  <c r="O623" i="2" s="1"/>
  <c r="P622" i="2"/>
  <c r="L622" i="2"/>
  <c r="P621" i="2"/>
  <c r="L621" i="2"/>
  <c r="O621" i="2" s="1"/>
  <c r="P620" i="2"/>
  <c r="L620" i="2"/>
  <c r="O620" i="2" s="1"/>
  <c r="P619" i="2"/>
  <c r="L619" i="2"/>
  <c r="O619" i="2" s="1"/>
  <c r="P618" i="2"/>
  <c r="L618" i="2"/>
  <c r="P617" i="2"/>
  <c r="L617" i="2"/>
  <c r="O617" i="2" s="1"/>
  <c r="P616" i="2"/>
  <c r="L616" i="2"/>
  <c r="P615" i="2"/>
  <c r="L615" i="2"/>
  <c r="O615" i="2" s="1"/>
  <c r="P614" i="2"/>
  <c r="L614" i="2"/>
  <c r="P613" i="2"/>
  <c r="L613" i="2"/>
  <c r="O613" i="2" s="1"/>
  <c r="P612" i="2"/>
  <c r="L612" i="2"/>
  <c r="O612" i="2" s="1"/>
  <c r="P611" i="2"/>
  <c r="L611" i="2"/>
  <c r="O611" i="2" s="1"/>
  <c r="P610" i="2"/>
  <c r="L610" i="2"/>
  <c r="P609" i="2"/>
  <c r="L609" i="2"/>
  <c r="O609" i="2" s="1"/>
  <c r="P608" i="2"/>
  <c r="L608" i="2"/>
  <c r="P607" i="2"/>
  <c r="L607" i="2"/>
  <c r="O607" i="2" s="1"/>
  <c r="P606" i="2"/>
  <c r="L606" i="2"/>
  <c r="P605" i="2"/>
  <c r="L605" i="2"/>
  <c r="O605" i="2" s="1"/>
  <c r="P604" i="2"/>
  <c r="L604" i="2"/>
  <c r="O604" i="2" s="1"/>
  <c r="P603" i="2"/>
  <c r="L603" i="2"/>
  <c r="O603" i="2" s="1"/>
  <c r="P602" i="2"/>
  <c r="L602" i="2"/>
  <c r="N602" i="2" s="1"/>
  <c r="P601" i="2"/>
  <c r="L601" i="2"/>
  <c r="N601" i="2" s="1"/>
  <c r="P600" i="2"/>
  <c r="L600" i="2"/>
  <c r="P599" i="2"/>
  <c r="L599" i="2"/>
  <c r="O599" i="2" s="1"/>
  <c r="P598" i="2"/>
  <c r="L598" i="2"/>
  <c r="O598" i="2" s="1"/>
  <c r="P597" i="2"/>
  <c r="L597" i="2"/>
  <c r="O597" i="2" s="1"/>
  <c r="P596" i="2"/>
  <c r="L596" i="2"/>
  <c r="P595" i="2"/>
  <c r="L595" i="2"/>
  <c r="O595" i="2" s="1"/>
  <c r="P594" i="2"/>
  <c r="L594" i="2"/>
  <c r="O594" i="2" s="1"/>
  <c r="P593" i="2"/>
  <c r="L593" i="2"/>
  <c r="O593" i="2" s="1"/>
  <c r="P592" i="2"/>
  <c r="L592" i="2"/>
  <c r="P591" i="2"/>
  <c r="L591" i="2"/>
  <c r="O591" i="2" s="1"/>
  <c r="P590" i="2"/>
  <c r="L590" i="2"/>
  <c r="O590" i="2" s="1"/>
  <c r="P589" i="2"/>
  <c r="L589" i="2"/>
  <c r="O589" i="2" s="1"/>
  <c r="P588" i="2"/>
  <c r="L588" i="2"/>
  <c r="P587" i="2"/>
  <c r="L587" i="2"/>
  <c r="O587" i="2" s="1"/>
  <c r="P586" i="2"/>
  <c r="L586" i="2"/>
  <c r="O586" i="2" s="1"/>
  <c r="P585" i="2"/>
  <c r="L585" i="2"/>
  <c r="O585" i="2" s="1"/>
  <c r="P584" i="2"/>
  <c r="L584" i="2"/>
  <c r="P583" i="2"/>
  <c r="L583" i="2"/>
  <c r="O583" i="2" s="1"/>
  <c r="P582" i="2"/>
  <c r="L582" i="2"/>
  <c r="O582" i="2" s="1"/>
  <c r="P581" i="2"/>
  <c r="L581" i="2"/>
  <c r="O581" i="2" s="1"/>
  <c r="P580" i="2"/>
  <c r="L580" i="2"/>
  <c r="P579" i="2"/>
  <c r="L579" i="2"/>
  <c r="O579" i="2" s="1"/>
  <c r="P578" i="2"/>
  <c r="L578" i="2"/>
  <c r="O578" i="2" s="1"/>
  <c r="P577" i="2"/>
  <c r="L577" i="2"/>
  <c r="O577" i="2" s="1"/>
  <c r="P576" i="2"/>
  <c r="L576" i="2"/>
  <c r="P575" i="2"/>
  <c r="L575" i="2"/>
  <c r="O575" i="2" s="1"/>
  <c r="P574" i="2"/>
  <c r="L574" i="2"/>
  <c r="O574" i="2" s="1"/>
  <c r="P573" i="2"/>
  <c r="L573" i="2"/>
  <c r="O573" i="2" s="1"/>
  <c r="P572" i="2"/>
  <c r="L572" i="2"/>
  <c r="P571" i="2"/>
  <c r="L571" i="2"/>
  <c r="O571" i="2" s="1"/>
  <c r="P570" i="2"/>
  <c r="L570" i="2"/>
  <c r="O570" i="2" s="1"/>
  <c r="P569" i="2"/>
  <c r="L569" i="2"/>
  <c r="P568" i="2"/>
  <c r="L568" i="2"/>
  <c r="P567" i="2"/>
  <c r="L567" i="2"/>
  <c r="O567" i="2" s="1"/>
  <c r="P566" i="2"/>
  <c r="L566" i="2"/>
  <c r="O566" i="2" s="1"/>
  <c r="P565" i="2"/>
  <c r="L565" i="2"/>
  <c r="O565" i="2" s="1"/>
  <c r="P564" i="2"/>
  <c r="L564" i="2"/>
  <c r="P563" i="2"/>
  <c r="L563" i="2"/>
  <c r="O563" i="2" s="1"/>
  <c r="P562" i="2"/>
  <c r="L562" i="2"/>
  <c r="O562" i="2" s="1"/>
  <c r="P561" i="2"/>
  <c r="L561" i="2"/>
  <c r="O561" i="2" s="1"/>
  <c r="P560" i="2"/>
  <c r="L560" i="2"/>
  <c r="P559" i="2"/>
  <c r="L559" i="2"/>
  <c r="O559" i="2" s="1"/>
  <c r="P558" i="2"/>
  <c r="L558" i="2"/>
  <c r="O558" i="2" s="1"/>
  <c r="P557" i="2"/>
  <c r="L557" i="2"/>
  <c r="O557" i="2" s="1"/>
  <c r="P556" i="2"/>
  <c r="L556" i="2"/>
  <c r="P555" i="2"/>
  <c r="L555" i="2"/>
  <c r="O555" i="2" s="1"/>
  <c r="P554" i="2"/>
  <c r="L554" i="2"/>
  <c r="O554" i="2" s="1"/>
  <c r="P553" i="2"/>
  <c r="L553" i="2"/>
  <c r="P552" i="2"/>
  <c r="L552" i="2"/>
  <c r="P551" i="2"/>
  <c r="L551" i="2"/>
  <c r="O551" i="2" s="1"/>
  <c r="P550" i="2"/>
  <c r="L550" i="2"/>
  <c r="O550" i="2" s="1"/>
  <c r="P549" i="2"/>
  <c r="L549" i="2"/>
  <c r="O549" i="2" s="1"/>
  <c r="P548" i="2"/>
  <c r="L548" i="2"/>
  <c r="P547" i="2"/>
  <c r="L547" i="2"/>
  <c r="O547" i="2" s="1"/>
  <c r="P546" i="2"/>
  <c r="L546" i="2"/>
  <c r="O546" i="2" s="1"/>
  <c r="P545" i="2"/>
  <c r="L545" i="2"/>
  <c r="O545" i="2" s="1"/>
  <c r="P544" i="2"/>
  <c r="L544" i="2"/>
  <c r="P543" i="2"/>
  <c r="L543" i="2"/>
  <c r="O543" i="2" s="1"/>
  <c r="P542" i="2"/>
  <c r="L542" i="2"/>
  <c r="O542" i="2" s="1"/>
  <c r="P541" i="2"/>
  <c r="L541" i="2"/>
  <c r="O541" i="2" s="1"/>
  <c r="P540" i="2"/>
  <c r="L540" i="2"/>
  <c r="P539" i="2"/>
  <c r="L539" i="2"/>
  <c r="O539" i="2" s="1"/>
  <c r="P538" i="2"/>
  <c r="L538" i="2"/>
  <c r="O538" i="2" s="1"/>
  <c r="P537" i="2"/>
  <c r="L537" i="2"/>
  <c r="P536" i="2"/>
  <c r="L536" i="2"/>
  <c r="P535" i="2"/>
  <c r="L535" i="2"/>
  <c r="O535" i="2" s="1"/>
  <c r="P534" i="2"/>
  <c r="L534" i="2"/>
  <c r="O534" i="2" s="1"/>
  <c r="P533" i="2"/>
  <c r="L533" i="2"/>
  <c r="O533" i="2" s="1"/>
  <c r="P532" i="2"/>
  <c r="L532" i="2"/>
  <c r="P531" i="2"/>
  <c r="L531" i="2"/>
  <c r="O531" i="2" s="1"/>
  <c r="P530" i="2"/>
  <c r="L530" i="2"/>
  <c r="O530" i="2" s="1"/>
  <c r="P529" i="2"/>
  <c r="L529" i="2"/>
  <c r="O529" i="2" s="1"/>
  <c r="P528" i="2"/>
  <c r="L528" i="2"/>
  <c r="P527" i="2"/>
  <c r="L527" i="2"/>
  <c r="O527" i="2" s="1"/>
  <c r="P526" i="2"/>
  <c r="L526" i="2"/>
  <c r="O526" i="2" s="1"/>
  <c r="P525" i="2"/>
  <c r="L525" i="2"/>
  <c r="O525" i="2" s="1"/>
  <c r="P524" i="2"/>
  <c r="L524" i="2"/>
  <c r="P523" i="2"/>
  <c r="L523" i="2"/>
  <c r="O523" i="2" s="1"/>
  <c r="P522" i="2"/>
  <c r="L522" i="2"/>
  <c r="O522" i="2" s="1"/>
  <c r="P521" i="2"/>
  <c r="L521" i="2"/>
  <c r="P520" i="2"/>
  <c r="L520" i="2"/>
  <c r="P519" i="2"/>
  <c r="L519" i="2"/>
  <c r="O519" i="2" s="1"/>
  <c r="P518" i="2"/>
  <c r="L518" i="2"/>
  <c r="O518" i="2" s="1"/>
  <c r="P517" i="2"/>
  <c r="L517" i="2"/>
  <c r="O517" i="2" s="1"/>
  <c r="P516" i="2"/>
  <c r="L516" i="2"/>
  <c r="P515" i="2"/>
  <c r="L515" i="2"/>
  <c r="O515" i="2" s="1"/>
  <c r="P514" i="2"/>
  <c r="L514" i="2"/>
  <c r="O514" i="2" s="1"/>
  <c r="P513" i="2"/>
  <c r="L513" i="2"/>
  <c r="O513" i="2" s="1"/>
  <c r="P512" i="2"/>
  <c r="L512" i="2"/>
  <c r="P511" i="2"/>
  <c r="L511" i="2"/>
  <c r="O511" i="2" s="1"/>
  <c r="P510" i="2"/>
  <c r="L510" i="2"/>
  <c r="O510" i="2" s="1"/>
  <c r="P509" i="2"/>
  <c r="L509" i="2"/>
  <c r="O509" i="2" s="1"/>
  <c r="P508" i="2"/>
  <c r="L508" i="2"/>
  <c r="P507" i="2"/>
  <c r="L507" i="2"/>
  <c r="O507" i="2" s="1"/>
  <c r="P506" i="2"/>
  <c r="L506" i="2"/>
  <c r="O506" i="2" s="1"/>
  <c r="P505" i="2"/>
  <c r="L505" i="2"/>
  <c r="P504" i="2"/>
  <c r="L504" i="2"/>
  <c r="P503" i="2"/>
  <c r="L503" i="2"/>
  <c r="O503" i="2" s="1"/>
  <c r="P502" i="2"/>
  <c r="L502" i="2"/>
  <c r="O502" i="2" s="1"/>
  <c r="P501" i="2"/>
  <c r="L501" i="2"/>
  <c r="O501" i="2" s="1"/>
  <c r="P500" i="2"/>
  <c r="L500" i="2"/>
  <c r="P499" i="2"/>
  <c r="L499" i="2"/>
  <c r="O499" i="2" s="1"/>
  <c r="P498" i="2"/>
  <c r="L498" i="2"/>
  <c r="O498" i="2" s="1"/>
  <c r="P497" i="2"/>
  <c r="L497" i="2"/>
  <c r="O497" i="2" s="1"/>
  <c r="P496" i="2"/>
  <c r="L496" i="2"/>
  <c r="P495" i="2"/>
  <c r="L495" i="2"/>
  <c r="O495" i="2" s="1"/>
  <c r="P494" i="2"/>
  <c r="L494" i="2"/>
  <c r="O494" i="2" s="1"/>
  <c r="P493" i="2"/>
  <c r="L493" i="2"/>
  <c r="O493" i="2" s="1"/>
  <c r="P492" i="2"/>
  <c r="L492" i="2"/>
  <c r="P491" i="2"/>
  <c r="L491" i="2"/>
  <c r="O491" i="2" s="1"/>
  <c r="P490" i="2"/>
  <c r="L490" i="2"/>
  <c r="O490" i="2" s="1"/>
  <c r="P489" i="2"/>
  <c r="L489" i="2"/>
  <c r="P488" i="2"/>
  <c r="L488" i="2"/>
  <c r="P487" i="2"/>
  <c r="L487" i="2"/>
  <c r="O487" i="2" s="1"/>
  <c r="P486" i="2"/>
  <c r="L486" i="2"/>
  <c r="O486" i="2" s="1"/>
  <c r="P485" i="2"/>
  <c r="L485" i="2"/>
  <c r="O485" i="2" s="1"/>
  <c r="P484" i="2"/>
  <c r="L484" i="2"/>
  <c r="P483" i="2"/>
  <c r="L483" i="2"/>
  <c r="O483" i="2" s="1"/>
  <c r="P482" i="2"/>
  <c r="L482" i="2"/>
  <c r="O482" i="2" s="1"/>
  <c r="P481" i="2"/>
  <c r="L481" i="2"/>
  <c r="O481" i="2" s="1"/>
  <c r="P480" i="2"/>
  <c r="L480" i="2"/>
  <c r="P479" i="2"/>
  <c r="L479" i="2"/>
  <c r="O479" i="2" s="1"/>
  <c r="P478" i="2"/>
  <c r="L478" i="2"/>
  <c r="O478" i="2" s="1"/>
  <c r="P477" i="2"/>
  <c r="L477" i="2"/>
  <c r="P476" i="2"/>
  <c r="L476" i="2"/>
  <c r="P475" i="2"/>
  <c r="L475" i="2"/>
  <c r="O475" i="2" s="1"/>
  <c r="P474" i="2"/>
  <c r="L474" i="2"/>
  <c r="O474" i="2" s="1"/>
  <c r="P473" i="2"/>
  <c r="L473" i="2"/>
  <c r="O473" i="2" s="1"/>
  <c r="P472" i="2"/>
  <c r="L472" i="2"/>
  <c r="P471" i="2"/>
  <c r="L471" i="2"/>
  <c r="O471" i="2" s="1"/>
  <c r="P470" i="2"/>
  <c r="L470" i="2"/>
  <c r="O470" i="2" s="1"/>
  <c r="P469" i="2"/>
  <c r="L469" i="2"/>
  <c r="P468" i="2"/>
  <c r="L468" i="2"/>
  <c r="P467" i="2"/>
  <c r="L467" i="2"/>
  <c r="O467" i="2" s="1"/>
  <c r="P466" i="2"/>
  <c r="L466" i="2"/>
  <c r="O466" i="2" s="1"/>
  <c r="P465" i="2"/>
  <c r="L465" i="2"/>
  <c r="O465" i="2" s="1"/>
  <c r="P464" i="2"/>
  <c r="L464" i="2"/>
  <c r="P463" i="2"/>
  <c r="L463" i="2"/>
  <c r="O463" i="2" s="1"/>
  <c r="P462" i="2"/>
  <c r="L462" i="2"/>
  <c r="O462" i="2" s="1"/>
  <c r="P461" i="2"/>
  <c r="L461" i="2"/>
  <c r="P460" i="2"/>
  <c r="L460" i="2"/>
  <c r="P459" i="2"/>
  <c r="L459" i="2"/>
  <c r="O459" i="2" s="1"/>
  <c r="P458" i="2"/>
  <c r="L458" i="2"/>
  <c r="O458" i="2" s="1"/>
  <c r="P457" i="2"/>
  <c r="L457" i="2"/>
  <c r="O457" i="2" s="1"/>
  <c r="P456" i="2"/>
  <c r="L456" i="2"/>
  <c r="P455" i="2"/>
  <c r="L455" i="2"/>
  <c r="O455" i="2" s="1"/>
  <c r="P454" i="2"/>
  <c r="L454" i="2"/>
  <c r="O454" i="2" s="1"/>
  <c r="P453" i="2"/>
  <c r="L453" i="2"/>
  <c r="P452" i="2"/>
  <c r="L452" i="2"/>
  <c r="P451" i="2"/>
  <c r="L451" i="2"/>
  <c r="O451" i="2" s="1"/>
  <c r="P450" i="2"/>
  <c r="L450" i="2"/>
  <c r="O450" i="2" s="1"/>
  <c r="P449" i="2"/>
  <c r="L449" i="2"/>
  <c r="O449" i="2" s="1"/>
  <c r="P448" i="2"/>
  <c r="L448" i="2"/>
  <c r="P447" i="2"/>
  <c r="L447" i="2"/>
  <c r="O447" i="2" s="1"/>
  <c r="P446" i="2"/>
  <c r="L446" i="2"/>
  <c r="O446" i="2" s="1"/>
  <c r="P445" i="2"/>
  <c r="L445" i="2"/>
  <c r="O445" i="2" s="1"/>
  <c r="P444" i="2"/>
  <c r="L444" i="2"/>
  <c r="P443" i="2"/>
  <c r="L443" i="2"/>
  <c r="O443" i="2" s="1"/>
  <c r="P442" i="2"/>
  <c r="L442" i="2"/>
  <c r="O442" i="2" s="1"/>
  <c r="P441" i="2"/>
  <c r="L441" i="2"/>
  <c r="O441" i="2" s="1"/>
  <c r="P440" i="2"/>
  <c r="L440" i="2"/>
  <c r="O440" i="2" s="1"/>
  <c r="P439" i="2"/>
  <c r="L439" i="2"/>
  <c r="O439" i="2" s="1"/>
  <c r="P438" i="2"/>
  <c r="L438" i="2"/>
  <c r="O438" i="2" s="1"/>
  <c r="P437" i="2"/>
  <c r="L437" i="2"/>
  <c r="O437" i="2" s="1"/>
  <c r="P436" i="2"/>
  <c r="L436" i="2"/>
  <c r="O436" i="2" s="1"/>
  <c r="P435" i="2"/>
  <c r="L435" i="2"/>
  <c r="O435" i="2" s="1"/>
  <c r="P434" i="2"/>
  <c r="L434" i="2"/>
  <c r="O434" i="2" s="1"/>
  <c r="P433" i="2"/>
  <c r="L433" i="2"/>
  <c r="O433" i="2" s="1"/>
  <c r="P432" i="2"/>
  <c r="L432" i="2"/>
  <c r="O432" i="2" s="1"/>
  <c r="P431" i="2"/>
  <c r="L431" i="2"/>
  <c r="O431" i="2" s="1"/>
  <c r="P430" i="2"/>
  <c r="L430" i="2"/>
  <c r="O430" i="2" s="1"/>
  <c r="P429" i="2"/>
  <c r="L429" i="2"/>
  <c r="O429" i="2" s="1"/>
  <c r="P428" i="2"/>
  <c r="L428" i="2"/>
  <c r="O428" i="2" s="1"/>
  <c r="P427" i="2"/>
  <c r="L427" i="2"/>
  <c r="O427" i="2" s="1"/>
  <c r="P426" i="2"/>
  <c r="L426" i="2"/>
  <c r="O426" i="2" s="1"/>
  <c r="P425" i="2"/>
  <c r="L425" i="2"/>
  <c r="O425" i="2" s="1"/>
  <c r="P424" i="2"/>
  <c r="L424" i="2"/>
  <c r="O424" i="2" s="1"/>
  <c r="P423" i="2"/>
  <c r="L423" i="2"/>
  <c r="P422" i="2"/>
  <c r="L422" i="2"/>
  <c r="P421" i="2"/>
  <c r="L421" i="2"/>
  <c r="P420" i="2"/>
  <c r="L420" i="2"/>
  <c r="P419" i="2"/>
  <c r="L419" i="2"/>
  <c r="P418" i="2"/>
  <c r="L418" i="2"/>
  <c r="P417" i="2"/>
  <c r="L417" i="2"/>
  <c r="P416" i="2"/>
  <c r="L416" i="2"/>
  <c r="P415" i="2"/>
  <c r="L415" i="2"/>
  <c r="P414" i="2"/>
  <c r="L414" i="2"/>
  <c r="P413" i="2"/>
  <c r="L413" i="2"/>
  <c r="P412" i="2"/>
  <c r="L412" i="2"/>
  <c r="P411" i="2"/>
  <c r="L411" i="2"/>
  <c r="P410" i="2"/>
  <c r="L410" i="2"/>
  <c r="P409" i="2"/>
  <c r="L409" i="2"/>
  <c r="P408" i="2"/>
  <c r="L408" i="2"/>
  <c r="P407" i="2"/>
  <c r="L407" i="2"/>
  <c r="P406" i="2"/>
  <c r="L406" i="2"/>
  <c r="P405" i="2"/>
  <c r="L405" i="2"/>
  <c r="P404" i="2"/>
  <c r="L404" i="2"/>
  <c r="P403" i="2"/>
  <c r="L403" i="2"/>
  <c r="P402" i="2"/>
  <c r="L402" i="2"/>
  <c r="P401" i="2"/>
  <c r="L401" i="2"/>
  <c r="P400" i="2"/>
  <c r="L400" i="2"/>
  <c r="P399" i="2"/>
  <c r="L399" i="2"/>
  <c r="P398" i="2"/>
  <c r="L398" i="2"/>
  <c r="P397" i="2"/>
  <c r="L397" i="2"/>
  <c r="P396" i="2"/>
  <c r="L396" i="2"/>
  <c r="P395" i="2"/>
  <c r="L395" i="2"/>
  <c r="P394" i="2"/>
  <c r="L394" i="2"/>
  <c r="P393" i="2"/>
  <c r="L393" i="2"/>
  <c r="P392" i="2"/>
  <c r="L392" i="2"/>
  <c r="P391" i="2"/>
  <c r="L391" i="2"/>
  <c r="P390" i="2"/>
  <c r="L390" i="2"/>
  <c r="P389" i="2"/>
  <c r="L389" i="2"/>
  <c r="P388" i="2"/>
  <c r="L388" i="2"/>
  <c r="P387" i="2"/>
  <c r="L387" i="2"/>
  <c r="P386" i="2"/>
  <c r="L386" i="2"/>
  <c r="P385" i="2"/>
  <c r="L385" i="2"/>
  <c r="P384" i="2"/>
  <c r="L384" i="2"/>
  <c r="P383" i="2"/>
  <c r="L383" i="2"/>
  <c r="P382" i="2"/>
  <c r="L382" i="2"/>
  <c r="P381" i="2"/>
  <c r="L381" i="2"/>
  <c r="P380" i="2"/>
  <c r="L380" i="2"/>
  <c r="P379" i="2"/>
  <c r="L379" i="2"/>
  <c r="P378" i="2"/>
  <c r="L378" i="2"/>
  <c r="P377" i="2"/>
  <c r="L377" i="2"/>
  <c r="P376" i="2"/>
  <c r="L376" i="2"/>
  <c r="P375" i="2"/>
  <c r="L375" i="2"/>
  <c r="P374" i="2"/>
  <c r="L374" i="2"/>
  <c r="P373" i="2"/>
  <c r="L373" i="2"/>
  <c r="P372" i="2"/>
  <c r="L372" i="2"/>
  <c r="P371" i="2"/>
  <c r="L371" i="2"/>
  <c r="P370" i="2"/>
  <c r="L370" i="2"/>
  <c r="P369" i="2"/>
  <c r="L369" i="2"/>
  <c r="P368" i="2"/>
  <c r="L368" i="2"/>
  <c r="P367" i="2"/>
  <c r="L367" i="2"/>
  <c r="P366" i="2"/>
  <c r="L366" i="2"/>
  <c r="P365" i="2"/>
  <c r="L365" i="2"/>
  <c r="P364" i="2"/>
  <c r="L364" i="2"/>
  <c r="P363" i="2"/>
  <c r="L363" i="2"/>
  <c r="P362" i="2"/>
  <c r="L362" i="2"/>
  <c r="P361" i="2"/>
  <c r="L361" i="2"/>
  <c r="P360" i="2"/>
  <c r="L360" i="2"/>
  <c r="P359" i="2"/>
  <c r="L359" i="2"/>
  <c r="P358" i="2"/>
  <c r="L358" i="2"/>
  <c r="P357" i="2"/>
  <c r="L357" i="2"/>
  <c r="P356" i="2"/>
  <c r="L356" i="2"/>
  <c r="P355" i="2"/>
  <c r="L355" i="2"/>
  <c r="P354" i="2"/>
  <c r="L354" i="2"/>
  <c r="P353" i="2"/>
  <c r="L353" i="2"/>
  <c r="P352" i="2"/>
  <c r="L352" i="2"/>
  <c r="P351" i="2"/>
  <c r="L351" i="2"/>
  <c r="P350" i="2"/>
  <c r="L350" i="2"/>
  <c r="P349" i="2"/>
  <c r="L349" i="2"/>
  <c r="P348" i="2"/>
  <c r="L348" i="2"/>
  <c r="P347" i="2"/>
  <c r="L347" i="2"/>
  <c r="P346" i="2"/>
  <c r="L346" i="2"/>
  <c r="P345" i="2"/>
  <c r="L345" i="2"/>
  <c r="P344" i="2"/>
  <c r="L344" i="2"/>
  <c r="P343" i="2"/>
  <c r="L343" i="2"/>
  <c r="P342" i="2"/>
  <c r="L342" i="2"/>
  <c r="P341" i="2"/>
  <c r="L341" i="2"/>
  <c r="P340" i="2"/>
  <c r="L340" i="2"/>
  <c r="P339" i="2"/>
  <c r="L339" i="2"/>
  <c r="P338" i="2"/>
  <c r="L338" i="2"/>
  <c r="P337" i="2"/>
  <c r="L337" i="2"/>
  <c r="P336" i="2"/>
  <c r="L336" i="2"/>
  <c r="P335" i="2"/>
  <c r="L335" i="2"/>
  <c r="P334" i="2"/>
  <c r="L334" i="2"/>
  <c r="P333" i="2"/>
  <c r="L333" i="2"/>
  <c r="P332" i="2"/>
  <c r="L332" i="2"/>
  <c r="P331" i="2"/>
  <c r="L331" i="2"/>
  <c r="P330" i="2"/>
  <c r="L330" i="2"/>
  <c r="P329" i="2"/>
  <c r="L329" i="2"/>
  <c r="P328" i="2"/>
  <c r="L328" i="2"/>
  <c r="P327" i="2"/>
  <c r="L327" i="2"/>
  <c r="P326" i="2"/>
  <c r="L326" i="2"/>
  <c r="P325" i="2"/>
  <c r="L325" i="2"/>
  <c r="P324" i="2"/>
  <c r="L324" i="2"/>
  <c r="P323" i="2"/>
  <c r="L323" i="2"/>
  <c r="P322" i="2"/>
  <c r="L322" i="2"/>
  <c r="P321" i="2"/>
  <c r="L321" i="2"/>
  <c r="P320" i="2"/>
  <c r="L320" i="2"/>
  <c r="P319" i="2"/>
  <c r="L319" i="2"/>
  <c r="P318" i="2"/>
  <c r="L318" i="2"/>
  <c r="P317" i="2"/>
  <c r="L317" i="2"/>
  <c r="P316" i="2"/>
  <c r="L316" i="2"/>
  <c r="P315" i="2"/>
  <c r="L315" i="2"/>
  <c r="P314" i="2"/>
  <c r="L314" i="2"/>
  <c r="P313" i="2"/>
  <c r="L313" i="2"/>
  <c r="P312" i="2"/>
  <c r="L312" i="2"/>
  <c r="P311" i="2"/>
  <c r="L311" i="2"/>
  <c r="P310" i="2"/>
  <c r="L310" i="2"/>
  <c r="P309" i="2"/>
  <c r="L309" i="2"/>
  <c r="P308" i="2"/>
  <c r="L308" i="2"/>
  <c r="P307" i="2"/>
  <c r="L307" i="2"/>
  <c r="P306" i="2"/>
  <c r="L306" i="2"/>
  <c r="P305" i="2"/>
  <c r="L305" i="2"/>
  <c r="P304" i="2"/>
  <c r="L304" i="2"/>
  <c r="P303" i="2"/>
  <c r="L303" i="2"/>
  <c r="P302" i="2"/>
  <c r="L302" i="2"/>
  <c r="P301" i="2"/>
  <c r="L301" i="2"/>
  <c r="P300" i="2"/>
  <c r="L300" i="2"/>
  <c r="P299" i="2"/>
  <c r="L299" i="2"/>
  <c r="P298" i="2"/>
  <c r="L298" i="2"/>
  <c r="O298" i="2" s="1"/>
  <c r="P297" i="2"/>
  <c r="L297" i="2"/>
  <c r="P296" i="2"/>
  <c r="L296" i="2"/>
  <c r="O296" i="2" s="1"/>
  <c r="P295" i="2"/>
  <c r="L295" i="2"/>
  <c r="O295" i="2" s="1"/>
  <c r="P294" i="2"/>
  <c r="L294" i="2"/>
  <c r="P293" i="2"/>
  <c r="L293" i="2"/>
  <c r="P292" i="2"/>
  <c r="L292" i="2"/>
  <c r="O292" i="2" s="1"/>
  <c r="P291" i="2"/>
  <c r="L291" i="2"/>
  <c r="O291" i="2" s="1"/>
  <c r="P290" i="2"/>
  <c r="L290" i="2"/>
  <c r="O290" i="2" s="1"/>
  <c r="P289" i="2"/>
  <c r="L289" i="2"/>
  <c r="P288" i="2"/>
  <c r="L288" i="2"/>
  <c r="O288" i="2" s="1"/>
  <c r="P287" i="2"/>
  <c r="L287" i="2"/>
  <c r="O287" i="2" s="1"/>
  <c r="P286" i="2"/>
  <c r="L286" i="2"/>
  <c r="P285" i="2"/>
  <c r="L285" i="2"/>
  <c r="P284" i="2"/>
  <c r="L284" i="2"/>
  <c r="O284" i="2" s="1"/>
  <c r="P283" i="2"/>
  <c r="L283" i="2"/>
  <c r="O283" i="2" s="1"/>
  <c r="P282" i="2"/>
  <c r="L282" i="2"/>
  <c r="N282" i="2" s="1"/>
  <c r="P281" i="2"/>
  <c r="L281" i="2"/>
  <c r="N281" i="2" s="1"/>
  <c r="P280" i="2"/>
  <c r="L280" i="2"/>
  <c r="P279" i="2"/>
  <c r="L279" i="2"/>
  <c r="N279" i="2" s="1"/>
  <c r="P278" i="2"/>
  <c r="L278" i="2"/>
  <c r="N278" i="2" s="1"/>
  <c r="P277" i="2"/>
  <c r="L277" i="2"/>
  <c r="N277" i="2" s="1"/>
  <c r="P276" i="2"/>
  <c r="L276" i="2"/>
  <c r="P275" i="2"/>
  <c r="L275" i="2"/>
  <c r="N275" i="2" s="1"/>
  <c r="P274" i="2"/>
  <c r="L274" i="2"/>
  <c r="N274" i="2" s="1"/>
  <c r="P273" i="2"/>
  <c r="L273" i="2"/>
  <c r="N273" i="2" s="1"/>
  <c r="P272" i="2"/>
  <c r="L272" i="2"/>
  <c r="P271" i="2"/>
  <c r="L271" i="2"/>
  <c r="N271" i="2" s="1"/>
  <c r="P270" i="2"/>
  <c r="L270" i="2"/>
  <c r="N270" i="2" s="1"/>
  <c r="P269" i="2"/>
  <c r="L269" i="2"/>
  <c r="N269" i="2" s="1"/>
  <c r="P268" i="2"/>
  <c r="L268" i="2"/>
  <c r="P267" i="2"/>
  <c r="L267" i="2"/>
  <c r="N267" i="2" s="1"/>
  <c r="P266" i="2"/>
  <c r="L266" i="2"/>
  <c r="N266" i="2" s="1"/>
  <c r="P265" i="2"/>
  <c r="L265" i="2"/>
  <c r="N265" i="2" s="1"/>
  <c r="P264" i="2"/>
  <c r="L264" i="2"/>
  <c r="P263" i="2"/>
  <c r="L263" i="2"/>
  <c r="N263" i="2" s="1"/>
  <c r="P262" i="2"/>
  <c r="L262" i="2"/>
  <c r="N262" i="2" s="1"/>
  <c r="P261" i="2"/>
  <c r="L261" i="2"/>
  <c r="N261" i="2" s="1"/>
  <c r="P260" i="2"/>
  <c r="L260" i="2"/>
  <c r="P259" i="2"/>
  <c r="L259" i="2"/>
  <c r="N259" i="2" s="1"/>
  <c r="P258" i="2"/>
  <c r="L258" i="2"/>
  <c r="N258" i="2" s="1"/>
  <c r="P257" i="2"/>
  <c r="L257" i="2"/>
  <c r="N257" i="2" s="1"/>
  <c r="P256" i="2"/>
  <c r="L256" i="2"/>
  <c r="P255" i="2"/>
  <c r="L255" i="2"/>
  <c r="N255" i="2" s="1"/>
  <c r="P254" i="2"/>
  <c r="L254" i="2"/>
  <c r="N254" i="2" s="1"/>
  <c r="P253" i="2"/>
  <c r="L253" i="2"/>
  <c r="N253" i="2" s="1"/>
  <c r="P252" i="2"/>
  <c r="L252" i="2"/>
  <c r="P251" i="2"/>
  <c r="L251" i="2"/>
  <c r="N251" i="2" s="1"/>
  <c r="P250" i="2"/>
  <c r="L250" i="2"/>
  <c r="N250" i="2" s="1"/>
  <c r="P249" i="2"/>
  <c r="L249" i="2"/>
  <c r="N249" i="2" s="1"/>
  <c r="P248" i="2"/>
  <c r="L248" i="2"/>
  <c r="P247" i="2"/>
  <c r="L247" i="2"/>
  <c r="N247" i="2" s="1"/>
  <c r="P246" i="2"/>
  <c r="L246" i="2"/>
  <c r="N246" i="2" s="1"/>
  <c r="P245" i="2"/>
  <c r="L245" i="2"/>
  <c r="N245" i="2" s="1"/>
  <c r="P244" i="2"/>
  <c r="L244" i="2"/>
  <c r="P243" i="2"/>
  <c r="L243" i="2"/>
  <c r="N243" i="2" s="1"/>
  <c r="P242" i="2"/>
  <c r="L242" i="2"/>
  <c r="N242" i="2" s="1"/>
  <c r="P241" i="2"/>
  <c r="L241" i="2"/>
  <c r="N241" i="2" s="1"/>
  <c r="P240" i="2"/>
  <c r="L240" i="2"/>
  <c r="P239" i="2"/>
  <c r="L239" i="2"/>
  <c r="N239" i="2" s="1"/>
  <c r="P238" i="2"/>
  <c r="L238" i="2"/>
  <c r="N238" i="2" s="1"/>
  <c r="P237" i="2"/>
  <c r="L237" i="2"/>
  <c r="N237" i="2" s="1"/>
  <c r="P236" i="2"/>
  <c r="L236" i="2"/>
  <c r="P235" i="2"/>
  <c r="L235" i="2"/>
  <c r="N235" i="2" s="1"/>
  <c r="P234" i="2"/>
  <c r="L234" i="2"/>
  <c r="N234" i="2" s="1"/>
  <c r="P233" i="2"/>
  <c r="L233" i="2"/>
  <c r="N233" i="2" s="1"/>
  <c r="P232" i="2"/>
  <c r="L232" i="2"/>
  <c r="P231" i="2"/>
  <c r="L231" i="2"/>
  <c r="N231" i="2" s="1"/>
  <c r="P230" i="2"/>
  <c r="L230" i="2"/>
  <c r="N230" i="2" s="1"/>
  <c r="P229" i="2"/>
  <c r="L229" i="2"/>
  <c r="N229" i="2" s="1"/>
  <c r="P228" i="2"/>
  <c r="L228" i="2"/>
  <c r="P227" i="2"/>
  <c r="L227" i="2"/>
  <c r="N227" i="2" s="1"/>
  <c r="P226" i="2"/>
  <c r="L226" i="2"/>
  <c r="N226" i="2" s="1"/>
  <c r="P225" i="2"/>
  <c r="L225" i="2"/>
  <c r="N225" i="2" s="1"/>
  <c r="P224" i="2"/>
  <c r="L224" i="2"/>
  <c r="P223" i="2"/>
  <c r="L223" i="2"/>
  <c r="N223" i="2" s="1"/>
  <c r="P222" i="2"/>
  <c r="L222" i="2"/>
  <c r="N222" i="2" s="1"/>
  <c r="P221" i="2"/>
  <c r="L221" i="2"/>
  <c r="N221" i="2" s="1"/>
  <c r="P220" i="2"/>
  <c r="L220" i="2"/>
  <c r="P219" i="2"/>
  <c r="L219" i="2"/>
  <c r="N219" i="2" s="1"/>
  <c r="P218" i="2"/>
  <c r="L218" i="2"/>
  <c r="N218" i="2" s="1"/>
  <c r="P217" i="2"/>
  <c r="L217" i="2"/>
  <c r="N217" i="2" s="1"/>
  <c r="P216" i="2"/>
  <c r="L216" i="2"/>
  <c r="P215" i="2"/>
  <c r="L215" i="2"/>
  <c r="N215" i="2" s="1"/>
  <c r="P214" i="2"/>
  <c r="L214" i="2"/>
  <c r="N214" i="2" s="1"/>
  <c r="P213" i="2"/>
  <c r="L213" i="2"/>
  <c r="N213" i="2" s="1"/>
  <c r="P212" i="2"/>
  <c r="L212" i="2"/>
  <c r="P211" i="2"/>
  <c r="L211" i="2"/>
  <c r="N211" i="2" s="1"/>
  <c r="P210" i="2"/>
  <c r="L210" i="2"/>
  <c r="N210" i="2" s="1"/>
  <c r="P209" i="2"/>
  <c r="L209" i="2"/>
  <c r="N209" i="2" s="1"/>
  <c r="P208" i="2"/>
  <c r="L208" i="2"/>
  <c r="P207" i="2"/>
  <c r="L207" i="2"/>
  <c r="N207" i="2" s="1"/>
  <c r="P206" i="2"/>
  <c r="L206" i="2"/>
  <c r="N206" i="2" s="1"/>
  <c r="P205" i="2"/>
  <c r="L205" i="2"/>
  <c r="N205" i="2" s="1"/>
  <c r="P204" i="2"/>
  <c r="L204" i="2"/>
  <c r="P203" i="2"/>
  <c r="L203" i="2"/>
  <c r="N203" i="2" s="1"/>
  <c r="P202" i="2"/>
  <c r="L202" i="2"/>
  <c r="N202" i="2" s="1"/>
  <c r="P201" i="2"/>
  <c r="L201" i="2"/>
  <c r="N201" i="2" s="1"/>
  <c r="P200" i="2"/>
  <c r="L200" i="2"/>
  <c r="P199" i="2"/>
  <c r="L199" i="2"/>
  <c r="N199" i="2" s="1"/>
  <c r="P198" i="2"/>
  <c r="L198" i="2"/>
  <c r="N198" i="2" s="1"/>
  <c r="P197" i="2"/>
  <c r="L197" i="2"/>
  <c r="N197" i="2" s="1"/>
  <c r="P196" i="2"/>
  <c r="L196" i="2"/>
  <c r="P195" i="2"/>
  <c r="L195" i="2"/>
  <c r="N195" i="2" s="1"/>
  <c r="P194" i="2"/>
  <c r="L194" i="2"/>
  <c r="N194" i="2" s="1"/>
  <c r="P193" i="2"/>
  <c r="L193" i="2"/>
  <c r="N193" i="2" s="1"/>
  <c r="P192" i="2"/>
  <c r="L192" i="2"/>
  <c r="P191" i="2"/>
  <c r="L191" i="2"/>
  <c r="N191" i="2" s="1"/>
  <c r="P190" i="2"/>
  <c r="L190" i="2"/>
  <c r="N190" i="2" s="1"/>
  <c r="P189" i="2"/>
  <c r="L189" i="2"/>
  <c r="P188" i="2"/>
  <c r="L188" i="2"/>
  <c r="N188" i="2" s="1"/>
  <c r="P187" i="2"/>
  <c r="L187" i="2"/>
  <c r="N187" i="2" s="1"/>
  <c r="P186" i="2"/>
  <c r="L186" i="2"/>
  <c r="P185" i="2"/>
  <c r="L185" i="2"/>
  <c r="P184" i="2"/>
  <c r="L184" i="2"/>
  <c r="N184" i="2" s="1"/>
  <c r="P183" i="2"/>
  <c r="L183" i="2"/>
  <c r="N183" i="2" s="1"/>
  <c r="P182" i="2"/>
  <c r="L182" i="2"/>
  <c r="N182" i="2" s="1"/>
  <c r="P181" i="2"/>
  <c r="L181" i="2"/>
  <c r="P180" i="2"/>
  <c r="L180" i="2"/>
  <c r="N180" i="2" s="1"/>
  <c r="P179" i="2"/>
  <c r="L179" i="2"/>
  <c r="N179" i="2" s="1"/>
  <c r="P178" i="2"/>
  <c r="L178" i="2"/>
  <c r="P177" i="2"/>
  <c r="L177" i="2"/>
  <c r="P176" i="2"/>
  <c r="L176" i="2"/>
  <c r="N176" i="2" s="1"/>
  <c r="P175" i="2"/>
  <c r="L175" i="2"/>
  <c r="N175" i="2" s="1"/>
  <c r="P174" i="2"/>
  <c r="L174" i="2"/>
  <c r="N174" i="2" s="1"/>
  <c r="P173" i="2"/>
  <c r="L173" i="2"/>
  <c r="P172" i="2"/>
  <c r="L172" i="2"/>
  <c r="N172" i="2" s="1"/>
  <c r="P171" i="2"/>
  <c r="L171" i="2"/>
  <c r="N171" i="2" s="1"/>
  <c r="P170" i="2"/>
  <c r="L170" i="2"/>
  <c r="P169" i="2"/>
  <c r="L169" i="2"/>
  <c r="P168" i="2"/>
  <c r="L168" i="2"/>
  <c r="N168" i="2" s="1"/>
  <c r="P167" i="2"/>
  <c r="L167" i="2"/>
  <c r="N167" i="2" s="1"/>
  <c r="P166" i="2"/>
  <c r="L166" i="2"/>
  <c r="N166" i="2" s="1"/>
  <c r="P165" i="2"/>
  <c r="L165" i="2"/>
  <c r="P164" i="2"/>
  <c r="L164" i="2"/>
  <c r="N164" i="2" s="1"/>
  <c r="P163" i="2"/>
  <c r="L163" i="2"/>
  <c r="N163" i="2" s="1"/>
  <c r="P162" i="2"/>
  <c r="L162" i="2"/>
  <c r="P161" i="2"/>
  <c r="L161" i="2"/>
  <c r="P160" i="2"/>
  <c r="L160" i="2"/>
  <c r="N160" i="2" s="1"/>
  <c r="P159" i="2"/>
  <c r="L159" i="2"/>
  <c r="N159" i="2" s="1"/>
  <c r="P158" i="2"/>
  <c r="L158" i="2"/>
  <c r="N158" i="2" s="1"/>
  <c r="P157" i="2"/>
  <c r="L157" i="2"/>
  <c r="P156" i="2"/>
  <c r="L156" i="2"/>
  <c r="N156" i="2" s="1"/>
  <c r="P155" i="2"/>
  <c r="L155" i="2"/>
  <c r="N155" i="2" s="1"/>
  <c r="P154" i="2"/>
  <c r="L154" i="2"/>
  <c r="P153" i="2"/>
  <c r="L153" i="2"/>
  <c r="P152" i="2"/>
  <c r="L152" i="2"/>
  <c r="N152" i="2" s="1"/>
  <c r="P151" i="2"/>
  <c r="L151" i="2"/>
  <c r="N151" i="2" s="1"/>
  <c r="P150" i="2"/>
  <c r="L150" i="2"/>
  <c r="N150" i="2" s="1"/>
  <c r="P149" i="2"/>
  <c r="L149" i="2"/>
  <c r="P148" i="2"/>
  <c r="L148" i="2"/>
  <c r="N148" i="2" s="1"/>
  <c r="P147" i="2"/>
  <c r="L147" i="2"/>
  <c r="N147" i="2" s="1"/>
  <c r="P146" i="2"/>
  <c r="L146" i="2"/>
  <c r="N146" i="2" s="1"/>
  <c r="J146" i="2"/>
  <c r="P145" i="2"/>
  <c r="L145" i="2"/>
  <c r="O145" i="2" s="1"/>
  <c r="J145" i="2"/>
  <c r="P144" i="2"/>
  <c r="L144" i="2"/>
  <c r="N144" i="2" s="1"/>
  <c r="J144" i="2"/>
  <c r="P143" i="2"/>
  <c r="L143" i="2"/>
  <c r="N143" i="2" s="1"/>
  <c r="J143" i="2"/>
  <c r="P142" i="2"/>
  <c r="L142" i="2"/>
  <c r="N142" i="2" s="1"/>
  <c r="J142" i="2"/>
  <c r="P141" i="2"/>
  <c r="L141" i="2"/>
  <c r="O141" i="2" s="1"/>
  <c r="J141" i="2"/>
  <c r="P140" i="2"/>
  <c r="L140" i="2"/>
  <c r="N140" i="2" s="1"/>
  <c r="J140" i="2"/>
  <c r="P139" i="2"/>
  <c r="L139" i="2"/>
  <c r="O139" i="2" s="1"/>
  <c r="J139" i="2"/>
  <c r="P138" i="2"/>
  <c r="L138" i="2"/>
  <c r="N138" i="2" s="1"/>
  <c r="J138" i="2"/>
  <c r="P137" i="2"/>
  <c r="L137" i="2"/>
  <c r="O137" i="2" s="1"/>
  <c r="J137" i="2"/>
  <c r="P136" i="2"/>
  <c r="L136" i="2"/>
  <c r="N136" i="2" s="1"/>
  <c r="J136" i="2"/>
  <c r="P135" i="2"/>
  <c r="L135" i="2"/>
  <c r="N135" i="2" s="1"/>
  <c r="J135" i="2"/>
  <c r="P134" i="2"/>
  <c r="L134" i="2"/>
  <c r="J134" i="2"/>
  <c r="P133" i="2"/>
  <c r="L133" i="2"/>
  <c r="O133" i="2" s="1"/>
  <c r="J133" i="2"/>
  <c r="P132" i="2"/>
  <c r="L132" i="2"/>
  <c r="J132" i="2"/>
  <c r="P131" i="2"/>
  <c r="L131" i="2"/>
  <c r="O131" i="2" s="1"/>
  <c r="J131" i="2"/>
  <c r="P130" i="2"/>
  <c r="L130" i="2"/>
  <c r="N130" i="2" s="1"/>
  <c r="J130" i="2"/>
  <c r="P129" i="2"/>
  <c r="L129" i="2"/>
  <c r="O129" i="2" s="1"/>
  <c r="J129" i="2"/>
  <c r="P128" i="2"/>
  <c r="L128" i="2"/>
  <c r="N128" i="2" s="1"/>
  <c r="J128" i="2"/>
  <c r="P127" i="2"/>
  <c r="L127" i="2"/>
  <c r="N127" i="2" s="1"/>
  <c r="J127" i="2"/>
  <c r="P126" i="2"/>
  <c r="L126" i="2"/>
  <c r="N126" i="2" s="1"/>
  <c r="J126" i="2"/>
  <c r="P125" i="2"/>
  <c r="L125" i="2"/>
  <c r="O125" i="2" s="1"/>
  <c r="J125" i="2"/>
  <c r="P124" i="2"/>
  <c r="L124" i="2"/>
  <c r="N124" i="2" s="1"/>
  <c r="J124" i="2"/>
  <c r="P123" i="2"/>
  <c r="L123" i="2"/>
  <c r="O123" i="2" s="1"/>
  <c r="J123" i="2"/>
  <c r="P122" i="2"/>
  <c r="L122" i="2"/>
  <c r="N122" i="2" s="1"/>
  <c r="J122" i="2"/>
  <c r="P121" i="2"/>
  <c r="L121" i="2"/>
  <c r="O121" i="2" s="1"/>
  <c r="J121" i="2"/>
  <c r="P120" i="2"/>
  <c r="L120" i="2"/>
  <c r="N120" i="2" s="1"/>
  <c r="J120" i="2"/>
  <c r="P119" i="2"/>
  <c r="L119" i="2"/>
  <c r="O119" i="2" s="1"/>
  <c r="J119" i="2"/>
  <c r="P118" i="2"/>
  <c r="L118" i="2"/>
  <c r="J118" i="2"/>
  <c r="P117" i="2"/>
  <c r="L117" i="2"/>
  <c r="O117" i="2" s="1"/>
  <c r="J117" i="2"/>
  <c r="P116" i="2"/>
  <c r="L116" i="2"/>
  <c r="J116" i="2"/>
  <c r="P115" i="2"/>
  <c r="L115" i="2"/>
  <c r="N115" i="2" s="1"/>
  <c r="J115" i="2"/>
  <c r="Q114" i="2"/>
  <c r="P114" i="2"/>
  <c r="L114" i="2"/>
  <c r="O114" i="2" s="1"/>
  <c r="J114" i="2"/>
  <c r="P113" i="2"/>
  <c r="L113" i="2"/>
  <c r="N113" i="2" s="1"/>
  <c r="J113" i="2"/>
  <c r="P112" i="2"/>
  <c r="L112" i="2"/>
  <c r="O112" i="2" s="1"/>
  <c r="J112" i="2"/>
  <c r="P111" i="2"/>
  <c r="L111" i="2"/>
  <c r="N111" i="2" s="1"/>
  <c r="J111" i="2"/>
  <c r="Q110" i="2"/>
  <c r="P110" i="2"/>
  <c r="L110" i="2"/>
  <c r="J110" i="2"/>
  <c r="P109" i="2"/>
  <c r="L109" i="2"/>
  <c r="O109" i="2" s="1"/>
  <c r="J109" i="2"/>
  <c r="P108" i="2"/>
  <c r="L108" i="2"/>
  <c r="N108" i="2" s="1"/>
  <c r="J108" i="2"/>
  <c r="P107" i="2"/>
  <c r="L107" i="2"/>
  <c r="O107" i="2" s="1"/>
  <c r="J107" i="2"/>
  <c r="P106" i="2"/>
  <c r="L106" i="2"/>
  <c r="N106" i="2" s="1"/>
  <c r="J106" i="2"/>
  <c r="P105" i="2"/>
  <c r="L105" i="2"/>
  <c r="O105" i="2" s="1"/>
  <c r="J105" i="2"/>
  <c r="P104" i="2"/>
  <c r="L104" i="2"/>
  <c r="N104" i="2" s="1"/>
  <c r="J104" i="2"/>
  <c r="P103" i="2"/>
  <c r="L103" i="2"/>
  <c r="O103" i="2" s="1"/>
  <c r="J103" i="2"/>
  <c r="P102" i="2"/>
  <c r="L102" i="2"/>
  <c r="N102" i="2" s="1"/>
  <c r="J102" i="2"/>
  <c r="P101" i="2"/>
  <c r="L101" i="2"/>
  <c r="N101" i="2" s="1"/>
  <c r="J101" i="2"/>
  <c r="P100" i="2"/>
  <c r="L100" i="2"/>
  <c r="N100" i="2" s="1"/>
  <c r="J100" i="2"/>
  <c r="P99" i="2"/>
  <c r="L99" i="2"/>
  <c r="O99" i="2" s="1"/>
  <c r="J99" i="2"/>
  <c r="P98" i="2"/>
  <c r="L98" i="2"/>
  <c r="N98" i="2" s="1"/>
  <c r="J98" i="2"/>
  <c r="P97" i="2"/>
  <c r="L97" i="2"/>
  <c r="O97" i="2" s="1"/>
  <c r="J97" i="2"/>
  <c r="P96" i="2"/>
  <c r="L96" i="2"/>
  <c r="J96" i="2"/>
  <c r="P95" i="2"/>
  <c r="L95" i="2"/>
  <c r="O95" i="2" s="1"/>
  <c r="J95" i="2"/>
  <c r="P94" i="2"/>
  <c r="L94" i="2"/>
  <c r="J94" i="2"/>
  <c r="P93" i="2"/>
  <c r="L93" i="2"/>
  <c r="O93" i="2" s="1"/>
  <c r="J93" i="2"/>
  <c r="P92" i="2"/>
  <c r="L92" i="2"/>
  <c r="N92" i="2" s="1"/>
  <c r="J92" i="2"/>
  <c r="P91" i="2"/>
  <c r="L91" i="2"/>
  <c r="O91" i="2" s="1"/>
  <c r="J91" i="2"/>
  <c r="P90" i="2"/>
  <c r="L90" i="2"/>
  <c r="N90" i="2" s="1"/>
  <c r="J90" i="2"/>
  <c r="P89" i="2"/>
  <c r="L89" i="2"/>
  <c r="O89" i="2" s="1"/>
  <c r="J89" i="2"/>
  <c r="P88" i="2"/>
  <c r="L88" i="2"/>
  <c r="N88" i="2" s="1"/>
  <c r="J88" i="2"/>
  <c r="P87" i="2"/>
  <c r="L87" i="2"/>
  <c r="O87" i="2" s="1"/>
  <c r="J87" i="2"/>
  <c r="P86" i="2"/>
  <c r="L86" i="2"/>
  <c r="N86" i="2" s="1"/>
  <c r="J86" i="2"/>
  <c r="P85" i="2"/>
  <c r="L85" i="2"/>
  <c r="N85" i="2" s="1"/>
  <c r="J85" i="2"/>
  <c r="P84" i="2"/>
  <c r="L84" i="2"/>
  <c r="N84" i="2" s="1"/>
  <c r="J84" i="2"/>
  <c r="P83" i="2"/>
  <c r="L83" i="2"/>
  <c r="O83" i="2" s="1"/>
  <c r="J83" i="2"/>
  <c r="P82" i="2"/>
  <c r="L82" i="2"/>
  <c r="N82" i="2" s="1"/>
  <c r="J82" i="2"/>
  <c r="P81" i="2"/>
  <c r="L81" i="2"/>
  <c r="O81" i="2" s="1"/>
  <c r="J81" i="2"/>
  <c r="P80" i="2"/>
  <c r="L80" i="2"/>
  <c r="J80" i="2"/>
  <c r="P79" i="2"/>
  <c r="L79" i="2"/>
  <c r="O79" i="2" s="1"/>
  <c r="J79" i="2"/>
  <c r="P78" i="2"/>
  <c r="L78" i="2"/>
  <c r="J78" i="2"/>
  <c r="J77" i="2"/>
  <c r="J76" i="2"/>
  <c r="J75" i="2"/>
  <c r="F75" i="2"/>
  <c r="L77" i="2" s="1"/>
  <c r="J74" i="2"/>
  <c r="F74" i="2"/>
  <c r="P76" i="2" s="1"/>
  <c r="J73" i="2"/>
  <c r="F73" i="2"/>
  <c r="L75" i="2" s="1"/>
  <c r="J72" i="2"/>
  <c r="F72" i="2"/>
  <c r="L74" i="2" s="1"/>
  <c r="O74" i="2" s="1"/>
  <c r="J71" i="2"/>
  <c r="F71" i="2"/>
  <c r="P73" i="2" s="1"/>
  <c r="J70" i="2"/>
  <c r="F70" i="2"/>
  <c r="L72" i="2" s="1"/>
  <c r="O72" i="2" s="1"/>
  <c r="J69" i="2"/>
  <c r="F69" i="2"/>
  <c r="P71" i="2" s="1"/>
  <c r="J68" i="2"/>
  <c r="F68" i="2"/>
  <c r="J67" i="2"/>
  <c r="F67" i="2"/>
  <c r="L69" i="2" s="1"/>
  <c r="J66" i="2"/>
  <c r="F66" i="2"/>
  <c r="L68" i="2" s="1"/>
  <c r="N68" i="2" s="1"/>
  <c r="J65" i="2"/>
  <c r="F65" i="2"/>
  <c r="P67" i="2" s="1"/>
  <c r="J64" i="2"/>
  <c r="F64" i="2"/>
  <c r="J63" i="2"/>
  <c r="F63" i="2"/>
  <c r="L65" i="2" s="1"/>
  <c r="J62" i="2"/>
  <c r="F62" i="2"/>
  <c r="L64" i="2" s="1"/>
  <c r="N64" i="2" s="1"/>
  <c r="J61" i="2"/>
  <c r="F61" i="2"/>
  <c r="P63" i="2" s="1"/>
  <c r="J60" i="2"/>
  <c r="F60" i="2"/>
  <c r="J59" i="2"/>
  <c r="F59" i="2"/>
  <c r="L61" i="2" s="1"/>
  <c r="J58" i="2"/>
  <c r="F58" i="2"/>
  <c r="L60" i="2" s="1"/>
  <c r="N60" i="2" s="1"/>
  <c r="J57" i="2"/>
  <c r="F57" i="2"/>
  <c r="L59" i="2" s="1"/>
  <c r="O59" i="2" s="1"/>
  <c r="J56" i="2"/>
  <c r="F56" i="2"/>
  <c r="J55" i="2"/>
  <c r="F55" i="2"/>
  <c r="L57" i="2" s="1"/>
  <c r="J54" i="2"/>
  <c r="F54" i="2"/>
  <c r="L56" i="2" s="1"/>
  <c r="N56" i="2" s="1"/>
  <c r="J53" i="2"/>
  <c r="F53" i="2"/>
  <c r="P55" i="2" s="1"/>
  <c r="J52" i="2"/>
  <c r="F52" i="2"/>
  <c r="J51" i="2"/>
  <c r="F51" i="2"/>
  <c r="L53" i="2" s="1"/>
  <c r="J50" i="2"/>
  <c r="F50" i="2"/>
  <c r="L52" i="2" s="1"/>
  <c r="N52" i="2" s="1"/>
  <c r="J49" i="2"/>
  <c r="F49" i="2"/>
  <c r="L51" i="2" s="1"/>
  <c r="O51" i="2" s="1"/>
  <c r="J48" i="2"/>
  <c r="F48" i="2"/>
  <c r="J47" i="2"/>
  <c r="F47" i="2"/>
  <c r="L49" i="2" s="1"/>
  <c r="J46" i="2"/>
  <c r="F46" i="2"/>
  <c r="L48" i="2" s="1"/>
  <c r="N48" i="2" s="1"/>
  <c r="J45" i="2"/>
  <c r="F45" i="2"/>
  <c r="P47" i="2" s="1"/>
  <c r="J44" i="2"/>
  <c r="F44" i="2"/>
  <c r="J43" i="2"/>
  <c r="F43" i="2"/>
  <c r="L45" i="2" s="1"/>
  <c r="J42" i="2"/>
  <c r="F42" i="2"/>
  <c r="L44" i="2" s="1"/>
  <c r="N44" i="2" s="1"/>
  <c r="J41" i="2"/>
  <c r="F41" i="2"/>
  <c r="L43" i="2" s="1"/>
  <c r="O43" i="2" s="1"/>
  <c r="J40" i="2"/>
  <c r="F40" i="2"/>
  <c r="J39" i="2"/>
  <c r="F39" i="2"/>
  <c r="P41" i="2" s="1"/>
  <c r="J38" i="2"/>
  <c r="F38" i="2"/>
  <c r="L40" i="2" s="1"/>
  <c r="N40" i="2" s="1"/>
  <c r="J37" i="2"/>
  <c r="F37" i="2"/>
  <c r="L39" i="2" s="1"/>
  <c r="O39" i="2" s="1"/>
  <c r="J36" i="2"/>
  <c r="F36" i="2"/>
  <c r="J35" i="2"/>
  <c r="F35" i="2"/>
  <c r="P37" i="2" s="1"/>
  <c r="J34" i="2"/>
  <c r="F34" i="2"/>
  <c r="L36" i="2" s="1"/>
  <c r="N36" i="2" s="1"/>
  <c r="J33" i="2"/>
  <c r="F33" i="2"/>
  <c r="P35" i="2" s="1"/>
  <c r="J32" i="2"/>
  <c r="F32" i="2"/>
  <c r="J31" i="2"/>
  <c r="F31" i="2"/>
  <c r="P33" i="2" s="1"/>
  <c r="O30" i="2"/>
  <c r="N30" i="2"/>
  <c r="J30" i="2"/>
  <c r="F30" i="2"/>
  <c r="L32" i="2" s="1"/>
  <c r="N32" i="2" s="1"/>
  <c r="J29" i="2"/>
  <c r="F29" i="2"/>
  <c r="L31" i="2" s="1"/>
  <c r="J28" i="2"/>
  <c r="F28" i="2"/>
  <c r="P30" i="2" s="1"/>
  <c r="J27" i="2"/>
  <c r="F27" i="2"/>
  <c r="L29" i="2" s="1"/>
  <c r="N29" i="2" s="1"/>
  <c r="J26" i="2"/>
  <c r="F26" i="2"/>
  <c r="P28" i="2" s="1"/>
  <c r="J25" i="2"/>
  <c r="F25" i="2"/>
  <c r="L27" i="2" s="1"/>
  <c r="J24" i="2"/>
  <c r="F24" i="2"/>
  <c r="P26" i="2" s="1"/>
  <c r="J23" i="2"/>
  <c r="F23" i="2"/>
  <c r="L25" i="2" s="1"/>
  <c r="N25" i="2" s="1"/>
  <c r="J22" i="2"/>
  <c r="F22" i="2"/>
  <c r="P24" i="2" s="1"/>
  <c r="J21" i="2"/>
  <c r="F21" i="2"/>
  <c r="L23" i="2" s="1"/>
  <c r="J20" i="2"/>
  <c r="F20" i="2"/>
  <c r="P22" i="2" s="1"/>
  <c r="J19" i="2"/>
  <c r="F19" i="2"/>
  <c r="L21" i="2" s="1"/>
  <c r="N21" i="2" s="1"/>
  <c r="J18" i="2"/>
  <c r="F18" i="2"/>
  <c r="P20" i="2" s="1"/>
  <c r="J17" i="2"/>
  <c r="F17" i="2"/>
  <c r="L19" i="2" s="1"/>
  <c r="J16" i="2"/>
  <c r="F16" i="2"/>
  <c r="P18" i="2" s="1"/>
  <c r="J15" i="2"/>
  <c r="F15" i="2"/>
  <c r="L17" i="2" s="1"/>
  <c r="N17" i="2" s="1"/>
  <c r="J14" i="2"/>
  <c r="F14" i="2"/>
  <c r="P16" i="2" s="1"/>
  <c r="P13" i="2"/>
  <c r="L13" i="2"/>
  <c r="N13" i="2" s="1"/>
  <c r="J13" i="2"/>
  <c r="F13" i="2"/>
  <c r="L15" i="2" s="1"/>
  <c r="P12" i="2"/>
  <c r="L12" i="2"/>
  <c r="N12" i="2" s="1"/>
  <c r="J12" i="2"/>
  <c r="F12" i="2"/>
  <c r="P14" i="2" s="1"/>
  <c r="J11" i="2"/>
  <c r="F11" i="2"/>
  <c r="P11" i="2" s="1"/>
  <c r="J10" i="2"/>
  <c r="F10" i="2"/>
  <c r="P10" i="2" s="1"/>
  <c r="J9" i="2"/>
  <c r="F9" i="2"/>
  <c r="L9" i="2" s="1"/>
  <c r="C5" i="2"/>
  <c r="N545" i="2" l="1"/>
  <c r="P51" i="2"/>
  <c r="N81" i="2"/>
  <c r="O90" i="2"/>
  <c r="N91" i="2"/>
  <c r="O92" i="2"/>
  <c r="N93" i="2"/>
  <c r="O231" i="2"/>
  <c r="L67" i="2"/>
  <c r="O67" i="2" s="1"/>
  <c r="O769" i="2"/>
  <c r="O130" i="2"/>
  <c r="N131" i="2"/>
  <c r="O175" i="2"/>
  <c r="N604" i="2"/>
  <c r="O673" i="2"/>
  <c r="O797" i="2"/>
  <c r="N836" i="2"/>
  <c r="O128" i="2"/>
  <c r="N449" i="2"/>
  <c r="L33" i="2"/>
  <c r="O33" i="2" s="1"/>
  <c r="O199" i="2"/>
  <c r="O263" i="2"/>
  <c r="N296" i="2"/>
  <c r="N481" i="2"/>
  <c r="O601" i="2"/>
  <c r="N636" i="2"/>
  <c r="O705" i="2"/>
  <c r="N868" i="2"/>
  <c r="O127" i="2"/>
  <c r="N129" i="2"/>
  <c r="O247" i="2"/>
  <c r="L11" i="2"/>
  <c r="N11" i="2" s="1"/>
  <c r="L10" i="2"/>
  <c r="O10" i="2" s="1"/>
  <c r="P27" i="2"/>
  <c r="O215" i="2"/>
  <c r="O279" i="2"/>
  <c r="N529" i="2"/>
  <c r="N594" i="2"/>
  <c r="O737" i="2"/>
  <c r="N97" i="2"/>
  <c r="N457" i="2"/>
  <c r="N497" i="2"/>
  <c r="N561" i="2"/>
  <c r="N582" i="2"/>
  <c r="N598" i="2"/>
  <c r="N612" i="2"/>
  <c r="N644" i="2"/>
  <c r="O681" i="2"/>
  <c r="O713" i="2"/>
  <c r="O745" i="2"/>
  <c r="O777" i="2"/>
  <c r="O801" i="2"/>
  <c r="N812" i="2"/>
  <c r="N844" i="2"/>
  <c r="N876" i="2"/>
  <c r="P39" i="2"/>
  <c r="L55" i="2"/>
  <c r="O55" i="2" s="1"/>
  <c r="L71" i="2"/>
  <c r="O71" i="2" s="1"/>
  <c r="O101" i="2"/>
  <c r="O143" i="2"/>
  <c r="O144" i="2"/>
  <c r="N145" i="2"/>
  <c r="O146" i="2"/>
  <c r="O163" i="2"/>
  <c r="O193" i="2"/>
  <c r="O209" i="2"/>
  <c r="O225" i="2"/>
  <c r="O241" i="2"/>
  <c r="O257" i="2"/>
  <c r="O273" i="2"/>
  <c r="N465" i="2"/>
  <c r="N513" i="2"/>
  <c r="N577" i="2"/>
  <c r="N586" i="2"/>
  <c r="N620" i="2"/>
  <c r="N648" i="2"/>
  <c r="O657" i="2"/>
  <c r="O689" i="2"/>
  <c r="O721" i="2"/>
  <c r="O753" i="2"/>
  <c r="O785" i="2"/>
  <c r="N820" i="2"/>
  <c r="N852" i="2"/>
  <c r="N886" i="2"/>
  <c r="N99" i="2"/>
  <c r="O100" i="2"/>
  <c r="P36" i="2"/>
  <c r="P43" i="2"/>
  <c r="P59" i="2"/>
  <c r="O115" i="2"/>
  <c r="N133" i="2"/>
  <c r="O158" i="2"/>
  <c r="O167" i="2"/>
  <c r="O190" i="2"/>
  <c r="O195" i="2"/>
  <c r="O206" i="2"/>
  <c r="O211" i="2"/>
  <c r="O222" i="2"/>
  <c r="O227" i="2"/>
  <c r="O238" i="2"/>
  <c r="O243" i="2"/>
  <c r="O254" i="2"/>
  <c r="O259" i="2"/>
  <c r="O270" i="2"/>
  <c r="O275" i="2"/>
  <c r="N288" i="2"/>
  <c r="N445" i="2"/>
  <c r="N473" i="2"/>
  <c r="N590" i="2"/>
  <c r="O602" i="2"/>
  <c r="N628" i="2"/>
  <c r="N652" i="2"/>
  <c r="O665" i="2"/>
  <c r="O697" i="2"/>
  <c r="O729" i="2"/>
  <c r="O761" i="2"/>
  <c r="O793" i="2"/>
  <c r="N828" i="2"/>
  <c r="N860" i="2"/>
  <c r="O13" i="2"/>
  <c r="O32" i="2"/>
  <c r="P52" i="2"/>
  <c r="P68" i="2"/>
  <c r="O85" i="2"/>
  <c r="O86" i="2"/>
  <c r="N87" i="2"/>
  <c r="O88" i="2"/>
  <c r="N89" i="2"/>
  <c r="N95" i="2"/>
  <c r="O102" i="2"/>
  <c r="N103" i="2"/>
  <c r="O104" i="2"/>
  <c r="N105" i="2"/>
  <c r="O135" i="2"/>
  <c r="O151" i="2"/>
  <c r="O183" i="2"/>
  <c r="O203" i="2"/>
  <c r="O219" i="2"/>
  <c r="O235" i="2"/>
  <c r="O251" i="2"/>
  <c r="O267" i="2"/>
  <c r="N290" i="2"/>
  <c r="N446" i="2"/>
  <c r="N451" i="2"/>
  <c r="N467" i="2"/>
  <c r="N485" i="2"/>
  <c r="N517" i="2"/>
  <c r="N549" i="2"/>
  <c r="N581" i="2"/>
  <c r="N589" i="2"/>
  <c r="N597" i="2"/>
  <c r="N611" i="2"/>
  <c r="N627" i="2"/>
  <c r="N643" i="2"/>
  <c r="N651" i="2"/>
  <c r="O663" i="2"/>
  <c r="O679" i="2"/>
  <c r="O695" i="2"/>
  <c r="O711" i="2"/>
  <c r="O727" i="2"/>
  <c r="O743" i="2"/>
  <c r="O759" i="2"/>
  <c r="O775" i="2"/>
  <c r="O791" i="2"/>
  <c r="O794" i="2"/>
  <c r="O802" i="2"/>
  <c r="N818" i="2"/>
  <c r="N834" i="2"/>
  <c r="N850" i="2"/>
  <c r="N866" i="2"/>
  <c r="N882" i="2"/>
  <c r="P56" i="2"/>
  <c r="N10" i="2"/>
  <c r="L47" i="2"/>
  <c r="O47" i="2" s="1"/>
  <c r="P48" i="2"/>
  <c r="L63" i="2"/>
  <c r="O63" i="2" s="1"/>
  <c r="P64" i="2"/>
  <c r="P15" i="2"/>
  <c r="L37" i="2"/>
  <c r="L41" i="2"/>
  <c r="O41" i="2" s="1"/>
  <c r="P44" i="2"/>
  <c r="P60" i="2"/>
  <c r="L76" i="2"/>
  <c r="N76" i="2" s="1"/>
  <c r="N117" i="2"/>
  <c r="O159" i="2"/>
  <c r="O166" i="2"/>
  <c r="O171" i="2"/>
  <c r="O191" i="2"/>
  <c r="O194" i="2"/>
  <c r="O197" i="2"/>
  <c r="O207" i="2"/>
  <c r="O210" i="2"/>
  <c r="O213" i="2"/>
  <c r="O223" i="2"/>
  <c r="O226" i="2"/>
  <c r="O229" i="2"/>
  <c r="O239" i="2"/>
  <c r="O242" i="2"/>
  <c r="O245" i="2"/>
  <c r="O255" i="2"/>
  <c r="O258" i="2"/>
  <c r="O261" i="2"/>
  <c r="O271" i="2"/>
  <c r="O274" i="2"/>
  <c r="O277" i="2"/>
  <c r="O282" i="2"/>
  <c r="N298" i="2"/>
  <c r="N459" i="2"/>
  <c r="N475" i="2"/>
  <c r="N501" i="2"/>
  <c r="N533" i="2"/>
  <c r="N565" i="2"/>
  <c r="N585" i="2"/>
  <c r="N593" i="2"/>
  <c r="N603" i="2"/>
  <c r="N619" i="2"/>
  <c r="N635" i="2"/>
  <c r="N647" i="2"/>
  <c r="O655" i="2"/>
  <c r="O671" i="2"/>
  <c r="O687" i="2"/>
  <c r="O703" i="2"/>
  <c r="O719" i="2"/>
  <c r="O735" i="2"/>
  <c r="O751" i="2"/>
  <c r="O767" i="2"/>
  <c r="O783" i="2"/>
  <c r="O798" i="2"/>
  <c r="N810" i="2"/>
  <c r="N826" i="2"/>
  <c r="N842" i="2"/>
  <c r="N858" i="2"/>
  <c r="N874" i="2"/>
  <c r="O61" i="2"/>
  <c r="N61" i="2"/>
  <c r="O49" i="2"/>
  <c r="N49" i="2"/>
  <c r="O75" i="2"/>
  <c r="N75" i="2"/>
  <c r="O45" i="2"/>
  <c r="N45" i="2"/>
  <c r="O57" i="2"/>
  <c r="N57" i="2"/>
  <c r="O65" i="2"/>
  <c r="N65" i="2"/>
  <c r="O53" i="2"/>
  <c r="N53" i="2"/>
  <c r="O69" i="2"/>
  <c r="N69" i="2"/>
  <c r="O12" i="2"/>
  <c r="L35" i="2"/>
  <c r="O35" i="2" s="1"/>
  <c r="O36" i="2"/>
  <c r="P40" i="2"/>
  <c r="P45" i="2"/>
  <c r="P49" i="2"/>
  <c r="P53" i="2"/>
  <c r="P57" i="2"/>
  <c r="P61" i="2"/>
  <c r="P65" i="2"/>
  <c r="P69" i="2"/>
  <c r="P77" i="2"/>
  <c r="O106" i="2"/>
  <c r="N107" i="2"/>
  <c r="O108" i="2"/>
  <c r="N109" i="2"/>
  <c r="N112" i="2"/>
  <c r="N123" i="2"/>
  <c r="N139" i="2"/>
  <c r="O150" i="2"/>
  <c r="O155" i="2"/>
  <c r="N162" i="2"/>
  <c r="O162" i="2"/>
  <c r="O182" i="2"/>
  <c r="O187" i="2"/>
  <c r="N192" i="2"/>
  <c r="O192" i="2"/>
  <c r="O202" i="2"/>
  <c r="O205" i="2"/>
  <c r="N208" i="2"/>
  <c r="O208" i="2"/>
  <c r="O218" i="2"/>
  <c r="O221" i="2"/>
  <c r="N224" i="2"/>
  <c r="O224" i="2"/>
  <c r="O234" i="2"/>
  <c r="O237" i="2"/>
  <c r="N240" i="2"/>
  <c r="O240" i="2"/>
  <c r="O250" i="2"/>
  <c r="O253" i="2"/>
  <c r="N256" i="2"/>
  <c r="O256" i="2"/>
  <c r="O266" i="2"/>
  <c r="O269" i="2"/>
  <c r="N272" i="2"/>
  <c r="O272" i="2"/>
  <c r="N292" i="2"/>
  <c r="O294" i="2"/>
  <c r="N294" i="2"/>
  <c r="O453" i="2"/>
  <c r="N453" i="2"/>
  <c r="O469" i="2"/>
  <c r="N469" i="2"/>
  <c r="O489" i="2"/>
  <c r="N489" i="2"/>
  <c r="O521" i="2"/>
  <c r="N521" i="2"/>
  <c r="O553" i="2"/>
  <c r="N553" i="2"/>
  <c r="N796" i="2"/>
  <c r="O796" i="2"/>
  <c r="P75" i="2"/>
  <c r="N196" i="2"/>
  <c r="O196" i="2"/>
  <c r="N212" i="2"/>
  <c r="O212" i="2"/>
  <c r="N228" i="2"/>
  <c r="O228" i="2"/>
  <c r="N244" i="2"/>
  <c r="O244" i="2"/>
  <c r="N260" i="2"/>
  <c r="O260" i="2"/>
  <c r="O862" i="2"/>
  <c r="N862" i="2"/>
  <c r="O878" i="2"/>
  <c r="N878" i="2"/>
  <c r="L73" i="2"/>
  <c r="N83" i="2"/>
  <c r="O84" i="2"/>
  <c r="O113" i="2"/>
  <c r="N114" i="2"/>
  <c r="N119" i="2"/>
  <c r="N121" i="2"/>
  <c r="O124" i="2"/>
  <c r="N125" i="2"/>
  <c r="O126" i="2"/>
  <c r="N137" i="2"/>
  <c r="O140" i="2"/>
  <c r="N141" i="2"/>
  <c r="O142" i="2"/>
  <c r="O147" i="2"/>
  <c r="N154" i="2"/>
  <c r="O154" i="2"/>
  <c r="O174" i="2"/>
  <c r="O179" i="2"/>
  <c r="N186" i="2"/>
  <c r="O186" i="2"/>
  <c r="O198" i="2"/>
  <c r="O201" i="2"/>
  <c r="N204" i="2"/>
  <c r="O204" i="2"/>
  <c r="O214" i="2"/>
  <c r="O217" i="2"/>
  <c r="N220" i="2"/>
  <c r="O220" i="2"/>
  <c r="O230" i="2"/>
  <c r="O233" i="2"/>
  <c r="N236" i="2"/>
  <c r="O236" i="2"/>
  <c r="O246" i="2"/>
  <c r="O249" i="2"/>
  <c r="N252" i="2"/>
  <c r="O252" i="2"/>
  <c r="O262" i="2"/>
  <c r="O265" i="2"/>
  <c r="N268" i="2"/>
  <c r="O268" i="2"/>
  <c r="O278" i="2"/>
  <c r="O281" i="2"/>
  <c r="N284" i="2"/>
  <c r="O286" i="2"/>
  <c r="N286" i="2"/>
  <c r="O588" i="2"/>
  <c r="N588" i="2"/>
  <c r="O596" i="2"/>
  <c r="N596" i="2"/>
  <c r="O608" i="2"/>
  <c r="N608" i="2"/>
  <c r="O624" i="2"/>
  <c r="N624" i="2"/>
  <c r="O640" i="2"/>
  <c r="N640" i="2"/>
  <c r="O650" i="2"/>
  <c r="N650" i="2"/>
  <c r="N667" i="2"/>
  <c r="O667" i="2"/>
  <c r="N683" i="2"/>
  <c r="O683" i="2"/>
  <c r="N699" i="2"/>
  <c r="O699" i="2"/>
  <c r="N715" i="2"/>
  <c r="O715" i="2"/>
  <c r="N731" i="2"/>
  <c r="O731" i="2"/>
  <c r="N747" i="2"/>
  <c r="O747" i="2"/>
  <c r="N763" i="2"/>
  <c r="O763" i="2"/>
  <c r="N779" i="2"/>
  <c r="O779" i="2"/>
  <c r="O806" i="2"/>
  <c r="N806" i="2"/>
  <c r="O822" i="2"/>
  <c r="N822" i="2"/>
  <c r="O838" i="2"/>
  <c r="N838" i="2"/>
  <c r="O854" i="2"/>
  <c r="N854" i="2"/>
  <c r="O870" i="2"/>
  <c r="N870" i="2"/>
  <c r="O881" i="2"/>
  <c r="N881" i="2"/>
  <c r="O40" i="2"/>
  <c r="N170" i="2"/>
  <c r="O170" i="2"/>
  <c r="N276" i="2"/>
  <c r="O276" i="2"/>
  <c r="O584" i="2"/>
  <c r="N584" i="2"/>
  <c r="O592" i="2"/>
  <c r="N592" i="2"/>
  <c r="O600" i="2"/>
  <c r="N600" i="2"/>
  <c r="O616" i="2"/>
  <c r="N616" i="2"/>
  <c r="O632" i="2"/>
  <c r="N632" i="2"/>
  <c r="O646" i="2"/>
  <c r="N646" i="2"/>
  <c r="N659" i="2"/>
  <c r="O659" i="2"/>
  <c r="N675" i="2"/>
  <c r="O675" i="2"/>
  <c r="N691" i="2"/>
  <c r="O691" i="2"/>
  <c r="N707" i="2"/>
  <c r="O707" i="2"/>
  <c r="N723" i="2"/>
  <c r="O723" i="2"/>
  <c r="N739" i="2"/>
  <c r="O739" i="2"/>
  <c r="N755" i="2"/>
  <c r="O755" i="2"/>
  <c r="N771" i="2"/>
  <c r="O771" i="2"/>
  <c r="N787" i="2"/>
  <c r="O787" i="2"/>
  <c r="O814" i="2"/>
  <c r="N814" i="2"/>
  <c r="O830" i="2"/>
  <c r="N830" i="2"/>
  <c r="O846" i="2"/>
  <c r="N846" i="2"/>
  <c r="P9" i="2"/>
  <c r="L14" i="2"/>
  <c r="N14" i="2" s="1"/>
  <c r="P19" i="2"/>
  <c r="P23" i="2"/>
  <c r="P31" i="2"/>
  <c r="P32" i="2"/>
  <c r="O44" i="2"/>
  <c r="O48" i="2"/>
  <c r="N51" i="2"/>
  <c r="O52" i="2"/>
  <c r="N55" i="2"/>
  <c r="O56" i="2"/>
  <c r="N59" i="2"/>
  <c r="O60" i="2"/>
  <c r="O64" i="2"/>
  <c r="O68" i="2"/>
  <c r="P72" i="2"/>
  <c r="P74" i="2"/>
  <c r="N79" i="2"/>
  <c r="N178" i="2"/>
  <c r="O178" i="2"/>
  <c r="N200" i="2"/>
  <c r="O200" i="2"/>
  <c r="N216" i="2"/>
  <c r="O216" i="2"/>
  <c r="N232" i="2"/>
  <c r="O232" i="2"/>
  <c r="N248" i="2"/>
  <c r="O248" i="2"/>
  <c r="N264" i="2"/>
  <c r="O264" i="2"/>
  <c r="N280" i="2"/>
  <c r="O280" i="2"/>
  <c r="O444" i="2"/>
  <c r="N444" i="2"/>
  <c r="O461" i="2"/>
  <c r="N461" i="2"/>
  <c r="O477" i="2"/>
  <c r="N477" i="2"/>
  <c r="O505" i="2"/>
  <c r="N505" i="2"/>
  <c r="O537" i="2"/>
  <c r="N537" i="2"/>
  <c r="O569" i="2"/>
  <c r="N569" i="2"/>
  <c r="N800" i="2"/>
  <c r="O800" i="2"/>
  <c r="O885" i="2"/>
  <c r="N885" i="2"/>
  <c r="N447" i="2"/>
  <c r="N455" i="2"/>
  <c r="N463" i="2"/>
  <c r="N471" i="2"/>
  <c r="N479" i="2"/>
  <c r="N493" i="2"/>
  <c r="N509" i="2"/>
  <c r="N525" i="2"/>
  <c r="N541" i="2"/>
  <c r="N557" i="2"/>
  <c r="N573" i="2"/>
  <c r="N583" i="2"/>
  <c r="N587" i="2"/>
  <c r="N591" i="2"/>
  <c r="N595" i="2"/>
  <c r="N599" i="2"/>
  <c r="N607" i="2"/>
  <c r="N615" i="2"/>
  <c r="N623" i="2"/>
  <c r="N631" i="2"/>
  <c r="N639" i="2"/>
  <c r="N645" i="2"/>
  <c r="N649" i="2"/>
  <c r="O653" i="2"/>
  <c r="O661" i="2"/>
  <c r="O669" i="2"/>
  <c r="O677" i="2"/>
  <c r="O685" i="2"/>
  <c r="O693" i="2"/>
  <c r="O701" i="2"/>
  <c r="O709" i="2"/>
  <c r="O717" i="2"/>
  <c r="O725" i="2"/>
  <c r="O733" i="2"/>
  <c r="O741" i="2"/>
  <c r="O749" i="2"/>
  <c r="O757" i="2"/>
  <c r="O765" i="2"/>
  <c r="O773" i="2"/>
  <c r="O781" i="2"/>
  <c r="O789" i="2"/>
  <c r="O795" i="2"/>
  <c r="O799" i="2"/>
  <c r="N808" i="2"/>
  <c r="N816" i="2"/>
  <c r="N824" i="2"/>
  <c r="N832" i="2"/>
  <c r="N840" i="2"/>
  <c r="N848" i="2"/>
  <c r="N856" i="2"/>
  <c r="N864" i="2"/>
  <c r="N872" i="2"/>
  <c r="N880" i="2"/>
  <c r="N884" i="2"/>
  <c r="N888" i="2"/>
  <c r="N883" i="2"/>
  <c r="N887" i="2"/>
  <c r="L18" i="2"/>
  <c r="O302" i="2"/>
  <c r="N302" i="2"/>
  <c r="O308" i="2"/>
  <c r="N308" i="2"/>
  <c r="O314" i="2"/>
  <c r="N314" i="2"/>
  <c r="O320" i="2"/>
  <c r="N320" i="2"/>
  <c r="O326" i="2"/>
  <c r="N326" i="2"/>
  <c r="O332" i="2"/>
  <c r="N332" i="2"/>
  <c r="O338" i="2"/>
  <c r="N338" i="2"/>
  <c r="O344" i="2"/>
  <c r="N344" i="2"/>
  <c r="O350" i="2"/>
  <c r="N350" i="2"/>
  <c r="O356" i="2"/>
  <c r="N356" i="2"/>
  <c r="O362" i="2"/>
  <c r="N362" i="2"/>
  <c r="O368" i="2"/>
  <c r="N368" i="2"/>
  <c r="O374" i="2"/>
  <c r="N374" i="2"/>
  <c r="O380" i="2"/>
  <c r="N380" i="2"/>
  <c r="O386" i="2"/>
  <c r="N386" i="2"/>
  <c r="O392" i="2"/>
  <c r="N392" i="2"/>
  <c r="O398" i="2"/>
  <c r="N398" i="2"/>
  <c r="O404" i="2"/>
  <c r="N404" i="2"/>
  <c r="O410" i="2"/>
  <c r="N410" i="2"/>
  <c r="O416" i="2"/>
  <c r="N416" i="2"/>
  <c r="O422" i="2"/>
  <c r="N422" i="2"/>
  <c r="O464" i="2"/>
  <c r="N464" i="2"/>
  <c r="O496" i="2"/>
  <c r="N496" i="2"/>
  <c r="O528" i="2"/>
  <c r="N528" i="2"/>
  <c r="O560" i="2"/>
  <c r="N560" i="2"/>
  <c r="N654" i="2"/>
  <c r="O654" i="2"/>
  <c r="N678" i="2"/>
  <c r="O678" i="2"/>
  <c r="O825" i="2"/>
  <c r="N825" i="2"/>
  <c r="O849" i="2"/>
  <c r="N849" i="2"/>
  <c r="O873" i="2"/>
  <c r="N873" i="2"/>
  <c r="O889" i="2"/>
  <c r="N889" i="2"/>
  <c r="O895" i="2"/>
  <c r="N895" i="2"/>
  <c r="O901" i="2"/>
  <c r="N901" i="2"/>
  <c r="O907" i="2"/>
  <c r="N907" i="2"/>
  <c r="O913" i="2"/>
  <c r="N913" i="2"/>
  <c r="O919" i="2"/>
  <c r="N919" i="2"/>
  <c r="O925" i="2"/>
  <c r="N925" i="2"/>
  <c r="O931" i="2"/>
  <c r="N931" i="2"/>
  <c r="O937" i="2"/>
  <c r="N937" i="2"/>
  <c r="O943" i="2"/>
  <c r="N943" i="2"/>
  <c r="O949" i="2"/>
  <c r="N949" i="2"/>
  <c r="O955" i="2"/>
  <c r="N955" i="2"/>
  <c r="O961" i="2"/>
  <c r="N961" i="2"/>
  <c r="O969" i="2"/>
  <c r="N969" i="2"/>
  <c r="N15" i="2"/>
  <c r="O15" i="2"/>
  <c r="O17" i="2"/>
  <c r="O21" i="2"/>
  <c r="O25" i="2"/>
  <c r="O29" i="2"/>
  <c r="L34" i="2"/>
  <c r="P34" i="2"/>
  <c r="L38" i="2"/>
  <c r="P38" i="2"/>
  <c r="L42" i="2"/>
  <c r="P42" i="2"/>
  <c r="L46" i="2"/>
  <c r="P46" i="2"/>
  <c r="L62" i="2"/>
  <c r="P62" i="2"/>
  <c r="N80" i="2"/>
  <c r="O80" i="2"/>
  <c r="N118" i="2"/>
  <c r="O118" i="2"/>
  <c r="N134" i="2"/>
  <c r="O134" i="2"/>
  <c r="N149" i="2"/>
  <c r="O149" i="2"/>
  <c r="N157" i="2"/>
  <c r="O157" i="2"/>
  <c r="N165" i="2"/>
  <c r="O165" i="2"/>
  <c r="N173" i="2"/>
  <c r="O173" i="2"/>
  <c r="N181" i="2"/>
  <c r="O181" i="2"/>
  <c r="N189" i="2"/>
  <c r="O189" i="2"/>
  <c r="L22" i="2"/>
  <c r="N110" i="2"/>
  <c r="O110" i="2"/>
  <c r="O306" i="2"/>
  <c r="N306" i="2"/>
  <c r="O312" i="2"/>
  <c r="N312" i="2"/>
  <c r="O318" i="2"/>
  <c r="N318" i="2"/>
  <c r="O322" i="2"/>
  <c r="N322" i="2"/>
  <c r="O330" i="2"/>
  <c r="N330" i="2"/>
  <c r="O336" i="2"/>
  <c r="N336" i="2"/>
  <c r="O342" i="2"/>
  <c r="N342" i="2"/>
  <c r="O348" i="2"/>
  <c r="N348" i="2"/>
  <c r="O352" i="2"/>
  <c r="N352" i="2"/>
  <c r="O358" i="2"/>
  <c r="N358" i="2"/>
  <c r="O364" i="2"/>
  <c r="N364" i="2"/>
  <c r="O372" i="2"/>
  <c r="N372" i="2"/>
  <c r="O376" i="2"/>
  <c r="N376" i="2"/>
  <c r="O384" i="2"/>
  <c r="N384" i="2"/>
  <c r="O390" i="2"/>
  <c r="N390" i="2"/>
  <c r="O394" i="2"/>
  <c r="N394" i="2"/>
  <c r="O400" i="2"/>
  <c r="N400" i="2"/>
  <c r="O406" i="2"/>
  <c r="N406" i="2"/>
  <c r="O412" i="2"/>
  <c r="N412" i="2"/>
  <c r="O418" i="2"/>
  <c r="N418" i="2"/>
  <c r="O448" i="2"/>
  <c r="N448" i="2"/>
  <c r="O472" i="2"/>
  <c r="N472" i="2"/>
  <c r="O576" i="2"/>
  <c r="N576" i="2"/>
  <c r="N662" i="2"/>
  <c r="O662" i="2"/>
  <c r="O817" i="2"/>
  <c r="N817" i="2"/>
  <c r="O841" i="2"/>
  <c r="N841" i="2"/>
  <c r="O865" i="2"/>
  <c r="N865" i="2"/>
  <c r="O891" i="2"/>
  <c r="N891" i="2"/>
  <c r="O897" i="2"/>
  <c r="N897" i="2"/>
  <c r="O903" i="2"/>
  <c r="N903" i="2"/>
  <c r="O909" i="2"/>
  <c r="N909" i="2"/>
  <c r="O915" i="2"/>
  <c r="N915" i="2"/>
  <c r="O921" i="2"/>
  <c r="N921" i="2"/>
  <c r="O929" i="2"/>
  <c r="N929" i="2"/>
  <c r="O933" i="2"/>
  <c r="N933" i="2"/>
  <c r="O941" i="2"/>
  <c r="N941" i="2"/>
  <c r="O947" i="2"/>
  <c r="N947" i="2"/>
  <c r="O953" i="2"/>
  <c r="N953" i="2"/>
  <c r="O959" i="2"/>
  <c r="N959" i="2"/>
  <c r="O965" i="2"/>
  <c r="N965" i="2"/>
  <c r="O967" i="2"/>
  <c r="N967" i="2"/>
  <c r="N9" i="2"/>
  <c r="O9" i="2"/>
  <c r="L50" i="2"/>
  <c r="P50" i="2"/>
  <c r="L66" i="2"/>
  <c r="P66" i="2"/>
  <c r="N78" i="2"/>
  <c r="O78" i="2"/>
  <c r="N96" i="2"/>
  <c r="O96" i="2"/>
  <c r="N116" i="2"/>
  <c r="O116" i="2"/>
  <c r="N132" i="2"/>
  <c r="O132" i="2"/>
  <c r="L26" i="2"/>
  <c r="L58" i="2"/>
  <c r="P58" i="2"/>
  <c r="O300" i="2"/>
  <c r="N300" i="2"/>
  <c r="O304" i="2"/>
  <c r="N304" i="2"/>
  <c r="O310" i="2"/>
  <c r="N310" i="2"/>
  <c r="O316" i="2"/>
  <c r="N316" i="2"/>
  <c r="O324" i="2"/>
  <c r="N324" i="2"/>
  <c r="O328" i="2"/>
  <c r="N328" i="2"/>
  <c r="O334" i="2"/>
  <c r="N334" i="2"/>
  <c r="O340" i="2"/>
  <c r="N340" i="2"/>
  <c r="O346" i="2"/>
  <c r="N346" i="2"/>
  <c r="O354" i="2"/>
  <c r="N354" i="2"/>
  <c r="O360" i="2"/>
  <c r="N360" i="2"/>
  <c r="O366" i="2"/>
  <c r="N366" i="2"/>
  <c r="O370" i="2"/>
  <c r="N370" i="2"/>
  <c r="O378" i="2"/>
  <c r="N378" i="2"/>
  <c r="O382" i="2"/>
  <c r="N382" i="2"/>
  <c r="O388" i="2"/>
  <c r="N388" i="2"/>
  <c r="O396" i="2"/>
  <c r="N396" i="2"/>
  <c r="O402" i="2"/>
  <c r="N402" i="2"/>
  <c r="O408" i="2"/>
  <c r="N408" i="2"/>
  <c r="O414" i="2"/>
  <c r="N414" i="2"/>
  <c r="O420" i="2"/>
  <c r="N420" i="2"/>
  <c r="O456" i="2"/>
  <c r="N456" i="2"/>
  <c r="O480" i="2"/>
  <c r="N480" i="2"/>
  <c r="O512" i="2"/>
  <c r="N512" i="2"/>
  <c r="O544" i="2"/>
  <c r="N544" i="2"/>
  <c r="N670" i="2"/>
  <c r="O670" i="2"/>
  <c r="N686" i="2"/>
  <c r="O686" i="2"/>
  <c r="O809" i="2"/>
  <c r="N809" i="2"/>
  <c r="O833" i="2"/>
  <c r="N833" i="2"/>
  <c r="O857" i="2"/>
  <c r="N857" i="2"/>
  <c r="O893" i="2"/>
  <c r="N893" i="2"/>
  <c r="O899" i="2"/>
  <c r="N899" i="2"/>
  <c r="O905" i="2"/>
  <c r="N905" i="2"/>
  <c r="O911" i="2"/>
  <c r="N911" i="2"/>
  <c r="O917" i="2"/>
  <c r="N917" i="2"/>
  <c r="O923" i="2"/>
  <c r="N923" i="2"/>
  <c r="O927" i="2"/>
  <c r="N927" i="2"/>
  <c r="O935" i="2"/>
  <c r="N935" i="2"/>
  <c r="O939" i="2"/>
  <c r="N939" i="2"/>
  <c r="O945" i="2"/>
  <c r="N945" i="2"/>
  <c r="O951" i="2"/>
  <c r="N951" i="2"/>
  <c r="O957" i="2"/>
  <c r="N957" i="2"/>
  <c r="O963" i="2"/>
  <c r="N963" i="2"/>
  <c r="O971" i="2"/>
  <c r="N971" i="2"/>
  <c r="N19" i="2"/>
  <c r="O19" i="2"/>
  <c r="N23" i="2"/>
  <c r="O23" i="2"/>
  <c r="N27" i="2"/>
  <c r="O27" i="2"/>
  <c r="O31" i="2"/>
  <c r="N31" i="2"/>
  <c r="L54" i="2"/>
  <c r="P54" i="2"/>
  <c r="L70" i="2"/>
  <c r="P70" i="2"/>
  <c r="O77" i="2"/>
  <c r="N77" i="2"/>
  <c r="N94" i="2"/>
  <c r="O94" i="2"/>
  <c r="N153" i="2"/>
  <c r="O153" i="2"/>
  <c r="N161" i="2"/>
  <c r="O161" i="2"/>
  <c r="N169" i="2"/>
  <c r="O169" i="2"/>
  <c r="N177" i="2"/>
  <c r="O177" i="2"/>
  <c r="N185" i="2"/>
  <c r="O185" i="2"/>
  <c r="P17" i="2"/>
  <c r="P21" i="2"/>
  <c r="P25" i="2"/>
  <c r="P29" i="2"/>
  <c r="N72" i="2"/>
  <c r="O289" i="2"/>
  <c r="N289" i="2"/>
  <c r="O297" i="2"/>
  <c r="N297" i="2"/>
  <c r="L16" i="2"/>
  <c r="L20" i="2"/>
  <c r="L24" i="2"/>
  <c r="L28" i="2"/>
  <c r="N39" i="2"/>
  <c r="N43" i="2"/>
  <c r="N74" i="2"/>
  <c r="O82" i="2"/>
  <c r="O98" i="2"/>
  <c r="O111" i="2"/>
  <c r="O120" i="2"/>
  <c r="O122" i="2"/>
  <c r="O136" i="2"/>
  <c r="O138" i="2"/>
  <c r="O148" i="2"/>
  <c r="O152" i="2"/>
  <c r="O156" i="2"/>
  <c r="O160" i="2"/>
  <c r="O164" i="2"/>
  <c r="O168" i="2"/>
  <c r="O172" i="2"/>
  <c r="O176" i="2"/>
  <c r="O180" i="2"/>
  <c r="O184" i="2"/>
  <c r="O188" i="2"/>
  <c r="O285" i="2"/>
  <c r="N285" i="2"/>
  <c r="O293" i="2"/>
  <c r="N293" i="2"/>
  <c r="O484" i="2"/>
  <c r="N484" i="2"/>
  <c r="O500" i="2"/>
  <c r="N500" i="2"/>
  <c r="O516" i="2"/>
  <c r="N516" i="2"/>
  <c r="O532" i="2"/>
  <c r="N532" i="2"/>
  <c r="O548" i="2"/>
  <c r="N548" i="2"/>
  <c r="O564" i="2"/>
  <c r="N564" i="2"/>
  <c r="O580" i="2"/>
  <c r="N580" i="2"/>
  <c r="O299" i="2"/>
  <c r="N299" i="2"/>
  <c r="O301" i="2"/>
  <c r="N301" i="2"/>
  <c r="O303" i="2"/>
  <c r="N303" i="2"/>
  <c r="O305" i="2"/>
  <c r="N305" i="2"/>
  <c r="O307" i="2"/>
  <c r="N307" i="2"/>
  <c r="O309" i="2"/>
  <c r="N309" i="2"/>
  <c r="O311" i="2"/>
  <c r="N311" i="2"/>
  <c r="O313" i="2"/>
  <c r="N313" i="2"/>
  <c r="O315" i="2"/>
  <c r="N315" i="2"/>
  <c r="O317" i="2"/>
  <c r="N317" i="2"/>
  <c r="O319" i="2"/>
  <c r="N319" i="2"/>
  <c r="O321" i="2"/>
  <c r="N321" i="2"/>
  <c r="O323" i="2"/>
  <c r="N323" i="2"/>
  <c r="O325" i="2"/>
  <c r="N325" i="2"/>
  <c r="O327" i="2"/>
  <c r="N327" i="2"/>
  <c r="O329" i="2"/>
  <c r="N329" i="2"/>
  <c r="O331" i="2"/>
  <c r="N331" i="2"/>
  <c r="O333" i="2"/>
  <c r="N333" i="2"/>
  <c r="O335" i="2"/>
  <c r="N335" i="2"/>
  <c r="O337" i="2"/>
  <c r="N337" i="2"/>
  <c r="O339" i="2"/>
  <c r="N339" i="2"/>
  <c r="O341" i="2"/>
  <c r="N341" i="2"/>
  <c r="O343" i="2"/>
  <c r="N343" i="2"/>
  <c r="O345" i="2"/>
  <c r="N345" i="2"/>
  <c r="O347" i="2"/>
  <c r="N347" i="2"/>
  <c r="O349" i="2"/>
  <c r="N349" i="2"/>
  <c r="O351" i="2"/>
  <c r="N351" i="2"/>
  <c r="O353" i="2"/>
  <c r="N353" i="2"/>
  <c r="O355" i="2"/>
  <c r="N355" i="2"/>
  <c r="O357" i="2"/>
  <c r="N357" i="2"/>
  <c r="O359" i="2"/>
  <c r="N359" i="2"/>
  <c r="O361" i="2"/>
  <c r="N361" i="2"/>
  <c r="O363" i="2"/>
  <c r="N363" i="2"/>
  <c r="O365" i="2"/>
  <c r="N365" i="2"/>
  <c r="O367" i="2"/>
  <c r="N367" i="2"/>
  <c r="O369" i="2"/>
  <c r="N369" i="2"/>
  <c r="O371" i="2"/>
  <c r="N371" i="2"/>
  <c r="O373" i="2"/>
  <c r="N373" i="2"/>
  <c r="O375" i="2"/>
  <c r="N375" i="2"/>
  <c r="O377" i="2"/>
  <c r="N377" i="2"/>
  <c r="O379" i="2"/>
  <c r="N379" i="2"/>
  <c r="O381" i="2"/>
  <c r="N381" i="2"/>
  <c r="O383" i="2"/>
  <c r="N383" i="2"/>
  <c r="O385" i="2"/>
  <c r="N385" i="2"/>
  <c r="O387" i="2"/>
  <c r="N387" i="2"/>
  <c r="O389" i="2"/>
  <c r="N389" i="2"/>
  <c r="O391" i="2"/>
  <c r="N391" i="2"/>
  <c r="O393" i="2"/>
  <c r="N393" i="2"/>
  <c r="O395" i="2"/>
  <c r="N395" i="2"/>
  <c r="O397" i="2"/>
  <c r="N397" i="2"/>
  <c r="O399" i="2"/>
  <c r="N399" i="2"/>
  <c r="O401" i="2"/>
  <c r="N401" i="2"/>
  <c r="O403" i="2"/>
  <c r="N403" i="2"/>
  <c r="O405" i="2"/>
  <c r="N405" i="2"/>
  <c r="O407" i="2"/>
  <c r="N407" i="2"/>
  <c r="O409" i="2"/>
  <c r="N409" i="2"/>
  <c r="O411" i="2"/>
  <c r="N411" i="2"/>
  <c r="O413" i="2"/>
  <c r="N413" i="2"/>
  <c r="O415" i="2"/>
  <c r="N415" i="2"/>
  <c r="O417" i="2"/>
  <c r="N417" i="2"/>
  <c r="O419" i="2"/>
  <c r="N419" i="2"/>
  <c r="O421" i="2"/>
  <c r="N421" i="2"/>
  <c r="O423" i="2"/>
  <c r="N423" i="2"/>
  <c r="O452" i="2"/>
  <c r="N452" i="2"/>
  <c r="O460" i="2"/>
  <c r="N460" i="2"/>
  <c r="O468" i="2"/>
  <c r="N468" i="2"/>
  <c r="O476" i="2"/>
  <c r="N476" i="2"/>
  <c r="O488" i="2"/>
  <c r="N488" i="2"/>
  <c r="O504" i="2"/>
  <c r="N504" i="2"/>
  <c r="O520" i="2"/>
  <c r="N520" i="2"/>
  <c r="O536" i="2"/>
  <c r="N536" i="2"/>
  <c r="O552" i="2"/>
  <c r="N552" i="2"/>
  <c r="O568" i="2"/>
  <c r="N568" i="2"/>
  <c r="N283" i="2"/>
  <c r="N287" i="2"/>
  <c r="N291" i="2"/>
  <c r="N295" i="2"/>
  <c r="O492" i="2"/>
  <c r="N492" i="2"/>
  <c r="O508" i="2"/>
  <c r="N508" i="2"/>
  <c r="O524" i="2"/>
  <c r="N524" i="2"/>
  <c r="O540" i="2"/>
  <c r="N540" i="2"/>
  <c r="O556" i="2"/>
  <c r="N556" i="2"/>
  <c r="O572" i="2"/>
  <c r="N572" i="2"/>
  <c r="O610" i="2"/>
  <c r="N610" i="2"/>
  <c r="O618" i="2"/>
  <c r="N618" i="2"/>
  <c r="O626" i="2"/>
  <c r="N626" i="2"/>
  <c r="O634" i="2"/>
  <c r="N634" i="2"/>
  <c r="O642" i="2"/>
  <c r="N642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83" i="2"/>
  <c r="N487" i="2"/>
  <c r="N491" i="2"/>
  <c r="N495" i="2"/>
  <c r="N499" i="2"/>
  <c r="N503" i="2"/>
  <c r="N507" i="2"/>
  <c r="N511" i="2"/>
  <c r="N515" i="2"/>
  <c r="N519" i="2"/>
  <c r="N523" i="2"/>
  <c r="N527" i="2"/>
  <c r="N531" i="2"/>
  <c r="N535" i="2"/>
  <c r="N539" i="2"/>
  <c r="N543" i="2"/>
  <c r="N547" i="2"/>
  <c r="N551" i="2"/>
  <c r="N555" i="2"/>
  <c r="N559" i="2"/>
  <c r="N563" i="2"/>
  <c r="N567" i="2"/>
  <c r="N571" i="2"/>
  <c r="N575" i="2"/>
  <c r="N579" i="2"/>
  <c r="N450" i="2"/>
  <c r="N454" i="2"/>
  <c r="N458" i="2"/>
  <c r="N462" i="2"/>
  <c r="N466" i="2"/>
  <c r="N470" i="2"/>
  <c r="N474" i="2"/>
  <c r="N478" i="2"/>
  <c r="N482" i="2"/>
  <c r="N486" i="2"/>
  <c r="N490" i="2"/>
  <c r="N494" i="2"/>
  <c r="N498" i="2"/>
  <c r="N502" i="2"/>
  <c r="N506" i="2"/>
  <c r="N510" i="2"/>
  <c r="N514" i="2"/>
  <c r="N518" i="2"/>
  <c r="N522" i="2"/>
  <c r="N526" i="2"/>
  <c r="N530" i="2"/>
  <c r="N534" i="2"/>
  <c r="N538" i="2"/>
  <c r="N542" i="2"/>
  <c r="N546" i="2"/>
  <c r="N550" i="2"/>
  <c r="N554" i="2"/>
  <c r="N558" i="2"/>
  <c r="N562" i="2"/>
  <c r="N566" i="2"/>
  <c r="N570" i="2"/>
  <c r="N574" i="2"/>
  <c r="N578" i="2"/>
  <c r="O606" i="2"/>
  <c r="N606" i="2"/>
  <c r="O614" i="2"/>
  <c r="N614" i="2"/>
  <c r="O622" i="2"/>
  <c r="N622" i="2"/>
  <c r="O630" i="2"/>
  <c r="N630" i="2"/>
  <c r="O638" i="2"/>
  <c r="N638" i="2"/>
  <c r="N656" i="2"/>
  <c r="O656" i="2"/>
  <c r="N664" i="2"/>
  <c r="O664" i="2"/>
  <c r="N672" i="2"/>
  <c r="O672" i="2"/>
  <c r="N680" i="2"/>
  <c r="O680" i="2"/>
  <c r="N688" i="2"/>
  <c r="O688" i="2"/>
  <c r="N696" i="2"/>
  <c r="O696" i="2"/>
  <c r="N704" i="2"/>
  <c r="O704" i="2"/>
  <c r="N712" i="2"/>
  <c r="O712" i="2"/>
  <c r="N720" i="2"/>
  <c r="O720" i="2"/>
  <c r="N728" i="2"/>
  <c r="O728" i="2"/>
  <c r="N736" i="2"/>
  <c r="O736" i="2"/>
  <c r="N744" i="2"/>
  <c r="O744" i="2"/>
  <c r="N752" i="2"/>
  <c r="O752" i="2"/>
  <c r="N760" i="2"/>
  <c r="O760" i="2"/>
  <c r="N768" i="2"/>
  <c r="O768" i="2"/>
  <c r="N776" i="2"/>
  <c r="O776" i="2"/>
  <c r="N784" i="2"/>
  <c r="O784" i="2"/>
  <c r="N792" i="2"/>
  <c r="O792" i="2"/>
  <c r="N605" i="2"/>
  <c r="N609" i="2"/>
  <c r="N613" i="2"/>
  <c r="N617" i="2"/>
  <c r="N621" i="2"/>
  <c r="N625" i="2"/>
  <c r="N629" i="2"/>
  <c r="N633" i="2"/>
  <c r="N637" i="2"/>
  <c r="N641" i="2"/>
  <c r="N658" i="2"/>
  <c r="O658" i="2"/>
  <c r="N666" i="2"/>
  <c r="O666" i="2"/>
  <c r="N674" i="2"/>
  <c r="O674" i="2"/>
  <c r="N682" i="2"/>
  <c r="O682" i="2"/>
  <c r="N660" i="2"/>
  <c r="O660" i="2"/>
  <c r="N668" i="2"/>
  <c r="O668" i="2"/>
  <c r="N676" i="2"/>
  <c r="O676" i="2"/>
  <c r="N684" i="2"/>
  <c r="O684" i="2"/>
  <c r="N692" i="2"/>
  <c r="O692" i="2"/>
  <c r="N700" i="2"/>
  <c r="O700" i="2"/>
  <c r="N708" i="2"/>
  <c r="O708" i="2"/>
  <c r="N716" i="2"/>
  <c r="O716" i="2"/>
  <c r="N724" i="2"/>
  <c r="O724" i="2"/>
  <c r="N732" i="2"/>
  <c r="O732" i="2"/>
  <c r="N740" i="2"/>
  <c r="O740" i="2"/>
  <c r="N748" i="2"/>
  <c r="O748" i="2"/>
  <c r="N756" i="2"/>
  <c r="O756" i="2"/>
  <c r="N764" i="2"/>
  <c r="O764" i="2"/>
  <c r="N772" i="2"/>
  <c r="O772" i="2"/>
  <c r="N780" i="2"/>
  <c r="O780" i="2"/>
  <c r="N788" i="2"/>
  <c r="O788" i="2"/>
  <c r="O805" i="2"/>
  <c r="N805" i="2"/>
  <c r="O813" i="2"/>
  <c r="N813" i="2"/>
  <c r="O821" i="2"/>
  <c r="N821" i="2"/>
  <c r="O829" i="2"/>
  <c r="N829" i="2"/>
  <c r="O837" i="2"/>
  <c r="N837" i="2"/>
  <c r="O845" i="2"/>
  <c r="N845" i="2"/>
  <c r="O853" i="2"/>
  <c r="N853" i="2"/>
  <c r="O861" i="2"/>
  <c r="N861" i="2"/>
  <c r="O869" i="2"/>
  <c r="N869" i="2"/>
  <c r="O877" i="2"/>
  <c r="N877" i="2"/>
  <c r="O690" i="2"/>
  <c r="O694" i="2"/>
  <c r="O698" i="2"/>
  <c r="O702" i="2"/>
  <c r="O706" i="2"/>
  <c r="O710" i="2"/>
  <c r="O714" i="2"/>
  <c r="O718" i="2"/>
  <c r="O722" i="2"/>
  <c r="O726" i="2"/>
  <c r="O730" i="2"/>
  <c r="O734" i="2"/>
  <c r="O738" i="2"/>
  <c r="O742" i="2"/>
  <c r="O746" i="2"/>
  <c r="O750" i="2"/>
  <c r="O754" i="2"/>
  <c r="O758" i="2"/>
  <c r="O762" i="2"/>
  <c r="O766" i="2"/>
  <c r="O770" i="2"/>
  <c r="O774" i="2"/>
  <c r="O778" i="2"/>
  <c r="O782" i="2"/>
  <c r="O786" i="2"/>
  <c r="O790" i="2"/>
  <c r="O890" i="2"/>
  <c r="N890" i="2"/>
  <c r="O892" i="2"/>
  <c r="N892" i="2"/>
  <c r="O894" i="2"/>
  <c r="N894" i="2"/>
  <c r="O896" i="2"/>
  <c r="N896" i="2"/>
  <c r="O898" i="2"/>
  <c r="N898" i="2"/>
  <c r="O900" i="2"/>
  <c r="N900" i="2"/>
  <c r="N803" i="2"/>
  <c r="N807" i="2"/>
  <c r="N811" i="2"/>
  <c r="N815" i="2"/>
  <c r="N819" i="2"/>
  <c r="N823" i="2"/>
  <c r="N827" i="2"/>
  <c r="N831" i="2"/>
  <c r="N835" i="2"/>
  <c r="N839" i="2"/>
  <c r="N843" i="2"/>
  <c r="N847" i="2"/>
  <c r="N851" i="2"/>
  <c r="N855" i="2"/>
  <c r="N859" i="2"/>
  <c r="N863" i="2"/>
  <c r="N867" i="2"/>
  <c r="N871" i="2"/>
  <c r="N875" i="2"/>
  <c r="N879" i="2"/>
  <c r="O902" i="2"/>
  <c r="N902" i="2"/>
  <c r="O904" i="2"/>
  <c r="N904" i="2"/>
  <c r="O906" i="2"/>
  <c r="N906" i="2"/>
  <c r="O908" i="2"/>
  <c r="N908" i="2"/>
  <c r="O910" i="2"/>
  <c r="N910" i="2"/>
  <c r="O912" i="2"/>
  <c r="N912" i="2"/>
  <c r="O914" i="2"/>
  <c r="N914" i="2"/>
  <c r="O916" i="2"/>
  <c r="N916" i="2"/>
  <c r="O918" i="2"/>
  <c r="N918" i="2"/>
  <c r="O920" i="2"/>
  <c r="N920" i="2"/>
  <c r="O922" i="2"/>
  <c r="N922" i="2"/>
  <c r="O924" i="2"/>
  <c r="N924" i="2"/>
  <c r="O926" i="2"/>
  <c r="N926" i="2"/>
  <c r="O928" i="2"/>
  <c r="N928" i="2"/>
  <c r="O930" i="2"/>
  <c r="N930" i="2"/>
  <c r="O932" i="2"/>
  <c r="N932" i="2"/>
  <c r="O934" i="2"/>
  <c r="N934" i="2"/>
  <c r="O936" i="2"/>
  <c r="N936" i="2"/>
  <c r="O938" i="2"/>
  <c r="N938" i="2"/>
  <c r="O940" i="2"/>
  <c r="N940" i="2"/>
  <c r="O942" i="2"/>
  <c r="N942" i="2"/>
  <c r="O944" i="2"/>
  <c r="N944" i="2"/>
  <c r="O946" i="2"/>
  <c r="N946" i="2"/>
  <c r="O948" i="2"/>
  <c r="N948" i="2"/>
  <c r="O950" i="2"/>
  <c r="N950" i="2"/>
  <c r="O952" i="2"/>
  <c r="N952" i="2"/>
  <c r="O954" i="2"/>
  <c r="N954" i="2"/>
  <c r="O956" i="2"/>
  <c r="N956" i="2"/>
  <c r="O958" i="2"/>
  <c r="N958" i="2"/>
  <c r="O960" i="2"/>
  <c r="N960" i="2"/>
  <c r="O962" i="2"/>
  <c r="N962" i="2"/>
  <c r="O964" i="2"/>
  <c r="N964" i="2"/>
  <c r="O966" i="2"/>
  <c r="N966" i="2"/>
  <c r="O968" i="2"/>
  <c r="N968" i="2"/>
  <c r="O970" i="2"/>
  <c r="N970" i="2"/>
  <c r="O972" i="2"/>
  <c r="N972" i="2"/>
  <c r="N41" i="2" l="1"/>
  <c r="O11" i="2"/>
  <c r="O14" i="2"/>
  <c r="N67" i="2"/>
  <c r="N33" i="2"/>
  <c r="N71" i="2"/>
  <c r="N63" i="2"/>
  <c r="N47" i="2"/>
  <c r="O76" i="2"/>
  <c r="N35" i="2"/>
  <c r="O37" i="2"/>
  <c r="N37" i="2"/>
  <c r="O73" i="2"/>
  <c r="N73" i="2"/>
  <c r="N20" i="2"/>
  <c r="O20" i="2"/>
  <c r="O26" i="2"/>
  <c r="N26" i="2"/>
  <c r="O50" i="2"/>
  <c r="N50" i="2"/>
  <c r="O22" i="2"/>
  <c r="N22" i="2"/>
  <c r="O46" i="2"/>
  <c r="N46" i="2"/>
  <c r="O38" i="2"/>
  <c r="N38" i="2"/>
  <c r="O70" i="2"/>
  <c r="N70" i="2"/>
  <c r="O54" i="2"/>
  <c r="N54" i="2"/>
  <c r="N24" i="2"/>
  <c r="O24" i="2"/>
  <c r="O58" i="2"/>
  <c r="N58" i="2"/>
  <c r="N16" i="2"/>
  <c r="O16" i="2"/>
  <c r="N28" i="2"/>
  <c r="O28" i="2"/>
  <c r="O66" i="2"/>
  <c r="N66" i="2"/>
  <c r="O62" i="2"/>
  <c r="N62" i="2"/>
  <c r="O42" i="2"/>
  <c r="N42" i="2"/>
  <c r="O34" i="2"/>
  <c r="N34" i="2"/>
  <c r="O18" i="2"/>
  <c r="N18" i="2"/>
</calcChain>
</file>

<file path=xl/sharedStrings.xml><?xml version="1.0" encoding="utf-8"?>
<sst xmlns="http://schemas.openxmlformats.org/spreadsheetml/2006/main" count="316" uniqueCount="245">
  <si>
    <t>Club Membership Database</t>
  </si>
  <si>
    <t>Contact Information</t>
  </si>
  <si>
    <t>Membership</t>
  </si>
  <si>
    <t>Notice term</t>
  </si>
  <si>
    <t>REG NO</t>
  </si>
  <si>
    <t>REG, DATE</t>
  </si>
  <si>
    <t>Last Name</t>
  </si>
  <si>
    <t>First Name</t>
  </si>
  <si>
    <t>MOBILE NO.</t>
  </si>
  <si>
    <t>Level</t>
  </si>
  <si>
    <t>DAYS</t>
  </si>
  <si>
    <t>Membership Fees</t>
  </si>
  <si>
    <t>Fees Paid</t>
  </si>
  <si>
    <t>Fees Due</t>
  </si>
  <si>
    <t>Start</t>
  </si>
  <si>
    <t>Expiration</t>
  </si>
  <si>
    <t>Days</t>
  </si>
  <si>
    <t>Termination Notice</t>
  </si>
  <si>
    <t>Days To Expiration</t>
  </si>
  <si>
    <t>Pending Fee Notice</t>
  </si>
  <si>
    <t xml:space="preserve">REMARKS </t>
  </si>
  <si>
    <t xml:space="preserve">6 MONTHS </t>
  </si>
  <si>
    <t xml:space="preserve">KUMARI </t>
  </si>
  <si>
    <t>SINGH</t>
  </si>
  <si>
    <t xml:space="preserve">MONTHLY </t>
  </si>
  <si>
    <t xml:space="preserve">KUMAR </t>
  </si>
  <si>
    <t xml:space="preserve">ASHISH </t>
  </si>
  <si>
    <t xml:space="preserve">SINHA </t>
  </si>
  <si>
    <t>MONTHLY</t>
  </si>
  <si>
    <t xml:space="preserve">ANAND </t>
  </si>
  <si>
    <t xml:space="preserve">SHARMA </t>
  </si>
  <si>
    <t xml:space="preserve">SONAL </t>
  </si>
  <si>
    <t>KUMAR</t>
  </si>
  <si>
    <t xml:space="preserve">ARJUN </t>
  </si>
  <si>
    <t>RAJ</t>
  </si>
  <si>
    <t>MONTHLY (1 DAY )</t>
  </si>
  <si>
    <t xml:space="preserve">MONTHLY (3 DAY ) </t>
  </si>
  <si>
    <t>next mionths</t>
  </si>
  <si>
    <t xml:space="preserve">GAURAV </t>
  </si>
  <si>
    <t>MONTHLY (2 DAY )</t>
  </si>
  <si>
    <t xml:space="preserve">MONTHLY (KID) </t>
  </si>
  <si>
    <t xml:space="preserve">SINGH </t>
  </si>
  <si>
    <t xml:space="preserve">PRAKASH </t>
  </si>
  <si>
    <t xml:space="preserve">MONTHLY (KID ) </t>
  </si>
  <si>
    <t>MONTHLY (3 DAY KID )</t>
  </si>
  <si>
    <t xml:space="preserve">MONTHLY (3 DAY KID ) </t>
  </si>
  <si>
    <t>MONTHLY (2 DAY KID )</t>
  </si>
  <si>
    <t xml:space="preserve">RANJAN </t>
  </si>
  <si>
    <t xml:space="preserve">3 MONTHS </t>
  </si>
  <si>
    <t>RENEW UPTO 15/05/26</t>
  </si>
  <si>
    <t xml:space="preserve">MONTHLY (2 DAY ) </t>
  </si>
  <si>
    <t xml:space="preserve">VERMA </t>
  </si>
  <si>
    <t xml:space="preserve">SRIVASTAVA </t>
  </si>
  <si>
    <t>SHREE</t>
  </si>
  <si>
    <t xml:space="preserve">KUNAL </t>
  </si>
  <si>
    <t xml:space="preserve">KASHYAP </t>
  </si>
  <si>
    <t xml:space="preserve">PRISHA </t>
  </si>
  <si>
    <t xml:space="preserve">CHANDRA </t>
  </si>
  <si>
    <t xml:space="preserve">PANDEY </t>
  </si>
  <si>
    <t xml:space="preserve">MANISH </t>
  </si>
  <si>
    <t xml:space="preserve">SARAJ </t>
  </si>
  <si>
    <t xml:space="preserve">NAVYA </t>
  </si>
  <si>
    <t xml:space="preserve">UJJAWAL </t>
  </si>
  <si>
    <t xml:space="preserve">MONTHLY (2 DAY KID ) </t>
  </si>
  <si>
    <t>CAP/SW/398</t>
  </si>
  <si>
    <t xml:space="preserve">JEETENDRA </t>
  </si>
  <si>
    <t>CAP/SW/399</t>
  </si>
  <si>
    <t>SAWARN</t>
  </si>
  <si>
    <t>RUDRANSH</t>
  </si>
  <si>
    <t>CAP/SW/400</t>
  </si>
  <si>
    <t>ANUSHKA</t>
  </si>
  <si>
    <t>15-04-206</t>
  </si>
  <si>
    <t>CAP/SW/401</t>
  </si>
  <si>
    <t>PUSHKAR</t>
  </si>
  <si>
    <t>CAP/SW/402</t>
  </si>
  <si>
    <t>THAPA</t>
  </si>
  <si>
    <t>AYUSHMAN</t>
  </si>
  <si>
    <t>CAP/SW/403</t>
  </si>
  <si>
    <t>MAYANK</t>
  </si>
  <si>
    <t>CAP/SW/404</t>
  </si>
  <si>
    <t>ARK</t>
  </si>
  <si>
    <t>CAP/SW/405</t>
  </si>
  <si>
    <t>JAMSHED</t>
  </si>
  <si>
    <t>YUMNA</t>
  </si>
  <si>
    <t>3MONTHS (3DAYS, KID)</t>
  </si>
  <si>
    <t>CAP/SW/406</t>
  </si>
  <si>
    <t>SURYA</t>
  </si>
  <si>
    <t>MONTHLY (KID)</t>
  </si>
  <si>
    <t>CAP/SW/407</t>
  </si>
  <si>
    <t>VIDUR</t>
  </si>
  <si>
    <t>CAP/SW/408</t>
  </si>
  <si>
    <t>KHAN</t>
  </si>
  <si>
    <t>M.D ASLAM</t>
  </si>
  <si>
    <t>CAP/SW/409</t>
  </si>
  <si>
    <t>SAKIB</t>
  </si>
  <si>
    <t>CAP/SW/410</t>
  </si>
  <si>
    <t xml:space="preserve">ADIT </t>
  </si>
  <si>
    <t>CAP/SW/411</t>
  </si>
  <si>
    <t xml:space="preserve">NEMATULLAH </t>
  </si>
  <si>
    <t xml:space="preserve">MOHAMMAD </t>
  </si>
  <si>
    <t>CAP/SW/412</t>
  </si>
  <si>
    <t xml:space="preserve">MYRA </t>
  </si>
  <si>
    <t>CAP/SW/413</t>
  </si>
  <si>
    <t xml:space="preserve">AAKANSHA </t>
  </si>
  <si>
    <t xml:space="preserve">MONTHLY (3 DAY) </t>
  </si>
  <si>
    <t>CAP/SW/414</t>
  </si>
  <si>
    <t xml:space="preserve">RASHMI </t>
  </si>
  <si>
    <t>CAP/SW/415</t>
  </si>
  <si>
    <t>RAJENDRA</t>
  </si>
  <si>
    <t>CAP/SW/416</t>
  </si>
  <si>
    <t>AYUSH VARDHAN</t>
  </si>
  <si>
    <t>CAP/SW/417</t>
  </si>
  <si>
    <t>ANSHIKA</t>
  </si>
  <si>
    <t>CAP/SW/418</t>
  </si>
  <si>
    <t>ANSH</t>
  </si>
  <si>
    <t>CAP/SW/419</t>
  </si>
  <si>
    <t>ANAAYA</t>
  </si>
  <si>
    <t>CAP/SW/420</t>
  </si>
  <si>
    <t xml:space="preserve">SARTHIKA </t>
  </si>
  <si>
    <t>CAP/SW/421</t>
  </si>
  <si>
    <t>CAP/SW/422</t>
  </si>
  <si>
    <t xml:space="preserve">SHRESH </t>
  </si>
  <si>
    <t>CAP/SW/423</t>
  </si>
  <si>
    <t>CAP/SW/424</t>
  </si>
  <si>
    <t xml:space="preserve">AGASTYA </t>
  </si>
  <si>
    <t>CAP/SW/425</t>
  </si>
  <si>
    <t xml:space="preserve">SHREE </t>
  </si>
  <si>
    <t xml:space="preserve">PUSHKAR </t>
  </si>
  <si>
    <t>CAP/SW/426</t>
  </si>
  <si>
    <t xml:space="preserve">PARTH </t>
  </si>
  <si>
    <t>CAP/SW/427</t>
  </si>
  <si>
    <t xml:space="preserve">AIZA </t>
  </si>
  <si>
    <t>CAP/SW/428</t>
  </si>
  <si>
    <t xml:space="preserve">ARISHA </t>
  </si>
  <si>
    <t>CAP/SW/429</t>
  </si>
  <si>
    <t>CAP/SW/430</t>
  </si>
  <si>
    <t xml:space="preserve">SHARVANI </t>
  </si>
  <si>
    <t>CAP/SW/431</t>
  </si>
  <si>
    <t xml:space="preserve">BHATTACHARYA </t>
  </si>
  <si>
    <t xml:space="preserve">DIPANWITA </t>
  </si>
  <si>
    <t xml:space="preserve">6 MONTHS (3 DAY ) </t>
  </si>
  <si>
    <t>CAP/SW/432</t>
  </si>
  <si>
    <t xml:space="preserve">AKASH KUMAR </t>
  </si>
  <si>
    <t>CAP/SW/433</t>
  </si>
  <si>
    <t xml:space="preserve">ANKITESH </t>
  </si>
  <si>
    <t>CAP/SW/434</t>
  </si>
  <si>
    <t xml:space="preserve">VIVAN </t>
  </si>
  <si>
    <t>CAP/SW/435</t>
  </si>
  <si>
    <t xml:space="preserve">DR. TANVEER </t>
  </si>
  <si>
    <t>CAP/SW/436</t>
  </si>
  <si>
    <t xml:space="preserve">PRIYA </t>
  </si>
  <si>
    <t xml:space="preserve">TANVI </t>
  </si>
  <si>
    <t>CAP/SW/437</t>
  </si>
  <si>
    <t xml:space="preserve">MISHITA </t>
  </si>
  <si>
    <t>CAP/SW/438</t>
  </si>
  <si>
    <t xml:space="preserve">RON </t>
  </si>
  <si>
    <t xml:space="preserve">STALIN </t>
  </si>
  <si>
    <t>CAP/SW/439</t>
  </si>
  <si>
    <t xml:space="preserve">MINJ </t>
  </si>
  <si>
    <t xml:space="preserve">RICHARD </t>
  </si>
  <si>
    <t>CAP/SW/440</t>
  </si>
  <si>
    <t>CAP/SW/441</t>
  </si>
  <si>
    <t xml:space="preserve">SHRESTHA </t>
  </si>
  <si>
    <t xml:space="preserve">YASHASHVI </t>
  </si>
  <si>
    <t>CAP/SW/442</t>
  </si>
  <si>
    <t xml:space="preserve">SHLOK </t>
  </si>
  <si>
    <t>CAP/SW/443</t>
  </si>
  <si>
    <t xml:space="preserve">MURARKA </t>
  </si>
  <si>
    <t xml:space="preserve">MONIKA </t>
  </si>
  <si>
    <t>CAP/SW/444</t>
  </si>
  <si>
    <t xml:space="preserve">JAIN </t>
  </si>
  <si>
    <t xml:space="preserve">VIDHI </t>
  </si>
  <si>
    <t>CAP/SW/445</t>
  </si>
  <si>
    <t xml:space="preserve">SHAURYA </t>
  </si>
  <si>
    <t>CAP/SW/446</t>
  </si>
  <si>
    <t xml:space="preserve">SHUBASH </t>
  </si>
  <si>
    <t>CAP/SW/447</t>
  </si>
  <si>
    <t xml:space="preserve">SHAQEEL </t>
  </si>
  <si>
    <t xml:space="preserve">MONTHLY (1 DAY ) </t>
  </si>
  <si>
    <t>CAP/SW/448</t>
  </si>
  <si>
    <t>AHAD</t>
  </si>
  <si>
    <t>CAP/SW/449</t>
  </si>
  <si>
    <t>FALAK</t>
  </si>
  <si>
    <t>CAP/SW/450</t>
  </si>
  <si>
    <t>GUGU</t>
  </si>
  <si>
    <t>CAP/SW/451</t>
  </si>
  <si>
    <t xml:space="preserve">VATSYA </t>
  </si>
  <si>
    <t xml:space="preserve">VEDANT </t>
  </si>
  <si>
    <t>CAP/SW/452</t>
  </si>
  <si>
    <t xml:space="preserve">MANJESH </t>
  </si>
  <si>
    <t>CAP/SW/453</t>
  </si>
  <si>
    <t xml:space="preserve">DIVYAKRITI </t>
  </si>
  <si>
    <t>MANVIK</t>
  </si>
  <si>
    <t>CAP/SW/454</t>
  </si>
  <si>
    <t xml:space="preserve">OJAS </t>
  </si>
  <si>
    <t>CAP/SW/455</t>
  </si>
  <si>
    <t xml:space="preserve">AMRITA </t>
  </si>
  <si>
    <t xml:space="preserve">MONTHLY ( 2 DAY ) </t>
  </si>
  <si>
    <t>CAP/SW/456</t>
  </si>
  <si>
    <t>CAP/SW/457</t>
  </si>
  <si>
    <t>CAP/SW/458</t>
  </si>
  <si>
    <t xml:space="preserve">KUNWAR </t>
  </si>
  <si>
    <t xml:space="preserve">KAYRA </t>
  </si>
  <si>
    <t>CAP/SW/459</t>
  </si>
  <si>
    <t xml:space="preserve">RAUSHAN </t>
  </si>
  <si>
    <t>CAP/SW/460</t>
  </si>
  <si>
    <t>CAP/SW/461</t>
  </si>
  <si>
    <t xml:space="preserve">ADYA </t>
  </si>
  <si>
    <t>CAP/SW/462</t>
  </si>
  <si>
    <t xml:space="preserve">JYOTIRADITYA </t>
  </si>
  <si>
    <t>CAP/SW/463</t>
  </si>
  <si>
    <t xml:space="preserve">ARCHANA </t>
  </si>
  <si>
    <t>CAP/SW/464</t>
  </si>
  <si>
    <t xml:space="preserve">AAYUSH </t>
  </si>
  <si>
    <t>CAP/SW/465</t>
  </si>
  <si>
    <t>CAP/SW/466</t>
  </si>
  <si>
    <t>CAP/SW/467</t>
  </si>
  <si>
    <t>CAP/SW/468</t>
  </si>
  <si>
    <t>CAP/SW/469</t>
  </si>
  <si>
    <t>CAP/SW/470</t>
  </si>
  <si>
    <t>CAP/SW/471</t>
  </si>
  <si>
    <t>CAP/SW/472</t>
  </si>
  <si>
    <t>CAP/SW/473</t>
  </si>
  <si>
    <t>CAP/SW/474</t>
  </si>
  <si>
    <t>CAP/SW/475</t>
  </si>
  <si>
    <t>CAP/SW/476</t>
  </si>
  <si>
    <t>CAP/SW/477</t>
  </si>
  <si>
    <t>CAP/SW/478</t>
  </si>
  <si>
    <t>CAP/SW/479</t>
  </si>
  <si>
    <t>CAP/SW/480</t>
  </si>
  <si>
    <t>CAP/SW/481</t>
  </si>
  <si>
    <t>CAP/SW/482</t>
  </si>
  <si>
    <t>CAP/SW/483</t>
  </si>
  <si>
    <t>CAP/SW/484</t>
  </si>
  <si>
    <t>CAP/SW/485</t>
  </si>
  <si>
    <t>CAP/SW/486</t>
  </si>
  <si>
    <t>CAP/SW/487</t>
  </si>
  <si>
    <t>CAP/SW/488</t>
  </si>
  <si>
    <t>CAP/SW/489</t>
  </si>
  <si>
    <t>CAP/SW/490</t>
  </si>
  <si>
    <t>CAP/SW/491</t>
  </si>
  <si>
    <t>CAP/SW/492</t>
  </si>
  <si>
    <t>tommorow</t>
  </si>
  <si>
    <t>2-3 days</t>
  </si>
  <si>
    <t>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</si>
</sst>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;[Red]0"/>
    <numFmt numFmtId="165" formatCode="_-&quot;$&quot;* #,##0.00_-;\-&quot;$&quot;* #,##0.00_-;_-&quot;$&quot;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rgb="FF595959"/>
      <name val="Calibri"/>
      <family val="2"/>
    </font>
    <font>
      <b/>
      <sz val="11"/>
      <color rgb="FF595959"/>
      <name val="Calibri"/>
      <family val="2"/>
    </font>
    <font>
      <sz val="11"/>
      <name val="Calibri"/>
      <family val="2"/>
      <scheme val="minor"/>
    </font>
    <font>
      <b/>
      <sz val="11"/>
      <color theme="1"/>
      <name val="Calibri Light"/>
      <family val="1"/>
      <scheme val="major"/>
    </font>
    <font>
      <b/>
      <sz val="9"/>
      <color theme="1"/>
      <name val="Calibri Light"/>
      <family val="2"/>
      <scheme val="major"/>
    </font>
    <font>
      <sz val="11"/>
      <color rgb="FFE40A1A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EEEEEE"/>
        <bgColor rgb="FFFFFFFF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40A1A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10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2" xfId="0" applyBorder="1"/>
    <xf numFmtId="0" fontId="4" fillId="3" borderId="0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textRotation="90"/>
    </xf>
    <xf numFmtId="0" fontId="0" fillId="7" borderId="3" xfId="0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8" borderId="3" xfId="0" applyFill="1" applyBorder="1" applyAlignment="1">
      <alignment horizontal="center" vertical="center"/>
    </xf>
    <xf numFmtId="0" fontId="0" fillId="8" borderId="3" xfId="0" applyFill="1" applyBorder="1" applyAlignment="1">
      <alignment horizontal="center"/>
    </xf>
    <xf numFmtId="0" fontId="0" fillId="8" borderId="0" xfId="0" applyFill="1"/>
    <xf numFmtId="0" fontId="0" fillId="7" borderId="0" xfId="0" applyFill="1"/>
    <xf numFmtId="0" fontId="0" fillId="10" borderId="0" xfId="0" applyFill="1"/>
    <xf numFmtId="164" fontId="0" fillId="7" borderId="3" xfId="0" applyNumberFormat="1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11" borderId="0" xfId="0" applyFill="1"/>
    <xf numFmtId="0" fontId="0" fillId="12" borderId="0" xfId="0" applyFill="1"/>
    <xf numFmtId="0" fontId="0" fillId="0" borderId="0" xfId="0" applyAlignment="1">
      <alignment horizontal="center"/>
    </xf>
    <xf numFmtId="0" fontId="0" fillId="13" borderId="0" xfId="0" applyFill="1"/>
    <xf numFmtId="165" fontId="0" fillId="0" borderId="3" xfId="0" applyNumberFormat="1" applyBorder="1"/>
    <xf numFmtId="165" fontId="2" fillId="7" borderId="3" xfId="1" applyFont="1" applyFill="1" applyBorder="1"/>
    <xf numFmtId="14" fontId="0" fillId="7" borderId="3" xfId="0" applyNumberFormat="1" applyFill="1" applyBorder="1"/>
    <xf numFmtId="0" fontId="0" fillId="7" borderId="3" xfId="0" applyFill="1" applyBorder="1"/>
    <xf numFmtId="14" fontId="2" fillId="7" borderId="3" xfId="0" applyNumberFormat="1" applyFont="1" applyFill="1" applyBorder="1"/>
    <xf numFmtId="16" fontId="0" fillId="0" borderId="3" xfId="0" applyNumberFormat="1" applyBorder="1"/>
    <xf numFmtId="0" fontId="0" fillId="0" borderId="3" xfId="0" applyBorder="1"/>
    <xf numFmtId="0" fontId="0" fillId="8" borderId="3" xfId="0" applyFill="1" applyBorder="1"/>
    <xf numFmtId="165" fontId="0" fillId="8" borderId="3" xfId="0" applyNumberFormat="1" applyFill="1" applyBorder="1"/>
    <xf numFmtId="165" fontId="2" fillId="8" borderId="3" xfId="1" applyFont="1" applyFill="1" applyBorder="1"/>
    <xf numFmtId="14" fontId="0" fillId="8" borderId="3" xfId="0" applyNumberFormat="1" applyFill="1" applyBorder="1"/>
    <xf numFmtId="14" fontId="2" fillId="8" borderId="3" xfId="0" applyNumberFormat="1" applyFont="1" applyFill="1" applyBorder="1"/>
    <xf numFmtId="0" fontId="0" fillId="0" borderId="3" xfId="0" applyFill="1" applyBorder="1" applyAlignment="1">
      <alignment horizontal="center"/>
    </xf>
    <xf numFmtId="14" fontId="0" fillId="0" borderId="3" xfId="0" applyNumberFormat="1" applyBorder="1"/>
    <xf numFmtId="165" fontId="0" fillId="7" borderId="3" xfId="0" applyNumberFormat="1" applyFill="1" applyBorder="1"/>
    <xf numFmtId="0" fontId="0" fillId="12" borderId="3" xfId="0" applyFill="1" applyBorder="1"/>
    <xf numFmtId="14" fontId="2" fillId="12" borderId="3" xfId="0" applyNumberFormat="1" applyFont="1" applyFill="1" applyBorder="1"/>
    <xf numFmtId="0" fontId="0" fillId="9" borderId="0" xfId="0" applyFill="1"/>
    <xf numFmtId="0" fontId="0" fillId="14" borderId="0" xfId="0" applyFill="1"/>
    <xf numFmtId="0" fontId="7" fillId="7" borderId="6" xfId="0" applyFont="1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/>
    </xf>
    <xf numFmtId="164" fontId="0" fillId="0" borderId="3" xfId="0" applyNumberFormat="1" applyBorder="1"/>
    <xf numFmtId="164" fontId="0" fillId="7" borderId="3" xfId="0" applyNumberFormat="1" applyFill="1" applyBorder="1"/>
    <xf numFmtId="0" fontId="0" fillId="15" borderId="0" xfId="0" applyFill="1"/>
    <xf numFmtId="164" fontId="0" fillId="0" borderId="0" xfId="0" applyNumberFormat="1"/>
    <xf numFmtId="0" fontId="0" fillId="0" borderId="5" xfId="0" applyBorder="1"/>
    <xf numFmtId="164" fontId="0" fillId="12" borderId="3" xfId="0" applyNumberFormat="1" applyFill="1" applyBorder="1"/>
    <xf numFmtId="14" fontId="0" fillId="12" borderId="3" xfId="0" applyNumberFormat="1" applyFill="1" applyBorder="1"/>
    <xf numFmtId="0" fontId="0" fillId="16" borderId="0" xfId="0" applyFill="1"/>
    <xf numFmtId="0" fontId="0" fillId="17" borderId="0" xfId="0" applyFill="1"/>
    <xf numFmtId="0" fontId="0" fillId="18" borderId="0" xfId="0" applyFill="1"/>
    <xf numFmtId="165" fontId="0" fillId="12" borderId="3" xfId="0" applyNumberFormat="1" applyFill="1" applyBorder="1"/>
    <xf numFmtId="165" fontId="2" fillId="12" borderId="3" xfId="1" applyFont="1" applyFill="1" applyBorder="1"/>
    <xf numFmtId="16" fontId="0" fillId="7" borderId="3" xfId="0" applyNumberFormat="1" applyFill="1" applyBorder="1"/>
    <xf numFmtId="16" fontId="0" fillId="12" borderId="3" xfId="0" applyNumberFormat="1" applyFill="1" applyBorder="1"/>
    <xf numFmtId="0" fontId="0" fillId="19" borderId="0" xfId="0" applyFill="1"/>
    <xf numFmtId="0" fontId="0" fillId="10" borderId="3" xfId="0" applyFill="1" applyBorder="1"/>
    <xf numFmtId="16" fontId="0" fillId="10" borderId="3" xfId="0" applyNumberFormat="1" applyFill="1" applyBorder="1"/>
    <xf numFmtId="165" fontId="0" fillId="10" borderId="3" xfId="0" applyNumberFormat="1" applyFill="1" applyBorder="1"/>
    <xf numFmtId="165" fontId="2" fillId="10" borderId="3" xfId="1" applyFont="1" applyFill="1" applyBorder="1"/>
    <xf numFmtId="14" fontId="0" fillId="10" borderId="3" xfId="0" applyNumberFormat="1" applyFill="1" applyBorder="1"/>
    <xf numFmtId="0" fontId="0" fillId="15" borderId="3" xfId="0" applyFill="1" applyBorder="1"/>
    <xf numFmtId="16" fontId="0" fillId="15" borderId="3" xfId="0" applyNumberFormat="1" applyFill="1" applyBorder="1"/>
    <xf numFmtId="165" fontId="0" fillId="15" borderId="3" xfId="0" applyNumberFormat="1" applyFill="1" applyBorder="1"/>
    <xf numFmtId="165" fontId="2" fillId="15" borderId="3" xfId="1" applyFont="1" applyFill="1" applyBorder="1"/>
    <xf numFmtId="14" fontId="0" fillId="15" borderId="3" xfId="0" applyNumberFormat="1" applyFill="1" applyBorder="1"/>
    <xf numFmtId="16" fontId="9" fillId="7" borderId="3" xfId="0" applyNumberFormat="1" applyFont="1" applyFill="1" applyBorder="1"/>
    <xf numFmtId="0" fontId="6" fillId="7" borderId="3" xfId="0" applyFont="1" applyFill="1" applyBorder="1"/>
    <xf numFmtId="165" fontId="0" fillId="7" borderId="3" xfId="1" applyFont="1" applyFill="1" applyBorder="1"/>
    <xf numFmtId="165" fontId="6" fillId="7" borderId="3" xfId="1" applyFont="1" applyFill="1" applyBorder="1"/>
    <xf numFmtId="165" fontId="6" fillId="0" borderId="3" xfId="0" applyNumberFormat="1" applyFont="1" applyBorder="1"/>
    <xf numFmtId="14" fontId="6" fillId="7" borderId="3" xfId="0" applyNumberFormat="1" applyFont="1" applyFill="1" applyBorder="1"/>
    <xf numFmtId="0" fontId="0" fillId="13" borderId="3" xfId="0" applyFill="1" applyBorder="1"/>
    <xf numFmtId="16" fontId="0" fillId="13" borderId="3" xfId="0" applyNumberFormat="1" applyFill="1" applyBorder="1"/>
    <xf numFmtId="165" fontId="0" fillId="13" borderId="3" xfId="0" applyNumberFormat="1" applyFill="1" applyBorder="1"/>
    <xf numFmtId="165" fontId="2" fillId="13" borderId="3" xfId="1" applyFont="1" applyFill="1" applyBorder="1"/>
    <xf numFmtId="14" fontId="0" fillId="13" borderId="3" xfId="0" applyNumberFormat="1" applyFill="1" applyBorder="1"/>
    <xf numFmtId="14" fontId="2" fillId="13" borderId="3" xfId="0" applyNumberFormat="1" applyFont="1" applyFill="1" applyBorder="1"/>
    <xf numFmtId="0" fontId="0" fillId="7" borderId="8" xfId="0" applyFill="1" applyBorder="1"/>
    <xf numFmtId="16" fontId="0" fillId="7" borderId="8" xfId="0" applyNumberFormat="1" applyFill="1" applyBorder="1"/>
    <xf numFmtId="0" fontId="0" fillId="0" borderId="8" xfId="0" applyBorder="1" applyAlignment="1">
      <alignment horizontal="center"/>
    </xf>
    <xf numFmtId="165" fontId="0" fillId="7" borderId="8" xfId="0" applyNumberFormat="1" applyFill="1" applyBorder="1"/>
    <xf numFmtId="0" fontId="0" fillId="0" borderId="9" xfId="0" applyBorder="1"/>
    <xf numFmtId="0" fontId="0" fillId="0" borderId="9" xfId="0" applyBorder="1" applyAlignment="1">
      <alignment horizontal="center"/>
    </xf>
    <xf numFmtId="165" fontId="0" fillId="0" borderId="9" xfId="0" applyNumberFormat="1" applyBorder="1"/>
    <xf numFmtId="165" fontId="2" fillId="7" borderId="9" xfId="1" applyFont="1" applyFill="1" applyBorder="1"/>
    <xf numFmtId="14" fontId="0" fillId="0" borderId="9" xfId="0" applyNumberFormat="1" applyBorder="1"/>
    <xf numFmtId="14" fontId="0" fillId="7" borderId="9" xfId="0" applyNumberFormat="1" applyFill="1" applyBorder="1"/>
    <xf numFmtId="0" fontId="0" fillId="0" borderId="8" xfId="0" applyBorder="1"/>
    <xf numFmtId="165" fontId="0" fillId="0" borderId="8" xfId="0" applyNumberFormat="1" applyBorder="1"/>
    <xf numFmtId="165" fontId="2" fillId="7" borderId="8" xfId="1" applyFont="1" applyFill="1" applyBorder="1"/>
    <xf numFmtId="14" fontId="0" fillId="0" borderId="8" xfId="0" applyNumberFormat="1" applyBorder="1"/>
    <xf numFmtId="14" fontId="0" fillId="7" borderId="8" xfId="0" applyNumberFormat="1" applyFill="1" applyBorder="1"/>
    <xf numFmtId="14" fontId="2" fillId="7" borderId="8" xfId="0" applyNumberFormat="1" applyFont="1" applyFill="1" applyBorder="1"/>
  </cellXfs>
  <cellStyles count="2">
    <cellStyle name="Currency 2" xfId="1"/>
    <cellStyle name="Normal" xfId="0" builtinId="0"/>
  </cellStyles>
  <dxfs count="12">
    <dxf>
      <font>
        <color rgb="FFC00000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xpirationreminder.net/?utm_source=leadpage&amp;utm_medium=excelleadpage&amp;utm_campaign=exceltemplateclubmembershipdatabase" TargetMode="External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742950</xdr:colOff>
      <xdr:row>2</xdr:row>
      <xdr:rowOff>123825</xdr:rowOff>
    </xdr:from>
    <xdr:to>
      <xdr:col>3</xdr:col>
      <xdr:colOff>1130427</xdr:colOff>
      <xdr:row>3</xdr:row>
      <xdr:rowOff>7212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4725" y="542925"/>
          <a:ext cx="387477" cy="0"/>
        </a:xfrm>
        <a:prstGeom prst="rect">
          <a:avLst/>
        </a:prstGeom>
      </xdr:spPr>
    </xdr:pic>
    <xdr:clientData/>
  </xdr:twoCellAnchor>
  <xdr:twoCellAnchor>
    <xdr:from>
      <xdr:col>4</xdr:col>
      <xdr:colOff>933449</xdr:colOff>
      <xdr:row>0</xdr:row>
      <xdr:rowOff>114298</xdr:rowOff>
    </xdr:from>
    <xdr:to>
      <xdr:col>5</xdr:col>
      <xdr:colOff>0</xdr:colOff>
      <xdr:row>3</xdr:row>
      <xdr:rowOff>38100</xdr:rowOff>
    </xdr:to>
    <xdr:sp macro="" textlink="">
      <xdr:nvSpPr>
        <xdr:cNvPr id="3" name="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200774" y="114298"/>
          <a:ext cx="152401" cy="428627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800" b="1">
            <a:solidFill>
              <a:schemeClr val="bg1"/>
            </a:solidFill>
          </a:endParaRPr>
        </a:p>
        <a:p>
          <a:pPr algn="l"/>
          <a:r>
            <a:rPr lang="en-CA" sz="2000" b="1">
              <a:solidFill>
                <a:schemeClr val="bg1"/>
              </a:solidFill>
            </a:rPr>
            <a:t>Track</a:t>
          </a:r>
          <a:r>
            <a:rPr lang="en-CA" sz="2000" b="1" baseline="0">
              <a:solidFill>
                <a:schemeClr val="bg1"/>
              </a:solidFill>
            </a:rPr>
            <a:t> &amp; Notify</a:t>
          </a:r>
        </a:p>
        <a:p>
          <a:pPr algn="l"/>
          <a:r>
            <a:rPr lang="en-CA" sz="1100" baseline="0">
              <a:solidFill>
                <a:schemeClr val="bg1"/>
              </a:solidFill>
            </a:rPr>
            <a:t>Send reminders to contacts</a:t>
          </a:r>
          <a:endParaRPr lang="en-CA" sz="110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933449</xdr:colOff>
      <xdr:row>0</xdr:row>
      <xdr:rowOff>114298</xdr:rowOff>
    </xdr:from>
    <xdr:to>
      <xdr:col>5</xdr:col>
      <xdr:colOff>0</xdr:colOff>
      <xdr:row>4</xdr:row>
      <xdr:rowOff>38100</xdr:rowOff>
    </xdr:to>
    <xdr:sp macro="" textlink="">
      <xdr:nvSpPr>
        <xdr:cNvPr id="4" name="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200774" y="114298"/>
          <a:ext cx="152401" cy="428627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800" b="1">
            <a:solidFill>
              <a:schemeClr val="bg1"/>
            </a:solidFill>
          </a:endParaRPr>
        </a:p>
        <a:p>
          <a:pPr algn="l"/>
          <a:r>
            <a:rPr lang="en-CA" sz="2000" b="1">
              <a:solidFill>
                <a:schemeClr val="bg1"/>
              </a:solidFill>
            </a:rPr>
            <a:t>Track</a:t>
          </a:r>
          <a:r>
            <a:rPr lang="en-CA" sz="2000" b="1" baseline="0">
              <a:solidFill>
                <a:schemeClr val="bg1"/>
              </a:solidFill>
            </a:rPr>
            <a:t> &amp; Notify</a:t>
          </a:r>
        </a:p>
        <a:p>
          <a:pPr algn="l"/>
          <a:r>
            <a:rPr lang="en-CA" sz="1100" baseline="0">
              <a:solidFill>
                <a:schemeClr val="bg1"/>
              </a:solidFill>
            </a:rPr>
            <a:t>Send reminders to contacts</a:t>
          </a:r>
          <a:endParaRPr lang="en-CA" sz="110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933449</xdr:colOff>
      <xdr:row>0</xdr:row>
      <xdr:rowOff>114298</xdr:rowOff>
    </xdr:from>
    <xdr:to>
      <xdr:col>5</xdr:col>
      <xdr:colOff>0</xdr:colOff>
      <xdr:row>4</xdr:row>
      <xdr:rowOff>38100</xdr:rowOff>
    </xdr:to>
    <xdr:sp macro="" textlink="">
      <xdr:nvSpPr>
        <xdr:cNvPr id="5" name="Rectangl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200774" y="114298"/>
          <a:ext cx="152401" cy="428627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800" b="1">
            <a:solidFill>
              <a:schemeClr val="bg1"/>
            </a:solidFill>
          </a:endParaRPr>
        </a:p>
        <a:p>
          <a:pPr algn="l"/>
          <a:r>
            <a:rPr lang="en-CA" sz="2000" b="1">
              <a:solidFill>
                <a:schemeClr val="bg1"/>
              </a:solidFill>
            </a:rPr>
            <a:t>Track</a:t>
          </a:r>
          <a:r>
            <a:rPr lang="en-CA" sz="2000" b="1" baseline="0">
              <a:solidFill>
                <a:schemeClr val="bg1"/>
              </a:solidFill>
            </a:rPr>
            <a:t> &amp; Notify</a:t>
          </a:r>
        </a:p>
        <a:p>
          <a:pPr algn="l"/>
          <a:r>
            <a:rPr lang="en-CA" sz="1100" baseline="0">
              <a:solidFill>
                <a:schemeClr val="bg1"/>
              </a:solidFill>
            </a:rPr>
            <a:t>Send reminders to contacts</a:t>
          </a:r>
          <a:endParaRPr lang="en-CA" sz="1100">
            <a:solidFill>
              <a:schemeClr val="bg1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p\Desktop\CAPERSPORTSCLUBDATABASE%20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mbership Level"/>
      <sheetName val="SWIMMING 2026"/>
      <sheetName val="Sheet1"/>
      <sheetName val="CRICKET NIRANJAN"/>
      <sheetName val="ZUMBA"/>
    </sheetNames>
    <sheetDataSet>
      <sheetData sheetId="0">
        <row r="3">
          <cell r="A3" t="str">
            <v>Cricket Month</v>
          </cell>
          <cell r="B3">
            <v>1</v>
          </cell>
          <cell r="C3">
            <v>30</v>
          </cell>
        </row>
        <row r="4">
          <cell r="A4" t="str">
            <v>Cricket Qty</v>
          </cell>
          <cell r="B4">
            <v>3</v>
          </cell>
          <cell r="C4">
            <v>90</v>
          </cell>
        </row>
        <row r="5">
          <cell r="A5" t="str">
            <v>Cricket HY</v>
          </cell>
          <cell r="B5">
            <v>6</v>
          </cell>
          <cell r="C5">
            <v>180</v>
          </cell>
        </row>
        <row r="6">
          <cell r="A6" t="str">
            <v>Cricket Y</v>
          </cell>
          <cell r="B6">
            <v>12</v>
          </cell>
          <cell r="C6">
            <v>360</v>
          </cell>
        </row>
        <row r="7">
          <cell r="A7" t="str">
            <v>Tennis Moth</v>
          </cell>
          <cell r="B7">
            <v>1</v>
          </cell>
          <cell r="C7">
            <v>30</v>
          </cell>
        </row>
        <row r="8">
          <cell r="A8" t="str">
            <v>Tennis Qty</v>
          </cell>
          <cell r="B8">
            <v>3</v>
          </cell>
          <cell r="C8">
            <v>90</v>
          </cell>
        </row>
        <row r="9">
          <cell r="A9" t="str">
            <v>Tennis HY</v>
          </cell>
          <cell r="B9">
            <v>6</v>
          </cell>
          <cell r="C9">
            <v>180</v>
          </cell>
        </row>
        <row r="10">
          <cell r="A10" t="str">
            <v>Tennis Y</v>
          </cell>
          <cell r="B10">
            <v>12</v>
          </cell>
          <cell r="C10">
            <v>360</v>
          </cell>
        </row>
        <row r="11">
          <cell r="A11" t="str">
            <v>Swimming 2 Moth</v>
          </cell>
          <cell r="B11">
            <v>2</v>
          </cell>
          <cell r="C11">
            <v>60</v>
          </cell>
        </row>
        <row r="12">
          <cell r="A12" t="str">
            <v>Swimming Moth</v>
          </cell>
          <cell r="B12">
            <v>1</v>
          </cell>
          <cell r="C12">
            <v>30</v>
          </cell>
        </row>
        <row r="13">
          <cell r="A13" t="str">
            <v>Swimming Qty</v>
          </cell>
          <cell r="B13">
            <v>3</v>
          </cell>
          <cell r="C13">
            <v>90</v>
          </cell>
        </row>
        <row r="14">
          <cell r="A14" t="str">
            <v>Swimming HY</v>
          </cell>
          <cell r="B14">
            <v>6</v>
          </cell>
          <cell r="C14">
            <v>180</v>
          </cell>
        </row>
        <row r="15">
          <cell r="A15" t="str">
            <v>Swimming y</v>
          </cell>
          <cell r="B15">
            <v>12</v>
          </cell>
          <cell r="C15">
            <v>360</v>
          </cell>
        </row>
        <row r="16">
          <cell r="A16" t="str">
            <v>Swimming Qty (3 days)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11" sqref="C11:C14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75"/>
  <sheetViews>
    <sheetView tabSelected="1" zoomScale="103" zoomScaleNormal="103" workbookViewId="0">
      <pane ySplit="8" topLeftCell="A51" activePane="bottomLeft" state="frozen"/>
      <selection pane="bottomLeft" activeCell="D26" sqref="D26"/>
    </sheetView>
  </sheetViews>
  <sheetFormatPr defaultRowHeight="15" x14ac:dyDescent="0.25"/>
  <cols>
    <col min="1" max="1" width="13.85546875" customWidth="1"/>
    <col min="2" max="2" width="10.7109375" customWidth="1"/>
    <col min="3" max="3" width="17" bestFit="1" customWidth="1"/>
    <col min="4" max="4" width="37.42578125" customWidth="1"/>
    <col min="5" max="5" width="16.28515625" bestFit="1" customWidth="1"/>
    <col min="6" max="6" width="20.5703125" customWidth="1"/>
    <col min="7" max="7" width="22.5703125" customWidth="1"/>
    <col min="8" max="8" width="17.42578125" bestFit="1" customWidth="1"/>
    <col min="9" max="9" width="12.5703125" customWidth="1"/>
    <col min="10" max="10" width="12.28515625" customWidth="1"/>
    <col min="11" max="11" width="11.5703125" bestFit="1" customWidth="1"/>
    <col min="12" max="12" width="11.140625" customWidth="1"/>
    <col min="13" max="13" width="5.85546875" hidden="1" customWidth="1"/>
    <col min="14" max="14" width="13.5703125" customWidth="1"/>
    <col min="15" max="15" width="9.28515625" bestFit="1" customWidth="1"/>
    <col min="16" max="16" width="13.42578125" customWidth="1"/>
    <col min="17" max="17" width="54.85546875" customWidth="1"/>
  </cols>
  <sheetData>
    <row r="1" spans="1:17" x14ac:dyDescent="0.25">
      <c r="C1" s="1"/>
      <c r="D1" s="2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8" customHeight="1" x14ac:dyDescent="0.35">
      <c r="C2" s="1"/>
      <c r="D2" s="3" t="s">
        <v>0</v>
      </c>
      <c r="E2" s="3">
        <v>-2026</v>
      </c>
      <c r="F2" s="4"/>
      <c r="G2" s="4"/>
      <c r="H2" s="4"/>
      <c r="I2" s="4"/>
      <c r="J2" s="4"/>
      <c r="K2" s="1"/>
      <c r="L2" s="1"/>
      <c r="M2" s="1"/>
      <c r="N2" s="1"/>
      <c r="O2" s="1"/>
      <c r="P2" s="1"/>
      <c r="Q2" s="1"/>
    </row>
    <row r="3" spans="1:17" ht="9.75" customHeight="1" x14ac:dyDescent="0.25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idden="1" x14ac:dyDescent="0.25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idden="1" x14ac:dyDescent="0.25">
      <c r="C5" s="1">
        <f>3300*30/100</f>
        <v>990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idden="1" x14ac:dyDescent="0.25"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ht="27.75" customHeight="1" x14ac:dyDescent="0.25">
      <c r="A7" s="6" t="s">
        <v>1</v>
      </c>
      <c r="B7" s="6"/>
      <c r="C7" s="6"/>
      <c r="D7" s="6"/>
      <c r="E7" s="6"/>
      <c r="F7" s="7" t="s">
        <v>2</v>
      </c>
      <c r="G7" s="7"/>
      <c r="H7" s="7"/>
      <c r="I7" s="7"/>
      <c r="J7" s="7"/>
      <c r="K7" s="7"/>
      <c r="L7" s="7"/>
      <c r="M7" s="8" t="s">
        <v>3</v>
      </c>
      <c r="N7" s="9"/>
      <c r="O7" s="9"/>
      <c r="P7" s="9"/>
      <c r="Q7" s="9"/>
    </row>
    <row r="8" spans="1:17" ht="48" customHeight="1" x14ac:dyDescent="0.25">
      <c r="A8" s="10" t="s">
        <v>4</v>
      </c>
      <c r="B8" s="10" t="s">
        <v>5</v>
      </c>
      <c r="C8" s="11" t="s">
        <v>6</v>
      </c>
      <c r="D8" s="12" t="s">
        <v>7</v>
      </c>
      <c r="E8" s="13" t="s">
        <v>8</v>
      </c>
      <c r="F8" s="14" t="s">
        <v>9</v>
      </c>
      <c r="G8" s="12" t="s">
        <v>10</v>
      </c>
      <c r="H8" s="14" t="s">
        <v>11</v>
      </c>
      <c r="I8" s="14" t="s">
        <v>12</v>
      </c>
      <c r="J8" s="14" t="s">
        <v>13</v>
      </c>
      <c r="K8" s="14" t="s">
        <v>14</v>
      </c>
      <c r="L8" s="14" t="s">
        <v>15</v>
      </c>
      <c r="M8" s="15" t="s">
        <v>16</v>
      </c>
      <c r="N8" s="12" t="s">
        <v>17</v>
      </c>
      <c r="O8" s="12" t="s">
        <v>18</v>
      </c>
      <c r="P8" s="12" t="s">
        <v>19</v>
      </c>
      <c r="Q8" s="12" t="s">
        <v>20</v>
      </c>
    </row>
    <row r="9" spans="1:17" x14ac:dyDescent="0.25">
      <c r="A9" s="16" t="s">
        <v>64</v>
      </c>
      <c r="B9" s="32">
        <v>46127</v>
      </c>
      <c r="C9" s="18" t="s">
        <v>38</v>
      </c>
      <c r="D9" s="18" t="s">
        <v>65</v>
      </c>
      <c r="E9" s="17">
        <v>9122516151</v>
      </c>
      <c r="F9" s="18" t="str">
        <f>'[1]Membership Level'!A12</f>
        <v>Swimming Moth</v>
      </c>
      <c r="G9" s="18" t="s">
        <v>24</v>
      </c>
      <c r="H9" s="30">
        <v>3300</v>
      </c>
      <c r="I9" s="30">
        <v>3300</v>
      </c>
      <c r="J9" s="31">
        <f t="shared" ref="J9:J60" si="0">H9-I9</f>
        <v>0</v>
      </c>
      <c r="K9" s="43">
        <v>46127</v>
      </c>
      <c r="L9" s="32">
        <f>DATE(YEAR(K9),MONTH(K9)+VLOOKUP($F9,'[1]Membership Level'!$A$3:$B$15,2,FALSE),DAY(K9))</f>
        <v>46157</v>
      </c>
      <c r="M9" s="33">
        <v>3</v>
      </c>
      <c r="N9" s="34" t="e">
        <f>IF($L9&lt;&gt;0,DATE(YEAR($L9),MONTH($L9)-#REF!,DAY($L9)-$M9),"")</f>
        <v>#REF!</v>
      </c>
      <c r="O9" s="33">
        <f t="shared" ref="O9:O60" ca="1" si="1">IF(DAYS360(NOW(), $L9) &gt;= 0, DAYS360(NOW(), $L9), "")</f>
        <v>24</v>
      </c>
      <c r="P9" s="34">
        <f>I9/H9*VLOOKUP(F9,'[1]Membership Level'!$A$3:$C$15,3,FALSE)+K9</f>
        <v>46157</v>
      </c>
      <c r="Q9" s="42"/>
    </row>
    <row r="10" spans="1:17" x14ac:dyDescent="0.25">
      <c r="A10" s="16" t="s">
        <v>66</v>
      </c>
      <c r="B10" s="32">
        <v>46127</v>
      </c>
      <c r="C10" s="18" t="s">
        <v>67</v>
      </c>
      <c r="D10" s="18" t="s">
        <v>68</v>
      </c>
      <c r="E10" s="17">
        <v>9899582476</v>
      </c>
      <c r="F10" s="18" t="str">
        <f>'[1]Membership Level'!A12</f>
        <v>Swimming Moth</v>
      </c>
      <c r="G10" s="18" t="s">
        <v>28</v>
      </c>
      <c r="H10" s="30">
        <v>3500</v>
      </c>
      <c r="I10" s="30">
        <v>3500</v>
      </c>
      <c r="J10" s="31">
        <f t="shared" si="0"/>
        <v>0</v>
      </c>
      <c r="K10" s="43">
        <v>46127</v>
      </c>
      <c r="L10" s="32">
        <f>DATE(YEAR(K10),MONTH(K10)+VLOOKUP($F10,'[1]Membership Level'!$A$3:$B$15,2,FALSE),DAY(K10))</f>
        <v>46157</v>
      </c>
      <c r="M10" s="33">
        <v>3</v>
      </c>
      <c r="N10" s="34" t="e">
        <f>IF($L10&lt;&gt;0,DATE(YEAR($L10),MONTH($L10)-#REF!,DAY($L10)-$M10),"")</f>
        <v>#REF!</v>
      </c>
      <c r="O10" s="33">
        <f t="shared" ca="1" si="1"/>
        <v>24</v>
      </c>
      <c r="P10" s="34">
        <f>I10/H10*VLOOKUP(F10,'[1]Membership Level'!$A$3:$C$15,3,FALSE)+K10</f>
        <v>46157</v>
      </c>
      <c r="Q10" s="42"/>
    </row>
    <row r="11" spans="1:17" ht="15.75" thickBot="1" x14ac:dyDescent="0.3">
      <c r="A11" s="16" t="s">
        <v>69</v>
      </c>
      <c r="B11" s="32">
        <v>46127</v>
      </c>
      <c r="C11" s="18" t="s">
        <v>67</v>
      </c>
      <c r="D11" s="28" t="s">
        <v>70</v>
      </c>
      <c r="E11" s="17">
        <v>9899582476</v>
      </c>
      <c r="F11" s="18" t="str">
        <f>'[1]Membership Level'!A12</f>
        <v>Swimming Moth</v>
      </c>
      <c r="G11" s="18" t="s">
        <v>28</v>
      </c>
      <c r="H11" s="30">
        <v>4000</v>
      </c>
      <c r="I11" s="30">
        <v>4000</v>
      </c>
      <c r="J11" s="31">
        <f t="shared" si="0"/>
        <v>0</v>
      </c>
      <c r="K11" s="43" t="s">
        <v>71</v>
      </c>
      <c r="L11" s="32" t="e">
        <f>DATE(YEAR(K11),MONTH(K11)+VLOOKUP($F11,'[1]Membership Level'!$A$3:$B$15,2,FALSE),DAY(K11))</f>
        <v>#VALUE!</v>
      </c>
      <c r="M11" s="33">
        <v>3</v>
      </c>
      <c r="N11" s="34" t="e">
        <f>IF($L11&lt;&gt;0,DATE(YEAR($L11),MONTH($L11)-#REF!,DAY($L11)-$M11),"")</f>
        <v>#VALUE!</v>
      </c>
      <c r="O11" s="33" t="e">
        <f t="shared" ca="1" si="1"/>
        <v>#VALUE!</v>
      </c>
      <c r="P11" s="34" t="e">
        <f>I11/H11*VLOOKUP(F11,'[1]Membership Level'!$A$3:$C$15,3,FALSE)+K11</f>
        <v>#VALUE!</v>
      </c>
      <c r="Q11" s="42"/>
    </row>
    <row r="12" spans="1:17" ht="19.5" customHeight="1" thickBot="1" x14ac:dyDescent="0.3">
      <c r="A12" s="16" t="s">
        <v>72</v>
      </c>
      <c r="B12" s="32">
        <v>46127</v>
      </c>
      <c r="C12" s="18" t="s">
        <v>67</v>
      </c>
      <c r="D12" s="18" t="s">
        <v>73</v>
      </c>
      <c r="E12" s="49">
        <v>9899582476</v>
      </c>
      <c r="F12" s="50" t="str">
        <f>'[1]Membership Level'!A12</f>
        <v>Swimming Moth</v>
      </c>
      <c r="G12" s="18" t="s">
        <v>28</v>
      </c>
      <c r="H12" s="30">
        <v>4000</v>
      </c>
      <c r="I12" s="30">
        <v>4000</v>
      </c>
      <c r="J12" s="31">
        <f t="shared" si="0"/>
        <v>0</v>
      </c>
      <c r="K12" s="43">
        <v>46127</v>
      </c>
      <c r="L12" s="32" t="e">
        <f>DATE(YEAR(K12),MONTH(K12)+VLOOKUP(#REF!,'[1]Membership Level'!$A$3:$B$15,2,FALSE),DAY(K12))</f>
        <v>#REF!</v>
      </c>
      <c r="M12" s="33">
        <v>3</v>
      </c>
      <c r="N12" s="34" t="e">
        <f>IF($L12&lt;&gt;0,DATE(YEAR($L12),MONTH($L12)-#REF!,DAY($L12)-$M12),"")</f>
        <v>#REF!</v>
      </c>
      <c r="O12" s="33" t="e">
        <f t="shared" ca="1" si="1"/>
        <v>#REF!</v>
      </c>
      <c r="P12" s="34" t="e">
        <f>I12/H12*VLOOKUP(#REF!,'[1]Membership Level'!$A$3:$C$15,3,FALSE)+K12</f>
        <v>#REF!</v>
      </c>
      <c r="Q12" s="42"/>
    </row>
    <row r="13" spans="1:17" ht="15.75" thickBot="1" x14ac:dyDescent="0.3">
      <c r="A13" s="16" t="s">
        <v>74</v>
      </c>
      <c r="B13" s="32">
        <v>46127</v>
      </c>
      <c r="C13" s="18" t="s">
        <v>75</v>
      </c>
      <c r="D13" s="18" t="s">
        <v>76</v>
      </c>
      <c r="E13" s="49">
        <v>8210438591</v>
      </c>
      <c r="F13" s="50" t="str">
        <f>'[1]Membership Level'!A12</f>
        <v>Swimming Moth</v>
      </c>
      <c r="G13" s="18" t="s">
        <v>28</v>
      </c>
      <c r="H13" s="30">
        <v>3500</v>
      </c>
      <c r="I13" s="30">
        <v>3500</v>
      </c>
      <c r="J13" s="31">
        <f t="shared" si="0"/>
        <v>0</v>
      </c>
      <c r="K13" s="43">
        <v>46127</v>
      </c>
      <c r="L13" s="32" t="e">
        <f>DATE(YEAR(K13),MONTH(K13)+VLOOKUP(#REF!,'[1]Membership Level'!$A$3:$B$15,2,FALSE),DAY(K13))</f>
        <v>#REF!</v>
      </c>
      <c r="M13" s="33">
        <v>3</v>
      </c>
      <c r="N13" s="34" t="e">
        <f>IF($L13&lt;&gt;0,DATE(YEAR($L13),MONTH($L13)-#REF!,DAY($L13)-$M13),"")</f>
        <v>#REF!</v>
      </c>
      <c r="O13" s="33" t="e">
        <f t="shared" ca="1" si="1"/>
        <v>#REF!</v>
      </c>
      <c r="P13" s="34" t="e">
        <f>I13/H13*VLOOKUP(#REF!,'[1]Membership Level'!$A$3:$C$15,3,FALSE)+K13</f>
        <v>#REF!</v>
      </c>
      <c r="Q13" s="42"/>
    </row>
    <row r="14" spans="1:17" ht="15.75" thickBot="1" x14ac:dyDescent="0.3">
      <c r="A14" s="16" t="s">
        <v>77</v>
      </c>
      <c r="B14" s="32">
        <v>46127</v>
      </c>
      <c r="C14" s="18" t="s">
        <v>23</v>
      </c>
      <c r="D14" s="18" t="s">
        <v>78</v>
      </c>
      <c r="E14" s="49">
        <v>8294267125</v>
      </c>
      <c r="F14" s="50" t="str">
        <f>'[1]Membership Level'!A12</f>
        <v>Swimming Moth</v>
      </c>
      <c r="G14" s="18" t="s">
        <v>40</v>
      </c>
      <c r="H14" s="30">
        <v>3500</v>
      </c>
      <c r="I14" s="30">
        <v>3500</v>
      </c>
      <c r="J14" s="31">
        <f t="shared" si="0"/>
        <v>0</v>
      </c>
      <c r="K14" s="43">
        <v>46127</v>
      </c>
      <c r="L14" s="32">
        <f>DATE(YEAR(K14),MONTH(K14)+VLOOKUP($F12,'[1]Membership Level'!$A$3:$B$15,2,FALSE),DAY(K14))</f>
        <v>46157</v>
      </c>
      <c r="M14" s="33">
        <v>3</v>
      </c>
      <c r="N14" s="34" t="e">
        <f>IF($L14&lt;&gt;0,DATE(YEAR($L14),MONTH($L14)-#REF!,DAY($L14)-$M14),"")</f>
        <v>#REF!</v>
      </c>
      <c r="O14" s="33">
        <f t="shared" ca="1" si="1"/>
        <v>24</v>
      </c>
      <c r="P14" s="34">
        <f>I14/H14*VLOOKUP(F12,'[1]Membership Level'!$A$3:$C$15,3,FALSE)+K14</f>
        <v>46157</v>
      </c>
      <c r="Q14" s="42"/>
    </row>
    <row r="15" spans="1:17" ht="15.75" thickBot="1" x14ac:dyDescent="0.3">
      <c r="A15" s="16" t="s">
        <v>79</v>
      </c>
      <c r="B15" s="32">
        <v>46127</v>
      </c>
      <c r="C15" s="18" t="s">
        <v>23</v>
      </c>
      <c r="D15" s="18" t="s">
        <v>80</v>
      </c>
      <c r="E15" s="49">
        <v>8294267125</v>
      </c>
      <c r="F15" s="50" t="str">
        <f>'[1]Membership Level'!A12</f>
        <v>Swimming Moth</v>
      </c>
      <c r="G15" s="18" t="s">
        <v>28</v>
      </c>
      <c r="H15" s="30">
        <v>4000</v>
      </c>
      <c r="I15" s="30">
        <v>4000</v>
      </c>
      <c r="J15" s="31">
        <f t="shared" si="0"/>
        <v>0</v>
      </c>
      <c r="K15" s="43">
        <v>46127</v>
      </c>
      <c r="L15" s="32">
        <f>DATE(YEAR(K15),MONTH(K15)+VLOOKUP($F13,'[1]Membership Level'!$A$3:$B$15,2,FALSE),DAY(K15))</f>
        <v>46157</v>
      </c>
      <c r="M15" s="33">
        <v>3</v>
      </c>
      <c r="N15" s="34" t="e">
        <f>IF($L15&lt;&gt;0,DATE(YEAR($L15),MONTH($L15)-#REF!,DAY($L15)-$M15),"")</f>
        <v>#REF!</v>
      </c>
      <c r="O15" s="33">
        <f t="shared" ca="1" si="1"/>
        <v>24</v>
      </c>
      <c r="P15" s="34">
        <f>I15/H15*VLOOKUP(F13,'[1]Membership Level'!$A$3:$C$15,3,FALSE)+K15</f>
        <v>46157</v>
      </c>
      <c r="Q15" s="42"/>
    </row>
    <row r="16" spans="1:17" s="21" customFormat="1" ht="15.75" thickBot="1" x14ac:dyDescent="0.3">
      <c r="A16" s="19" t="s">
        <v>81</v>
      </c>
      <c r="B16" s="40">
        <v>46127</v>
      </c>
      <c r="C16" s="20" t="s">
        <v>82</v>
      </c>
      <c r="D16" s="20" t="s">
        <v>83</v>
      </c>
      <c r="E16" s="51">
        <v>8340630594</v>
      </c>
      <c r="F16" s="52" t="str">
        <f>'[1]Membership Level'!A16</f>
        <v>Swimming Qty (3 days)</v>
      </c>
      <c r="G16" s="20" t="s">
        <v>84</v>
      </c>
      <c r="H16" s="38">
        <v>7000</v>
      </c>
      <c r="I16" s="38">
        <v>7000</v>
      </c>
      <c r="J16" s="39">
        <f t="shared" si="0"/>
        <v>0</v>
      </c>
      <c r="K16" s="40">
        <v>46127</v>
      </c>
      <c r="L16" s="40">
        <f>DATE(YEAR(K16),MONTH(K16)+VLOOKUP($F14,'[1]Membership Level'!$A$3:$B$15,2,FALSE),DAY(K16))</f>
        <v>46157</v>
      </c>
      <c r="M16" s="37">
        <v>3</v>
      </c>
      <c r="N16" s="41" t="e">
        <f>IF($L16&lt;&gt;0,DATE(YEAR($L16),MONTH($L16)-#REF!,DAY($L16)-$M16),"")</f>
        <v>#REF!</v>
      </c>
      <c r="O16" s="37">
        <f t="shared" ca="1" si="1"/>
        <v>24</v>
      </c>
      <c r="P16" s="41">
        <f>I16/H16*VLOOKUP(F14,'[1]Membership Level'!$A$3:$C$15,3,FALSE)+K16</f>
        <v>46157</v>
      </c>
      <c r="Q16" s="20" t="s">
        <v>49</v>
      </c>
    </row>
    <row r="17" spans="1:17" ht="15.75" thickBot="1" x14ac:dyDescent="0.3">
      <c r="A17" s="16" t="s">
        <v>85</v>
      </c>
      <c r="B17" s="32">
        <v>46127</v>
      </c>
      <c r="C17" s="18" t="s">
        <v>27</v>
      </c>
      <c r="D17" s="18" t="s">
        <v>86</v>
      </c>
      <c r="E17" s="49">
        <v>9304834745</v>
      </c>
      <c r="F17" s="50" t="str">
        <f>'[1]Membership Level'!A12</f>
        <v>Swimming Moth</v>
      </c>
      <c r="G17" s="18" t="s">
        <v>87</v>
      </c>
      <c r="H17" s="30">
        <v>3500</v>
      </c>
      <c r="I17" s="30">
        <v>3500</v>
      </c>
      <c r="J17" s="31">
        <f t="shared" si="0"/>
        <v>0</v>
      </c>
      <c r="K17" s="43">
        <v>46127</v>
      </c>
      <c r="L17" s="32">
        <f>DATE(YEAR(K17),MONTH(K17)+VLOOKUP($F15,'[1]Membership Level'!$A$3:$B$15,2,FALSE),DAY(K17))</f>
        <v>46157</v>
      </c>
      <c r="M17" s="33">
        <v>3</v>
      </c>
      <c r="N17" s="34" t="e">
        <f>IF($L17&lt;&gt;0,DATE(YEAR($L17),MONTH($L17)-#REF!,DAY($L17)-$M17),"")</f>
        <v>#REF!</v>
      </c>
      <c r="O17" s="33">
        <f t="shared" ca="1" si="1"/>
        <v>24</v>
      </c>
      <c r="P17" s="34">
        <f>I17/H17*VLOOKUP(F15,'[1]Membership Level'!$A$3:$C$15,3,FALSE)+K17</f>
        <v>46157</v>
      </c>
      <c r="Q17" s="42"/>
    </row>
    <row r="18" spans="1:17" ht="15.75" thickBot="1" x14ac:dyDescent="0.3">
      <c r="A18" s="16" t="s">
        <v>88</v>
      </c>
      <c r="B18" s="32">
        <v>46127</v>
      </c>
      <c r="C18" s="18" t="s">
        <v>58</v>
      </c>
      <c r="D18" s="18" t="s">
        <v>89</v>
      </c>
      <c r="E18" s="49">
        <v>9296863309</v>
      </c>
      <c r="F18" s="50" t="str">
        <f>'[1]Membership Level'!A12</f>
        <v>Swimming Moth</v>
      </c>
      <c r="G18" s="18" t="s">
        <v>28</v>
      </c>
      <c r="H18" s="30">
        <v>4400</v>
      </c>
      <c r="I18" s="30">
        <v>4400</v>
      </c>
      <c r="J18" s="31">
        <f t="shared" si="0"/>
        <v>0</v>
      </c>
      <c r="K18" s="43">
        <v>46127</v>
      </c>
      <c r="L18" s="32" t="e">
        <f>DATE(YEAR(K18),MONTH(K18)+VLOOKUP($F16,'[1]Membership Level'!$A$3:$B$15,2,FALSE),DAY(K18))</f>
        <v>#N/A</v>
      </c>
      <c r="M18" s="33">
        <v>3</v>
      </c>
      <c r="N18" s="34" t="e">
        <f>IF($L18&lt;&gt;0,DATE(YEAR($L18),MONTH($L18)-#REF!,DAY($L18)-$M18),"")</f>
        <v>#N/A</v>
      </c>
      <c r="O18" s="33" t="e">
        <f t="shared" ca="1" si="1"/>
        <v>#N/A</v>
      </c>
      <c r="P18" s="34" t="e">
        <f>I18/H18*VLOOKUP(F16,'[1]Membership Level'!$A$3:$C$15,3,FALSE)+K18</f>
        <v>#N/A</v>
      </c>
      <c r="Q18" s="42"/>
    </row>
    <row r="19" spans="1:17" x14ac:dyDescent="0.25">
      <c r="A19" s="16" t="s">
        <v>90</v>
      </c>
      <c r="B19" s="32">
        <v>46128</v>
      </c>
      <c r="C19" s="18" t="s">
        <v>91</v>
      </c>
      <c r="D19" s="18" t="s">
        <v>92</v>
      </c>
      <c r="E19" s="49">
        <v>7484030479</v>
      </c>
      <c r="F19" s="18" t="str">
        <f>'[1]Membership Level'!A12</f>
        <v>Swimming Moth</v>
      </c>
      <c r="G19" s="18" t="s">
        <v>28</v>
      </c>
      <c r="H19" s="30">
        <v>4000</v>
      </c>
      <c r="I19" s="30">
        <v>4000</v>
      </c>
      <c r="J19" s="31">
        <f t="shared" si="0"/>
        <v>0</v>
      </c>
      <c r="K19" s="43">
        <v>46128</v>
      </c>
      <c r="L19" s="32">
        <f>DATE(YEAR(K19),MONTH(K19)+VLOOKUP($F17,'[1]Membership Level'!$A$3:$B$15,2,FALSE),DAY(K19))</f>
        <v>46158</v>
      </c>
      <c r="M19" s="33">
        <v>3</v>
      </c>
      <c r="N19" s="34" t="e">
        <f>IF($L19&lt;&gt;0,DATE(YEAR($L19),MONTH($L19)-#REF!,DAY($L19)-$M19),"")</f>
        <v>#REF!</v>
      </c>
      <c r="O19" s="33">
        <f t="shared" ca="1" si="1"/>
        <v>25</v>
      </c>
      <c r="P19" s="34">
        <f>I19/H19*VLOOKUP(F17,'[1]Membership Level'!$A$3:$C$15,3,FALSE)+K19</f>
        <v>46158</v>
      </c>
      <c r="Q19" s="42"/>
    </row>
    <row r="20" spans="1:17" x14ac:dyDescent="0.25">
      <c r="A20" s="16" t="s">
        <v>93</v>
      </c>
      <c r="B20" s="32">
        <v>46128</v>
      </c>
      <c r="C20" s="18" t="s">
        <v>91</v>
      </c>
      <c r="D20" s="18" t="s">
        <v>94</v>
      </c>
      <c r="E20" s="17">
        <v>9110164371</v>
      </c>
      <c r="F20" s="18" t="str">
        <f>'[1]Membership Level'!A12</f>
        <v>Swimming Moth</v>
      </c>
      <c r="G20" s="18" t="s">
        <v>28</v>
      </c>
      <c r="H20" s="30">
        <v>4000</v>
      </c>
      <c r="I20" s="30">
        <v>4000</v>
      </c>
      <c r="J20" s="31">
        <f t="shared" si="0"/>
        <v>0</v>
      </c>
      <c r="K20" s="43">
        <v>46128</v>
      </c>
      <c r="L20" s="32">
        <f>DATE(YEAR(K20),MONTH(K20)+VLOOKUP($F18,'[1]Membership Level'!$A$3:$B$15,2,FALSE),DAY(K20))</f>
        <v>46158</v>
      </c>
      <c r="M20" s="33">
        <v>3</v>
      </c>
      <c r="N20" s="34" t="e">
        <f>IF($L20&lt;&gt;0,DATE(YEAR($L20),MONTH($L20)-#REF!,DAY($L20)-$M20),"")</f>
        <v>#REF!</v>
      </c>
      <c r="O20" s="33">
        <f t="shared" ca="1" si="1"/>
        <v>25</v>
      </c>
      <c r="P20" s="34">
        <f>I20/H20*VLOOKUP(F18,'[1]Membership Level'!$A$3:$C$15,3,FALSE)+K20</f>
        <v>46158</v>
      </c>
      <c r="Q20" s="42"/>
    </row>
    <row r="21" spans="1:17" x14ac:dyDescent="0.25">
      <c r="A21" s="16" t="s">
        <v>95</v>
      </c>
      <c r="B21" s="32">
        <v>46128</v>
      </c>
      <c r="C21" s="18"/>
      <c r="D21" s="18" t="s">
        <v>96</v>
      </c>
      <c r="E21" s="17">
        <v>7992298315</v>
      </c>
      <c r="F21" s="18" t="str">
        <f>'[1]Membership Level'!A12</f>
        <v>Swimming Moth</v>
      </c>
      <c r="G21" s="18" t="s">
        <v>24</v>
      </c>
      <c r="H21" s="30">
        <v>3500</v>
      </c>
      <c r="I21" s="30">
        <v>3500</v>
      </c>
      <c r="J21" s="31">
        <f t="shared" si="0"/>
        <v>0</v>
      </c>
      <c r="K21" s="43">
        <v>46128</v>
      </c>
      <c r="L21" s="32">
        <f>DATE(YEAR(K21),MONTH(K21)+VLOOKUP($F19,'[1]Membership Level'!$A$3:$B$15,2,FALSE),DAY(K21))</f>
        <v>46158</v>
      </c>
      <c r="M21" s="33">
        <v>3</v>
      </c>
      <c r="N21" s="34" t="e">
        <f>IF($L21&lt;&gt;0,DATE(YEAR($L21),MONTH($L21)-#REF!,DAY($L21)-$M21),"")</f>
        <v>#REF!</v>
      </c>
      <c r="O21" s="33">
        <f t="shared" ca="1" si="1"/>
        <v>25</v>
      </c>
      <c r="P21" s="34">
        <f>I21/H21*VLOOKUP(F19,'[1]Membership Level'!$A$3:$C$15,3,FALSE)+K21</f>
        <v>46158</v>
      </c>
      <c r="Q21" s="42"/>
    </row>
    <row r="22" spans="1:17" x14ac:dyDescent="0.25">
      <c r="A22" s="16" t="s">
        <v>97</v>
      </c>
      <c r="B22" s="32">
        <v>46128</v>
      </c>
      <c r="C22" s="18" t="s">
        <v>98</v>
      </c>
      <c r="D22" s="18" t="s">
        <v>99</v>
      </c>
      <c r="E22" s="17">
        <v>9572274353</v>
      </c>
      <c r="F22" s="18" t="str">
        <f>'[1]Membership Level'!A12</f>
        <v>Swimming Moth</v>
      </c>
      <c r="G22" s="18" t="s">
        <v>24</v>
      </c>
      <c r="H22" s="30">
        <v>4400</v>
      </c>
      <c r="I22" s="30">
        <v>4400</v>
      </c>
      <c r="J22" s="31">
        <f t="shared" si="0"/>
        <v>0</v>
      </c>
      <c r="K22" s="43">
        <v>46128</v>
      </c>
      <c r="L22" s="32">
        <f>DATE(YEAR(K22),MONTH(K22)+VLOOKUP($F20,'[1]Membership Level'!$A$3:$B$15,2,FALSE),DAY(K22))</f>
        <v>46158</v>
      </c>
      <c r="M22" s="33">
        <v>3</v>
      </c>
      <c r="N22" s="34" t="e">
        <f>IF($L22&lt;&gt;0,DATE(YEAR($L22),MONTH($L22)-#REF!,DAY($L22)-$M22),"")</f>
        <v>#REF!</v>
      </c>
      <c r="O22" s="33">
        <f t="shared" ca="1" si="1"/>
        <v>25</v>
      </c>
      <c r="P22" s="34">
        <f>I22/H22*VLOOKUP(F20,'[1]Membership Level'!$A$3:$C$15,3,FALSE)+K22</f>
        <v>46158</v>
      </c>
      <c r="Q22" s="42"/>
    </row>
    <row r="23" spans="1:17" x14ac:dyDescent="0.25">
      <c r="A23" s="16" t="s">
        <v>100</v>
      </c>
      <c r="B23" s="32">
        <v>46128</v>
      </c>
      <c r="C23" s="18" t="s">
        <v>23</v>
      </c>
      <c r="D23" s="18" t="s">
        <v>101</v>
      </c>
      <c r="E23" s="17">
        <v>9905514665</v>
      </c>
      <c r="F23" s="18" t="str">
        <f>'[1]Membership Level'!A12</f>
        <v>Swimming Moth</v>
      </c>
      <c r="G23" s="18" t="s">
        <v>44</v>
      </c>
      <c r="H23" s="30">
        <v>2800</v>
      </c>
      <c r="I23" s="30">
        <v>2800</v>
      </c>
      <c r="J23" s="31">
        <f t="shared" si="0"/>
        <v>0</v>
      </c>
      <c r="K23" s="43">
        <v>46128</v>
      </c>
      <c r="L23" s="32">
        <f>DATE(YEAR(K23),MONTH(K23)+VLOOKUP($F21,'[1]Membership Level'!$A$3:$B$15,2,FALSE),DAY(K23))</f>
        <v>46158</v>
      </c>
      <c r="M23" s="33">
        <v>3</v>
      </c>
      <c r="N23" s="34" t="e">
        <f>IF($L23&lt;&gt;0,DATE(YEAR($L23),MONTH($L23)-#REF!,DAY($L23)-$M23),"")</f>
        <v>#REF!</v>
      </c>
      <c r="O23" s="33">
        <f t="shared" ca="1" si="1"/>
        <v>25</v>
      </c>
      <c r="P23" s="34">
        <f>I23/H23*VLOOKUP(F21,'[1]Membership Level'!$A$3:$C$15,3,FALSE)+K23</f>
        <v>46158</v>
      </c>
      <c r="Q23" s="42"/>
    </row>
    <row r="24" spans="1:17" x14ac:dyDescent="0.25">
      <c r="A24" s="16" t="s">
        <v>102</v>
      </c>
      <c r="B24" s="32">
        <v>46128</v>
      </c>
      <c r="C24" s="18" t="s">
        <v>23</v>
      </c>
      <c r="D24" s="18" t="s">
        <v>103</v>
      </c>
      <c r="E24" s="17">
        <v>7091975237</v>
      </c>
      <c r="F24" s="18" t="str">
        <f>'[1]Membership Level'!A12</f>
        <v>Swimming Moth</v>
      </c>
      <c r="G24" s="18" t="s">
        <v>104</v>
      </c>
      <c r="H24" s="30">
        <v>3300</v>
      </c>
      <c r="I24" s="30">
        <v>3300</v>
      </c>
      <c r="J24" s="31">
        <f t="shared" si="0"/>
        <v>0</v>
      </c>
      <c r="K24" s="43">
        <v>46128</v>
      </c>
      <c r="L24" s="32">
        <f>DATE(YEAR(K24),MONTH(K24)+VLOOKUP($F22,'[1]Membership Level'!$A$3:$B$15,2,FALSE),DAY(K24))</f>
        <v>46158</v>
      </c>
      <c r="M24" s="33">
        <v>3</v>
      </c>
      <c r="N24" s="34" t="e">
        <f>IF($L24&lt;&gt;0,DATE(YEAR($L24),MONTH($L24)-#REF!,DAY($L24)-$M24),"")</f>
        <v>#REF!</v>
      </c>
      <c r="O24" s="33">
        <f t="shared" ca="1" si="1"/>
        <v>25</v>
      </c>
      <c r="P24" s="34">
        <f>I24/H24*VLOOKUP(F22,'[1]Membership Level'!$A$3:$C$15,3,FALSE)+K24</f>
        <v>46158</v>
      </c>
      <c r="Q24" s="42"/>
    </row>
    <row r="25" spans="1:17" x14ac:dyDescent="0.25">
      <c r="A25" s="16" t="s">
        <v>105</v>
      </c>
      <c r="B25" s="32">
        <v>46128</v>
      </c>
      <c r="C25" s="18" t="s">
        <v>41</v>
      </c>
      <c r="D25" s="18" t="s">
        <v>106</v>
      </c>
      <c r="E25" s="17">
        <v>9334548082</v>
      </c>
      <c r="F25" s="18" t="str">
        <f>'[1]Membership Level'!A12</f>
        <v>Swimming Moth</v>
      </c>
      <c r="G25" s="18" t="s">
        <v>24</v>
      </c>
      <c r="H25" s="30">
        <v>4400</v>
      </c>
      <c r="I25" s="30">
        <v>4400</v>
      </c>
      <c r="J25" s="31">
        <f t="shared" si="0"/>
        <v>0</v>
      </c>
      <c r="K25" s="43">
        <v>46128</v>
      </c>
      <c r="L25" s="32">
        <f>DATE(YEAR(K25),MONTH(K25)+VLOOKUP($F23,'[1]Membership Level'!$A$3:$B$15,2,FALSE),DAY(K25))</f>
        <v>46158</v>
      </c>
      <c r="M25" s="33">
        <v>3</v>
      </c>
      <c r="N25" s="34" t="e">
        <f>IF($L25&lt;&gt;0,DATE(YEAR($L25),MONTH($L25)-#REF!,DAY($L25)-$M25),"")</f>
        <v>#REF!</v>
      </c>
      <c r="O25" s="33">
        <f t="shared" ca="1" si="1"/>
        <v>25</v>
      </c>
      <c r="P25" s="34">
        <f>I25/H25*VLOOKUP(F23,'[1]Membership Level'!$A$3:$C$15,3,FALSE)+K25</f>
        <v>46158</v>
      </c>
      <c r="Q25" s="42"/>
    </row>
    <row r="26" spans="1:17" x14ac:dyDescent="0.25">
      <c r="A26" s="16" t="s">
        <v>107</v>
      </c>
      <c r="B26" s="32">
        <v>46129</v>
      </c>
      <c r="C26" s="18" t="s">
        <v>32</v>
      </c>
      <c r="D26" s="18" t="s">
        <v>108</v>
      </c>
      <c r="E26" s="17">
        <v>7004522943</v>
      </c>
      <c r="F26" s="18" t="str">
        <f>'[1]Membership Level'!A12</f>
        <v>Swimming Moth</v>
      </c>
      <c r="G26" s="18" t="s">
        <v>28</v>
      </c>
      <c r="H26" s="30">
        <v>4000</v>
      </c>
      <c r="I26" s="30">
        <v>4000</v>
      </c>
      <c r="J26" s="31">
        <f t="shared" si="0"/>
        <v>0</v>
      </c>
      <c r="K26" s="43">
        <v>46129</v>
      </c>
      <c r="L26" s="32">
        <f>DATE(YEAR(K26),MONTH(K26)+VLOOKUP($F24,'[1]Membership Level'!$A$3:$B$15,2,FALSE),DAY(K26))</f>
        <v>46159</v>
      </c>
      <c r="M26" s="33">
        <v>3</v>
      </c>
      <c r="N26" s="34" t="e">
        <f>IF($L26&lt;&gt;0,DATE(YEAR($L26),MONTH($L26)-#REF!,DAY($L26)-$M26),"")</f>
        <v>#REF!</v>
      </c>
      <c r="O26" s="33">
        <f t="shared" ca="1" si="1"/>
        <v>26</v>
      </c>
      <c r="P26" s="34">
        <f>I26/H26*VLOOKUP(F24,'[1]Membership Level'!$A$3:$C$15,3,FALSE)+K26</f>
        <v>46159</v>
      </c>
      <c r="Q26" s="42"/>
    </row>
    <row r="27" spans="1:17" x14ac:dyDescent="0.25">
      <c r="A27" s="16" t="s">
        <v>109</v>
      </c>
      <c r="B27" s="32">
        <v>46129</v>
      </c>
      <c r="C27" s="18" t="s">
        <v>34</v>
      </c>
      <c r="D27" s="18" t="s">
        <v>110</v>
      </c>
      <c r="E27" s="24">
        <v>8789432896</v>
      </c>
      <c r="F27" s="18" t="str">
        <f>'[1]Membership Level'!A12</f>
        <v>Swimming Moth</v>
      </c>
      <c r="G27" s="18" t="s">
        <v>28</v>
      </c>
      <c r="H27" s="30">
        <v>4400</v>
      </c>
      <c r="I27" s="30">
        <v>4400</v>
      </c>
      <c r="J27" s="31">
        <f t="shared" si="0"/>
        <v>0</v>
      </c>
      <c r="K27" s="43">
        <v>46129</v>
      </c>
      <c r="L27" s="32">
        <f>DATE(YEAR(K27),MONTH(K27)+VLOOKUP($F25,'[1]Membership Level'!$A$3:$B$15,2,FALSE),DAY(K27))</f>
        <v>46159</v>
      </c>
      <c r="M27" s="33">
        <v>3</v>
      </c>
      <c r="N27" s="34" t="e">
        <f>IF($L27&lt;&gt;0,DATE(YEAR($L27),MONTH($L27)-#REF!,DAY($L27)-$M27),"")</f>
        <v>#REF!</v>
      </c>
      <c r="O27" s="33">
        <f t="shared" ca="1" si="1"/>
        <v>26</v>
      </c>
      <c r="P27" s="34">
        <f>I27/H27*VLOOKUP(F25,'[1]Membership Level'!$A$3:$C$15,3,FALSE)+K27</f>
        <v>46159</v>
      </c>
      <c r="Q27" s="42"/>
    </row>
    <row r="28" spans="1:17" x14ac:dyDescent="0.25">
      <c r="A28" s="16" t="s">
        <v>111</v>
      </c>
      <c r="B28" s="32">
        <v>46129</v>
      </c>
      <c r="C28" s="18" t="s">
        <v>22</v>
      </c>
      <c r="D28" s="18" t="s">
        <v>112</v>
      </c>
      <c r="E28" s="24">
        <v>8294608133</v>
      </c>
      <c r="F28" s="18" t="str">
        <f>'[1]Membership Level'!A12</f>
        <v>Swimming Moth</v>
      </c>
      <c r="G28" s="18" t="s">
        <v>28</v>
      </c>
      <c r="H28" s="30">
        <v>3300</v>
      </c>
      <c r="I28" s="30">
        <v>3300</v>
      </c>
      <c r="J28" s="31">
        <f t="shared" si="0"/>
        <v>0</v>
      </c>
      <c r="K28" s="43">
        <v>46129</v>
      </c>
      <c r="L28" s="32">
        <f>DATE(YEAR(K28),MONTH(K28)+VLOOKUP($F26,'[1]Membership Level'!$A$3:$B$15,2,FALSE),DAY(K28))</f>
        <v>46159</v>
      </c>
      <c r="M28" s="33">
        <v>3</v>
      </c>
      <c r="N28" s="34" t="e">
        <f>IF($L28&lt;&gt;0,DATE(YEAR($L28),MONTH($L28)-#REF!,DAY($L28)-$M28),"")</f>
        <v>#REF!</v>
      </c>
      <c r="O28" s="33">
        <f t="shared" ca="1" si="1"/>
        <v>26</v>
      </c>
      <c r="P28" s="34">
        <f>I28/H28*VLOOKUP(F26,'[1]Membership Level'!$A$3:$C$15,3,FALSE)+K28</f>
        <v>46159</v>
      </c>
      <c r="Q28" s="42"/>
    </row>
    <row r="29" spans="1:17" x14ac:dyDescent="0.25">
      <c r="A29" s="16" t="s">
        <v>113</v>
      </c>
      <c r="B29" s="32">
        <v>46129</v>
      </c>
      <c r="C29" s="18" t="s">
        <v>32</v>
      </c>
      <c r="D29" s="18" t="s">
        <v>114</v>
      </c>
      <c r="E29" s="17">
        <v>8294608133</v>
      </c>
      <c r="F29" s="18" t="str">
        <f>'[1]Membership Level'!A12</f>
        <v>Swimming Moth</v>
      </c>
      <c r="G29" s="18" t="s">
        <v>28</v>
      </c>
      <c r="H29" s="30">
        <v>3800</v>
      </c>
      <c r="I29" s="30">
        <v>3800</v>
      </c>
      <c r="J29" s="31">
        <f t="shared" si="0"/>
        <v>0</v>
      </c>
      <c r="K29" s="43">
        <v>46129</v>
      </c>
      <c r="L29" s="32">
        <f>DATE(YEAR(K29),MONTH(K29)+VLOOKUP($F27,'[1]Membership Level'!$A$3:$B$15,2,FALSE),DAY(K29))</f>
        <v>46159</v>
      </c>
      <c r="M29" s="33">
        <v>3</v>
      </c>
      <c r="N29" s="34" t="e">
        <f>IF($L29&lt;&gt;0,DATE(YEAR($L29),MONTH($L29)-#REF!,DAY($L29)-$M29),"")</f>
        <v>#REF!</v>
      </c>
      <c r="O29" s="33">
        <f t="shared" ca="1" si="1"/>
        <v>26</v>
      </c>
      <c r="P29" s="34">
        <f>I29/H29*VLOOKUP(F27,'[1]Membership Level'!$A$3:$C$15,3,FALSE)+K29</f>
        <v>46159</v>
      </c>
      <c r="Q29" s="42"/>
    </row>
    <row r="30" spans="1:17" x14ac:dyDescent="0.25">
      <c r="A30" s="16" t="s">
        <v>115</v>
      </c>
      <c r="B30" s="32">
        <v>46129</v>
      </c>
      <c r="C30" s="18" t="s">
        <v>60</v>
      </c>
      <c r="D30" s="25" t="s">
        <v>116</v>
      </c>
      <c r="E30" s="53">
        <v>8554925434</v>
      </c>
      <c r="F30" s="18" t="str">
        <f>'[1]Membership Level'!A12</f>
        <v>Swimming Moth</v>
      </c>
      <c r="G30" s="18" t="s">
        <v>28</v>
      </c>
      <c r="H30" s="30">
        <v>3800</v>
      </c>
      <c r="I30" s="30">
        <v>3800</v>
      </c>
      <c r="J30" s="31">
        <f t="shared" si="0"/>
        <v>0</v>
      </c>
      <c r="K30" s="43">
        <v>46129</v>
      </c>
      <c r="L30" s="32">
        <v>46129</v>
      </c>
      <c r="M30" s="33">
        <v>3</v>
      </c>
      <c r="N30" s="34" t="e">
        <f>IF($L30&lt;&gt;0,DATE(YEAR($L30),MONTH($L30)-#REF!,DAY($L30)-$M30),"")</f>
        <v>#REF!</v>
      </c>
      <c r="O30" s="33" t="str">
        <f t="shared" ca="1" si="1"/>
        <v/>
      </c>
      <c r="P30" s="34">
        <f>I30/H30*VLOOKUP(F28,'[1]Membership Level'!$A$3:$C$15,3,FALSE)+K30</f>
        <v>46159</v>
      </c>
      <c r="Q30" s="42"/>
    </row>
    <row r="31" spans="1:17" x14ac:dyDescent="0.25">
      <c r="A31" s="16" t="s">
        <v>117</v>
      </c>
      <c r="B31" s="32">
        <v>46129</v>
      </c>
      <c r="C31" s="18" t="s">
        <v>52</v>
      </c>
      <c r="D31" s="18" t="s">
        <v>118</v>
      </c>
      <c r="E31" s="17">
        <v>6387464675</v>
      </c>
      <c r="F31" s="18" t="str">
        <f>'[1]Membership Level'!A12</f>
        <v>Swimming Moth</v>
      </c>
      <c r="G31" s="18" t="s">
        <v>44</v>
      </c>
      <c r="H31" s="30">
        <v>2800</v>
      </c>
      <c r="I31" s="30">
        <v>2800</v>
      </c>
      <c r="J31" s="31">
        <f t="shared" si="0"/>
        <v>0</v>
      </c>
      <c r="K31" s="43">
        <v>46129</v>
      </c>
      <c r="L31" s="32">
        <f>DATE(YEAR(K31),MONTH(K31)+VLOOKUP($F29,'[1]Membership Level'!$A$3:$B$15,2,FALSE),DAY(K31))</f>
        <v>46159</v>
      </c>
      <c r="M31" s="33">
        <v>3</v>
      </c>
      <c r="N31" s="34" t="e">
        <f>IF($L31&lt;&gt;0,DATE(YEAR($L31),MONTH($L31)-#REF!,DAY($L31)-$M31),"")</f>
        <v>#REF!</v>
      </c>
      <c r="O31" s="33">
        <f t="shared" ca="1" si="1"/>
        <v>26</v>
      </c>
      <c r="P31" s="34">
        <f>I31/H31*VLOOKUP(F29,'[1]Membership Level'!$A$3:$C$15,3,FALSE)+K31</f>
        <v>46159</v>
      </c>
      <c r="Q31" s="36"/>
    </row>
    <row r="32" spans="1:17" x14ac:dyDescent="0.25">
      <c r="A32" s="16" t="s">
        <v>119</v>
      </c>
      <c r="B32" s="32">
        <v>46130</v>
      </c>
      <c r="C32" s="18" t="s">
        <v>47</v>
      </c>
      <c r="D32" s="18" t="s">
        <v>106</v>
      </c>
      <c r="E32" s="17">
        <v>8434007319</v>
      </c>
      <c r="F32" s="18" t="str">
        <f>'[1]Membership Level'!A12</f>
        <v>Swimming Moth</v>
      </c>
      <c r="G32" s="18" t="s">
        <v>24</v>
      </c>
      <c r="H32" s="30">
        <v>4400</v>
      </c>
      <c r="I32" s="30">
        <v>3000</v>
      </c>
      <c r="J32" s="31">
        <f t="shared" si="0"/>
        <v>1400</v>
      </c>
      <c r="K32" s="43">
        <v>46130</v>
      </c>
      <c r="L32" s="32">
        <f>DATE(YEAR(K32),MONTH(K32)+VLOOKUP($F30,'[1]Membership Level'!$A$3:$B$15,2,FALSE),DAY(K32))</f>
        <v>46160</v>
      </c>
      <c r="M32" s="33">
        <v>3</v>
      </c>
      <c r="N32" s="34" t="e">
        <f>IF($L32&lt;&gt;0,DATE(YEAR($L32),MONTH($L32)-#REF!,DAY($L32)-$M32),"")</f>
        <v>#REF!</v>
      </c>
      <c r="O32" s="33">
        <f t="shared" ca="1" si="1"/>
        <v>27</v>
      </c>
      <c r="P32" s="34">
        <f>I32/H32*VLOOKUP(F30,'[1]Membership Level'!$A$3:$C$15,3,FALSE)+K32</f>
        <v>46150.454545454544</v>
      </c>
      <c r="Q32" s="36"/>
    </row>
    <row r="33" spans="1:17" x14ac:dyDescent="0.25">
      <c r="A33" s="16" t="s">
        <v>120</v>
      </c>
      <c r="B33" s="32">
        <v>46130</v>
      </c>
      <c r="C33" s="18" t="s">
        <v>57</v>
      </c>
      <c r="D33" s="18" t="s">
        <v>121</v>
      </c>
      <c r="E33" s="17">
        <v>8002081222</v>
      </c>
      <c r="F33" s="18" t="str">
        <f>'[1]Membership Level'!A12</f>
        <v>Swimming Moth</v>
      </c>
      <c r="G33" s="18" t="s">
        <v>36</v>
      </c>
      <c r="H33" s="30">
        <v>3300</v>
      </c>
      <c r="I33" s="30">
        <v>3300</v>
      </c>
      <c r="J33" s="31">
        <f t="shared" si="0"/>
        <v>0</v>
      </c>
      <c r="K33" s="43">
        <v>46130</v>
      </c>
      <c r="L33" s="32">
        <f>DATE(YEAR(K33),MONTH(K33)+VLOOKUP($F31,'[1]Membership Level'!$A$3:$B$15,2,FALSE),DAY(K33))</f>
        <v>46160</v>
      </c>
      <c r="M33" s="33">
        <v>3</v>
      </c>
      <c r="N33" s="34" t="e">
        <f>IF($L33&lt;&gt;0,DATE(YEAR($L33),MONTH($L33)-#REF!,DAY($L33)-$M33),"")</f>
        <v>#REF!</v>
      </c>
      <c r="O33" s="33">
        <f t="shared" ca="1" si="1"/>
        <v>27</v>
      </c>
      <c r="P33" s="34">
        <f>I33/H33*VLOOKUP(F31,'[1]Membership Level'!$A$3:$C$15,3,FALSE)+K33</f>
        <v>46160</v>
      </c>
      <c r="Q33" s="36"/>
    </row>
    <row r="34" spans="1:17" x14ac:dyDescent="0.25">
      <c r="A34" s="16" t="s">
        <v>122</v>
      </c>
      <c r="B34" s="32">
        <v>46130</v>
      </c>
      <c r="C34" s="18" t="s">
        <v>41</v>
      </c>
      <c r="D34" s="18" t="s">
        <v>61</v>
      </c>
      <c r="E34" s="17">
        <v>9708216967</v>
      </c>
      <c r="F34" s="18" t="str">
        <f>'[1]Membership Level'!A12</f>
        <v>Swimming Moth</v>
      </c>
      <c r="G34" s="18" t="s">
        <v>63</v>
      </c>
      <c r="H34" s="30">
        <v>2200</v>
      </c>
      <c r="I34" s="30">
        <v>2200</v>
      </c>
      <c r="J34" s="31">
        <f t="shared" si="0"/>
        <v>0</v>
      </c>
      <c r="K34" s="32">
        <v>46130</v>
      </c>
      <c r="L34" s="32">
        <f>DATE(YEAR(K34),MONTH(K34)+VLOOKUP($F32,'[1]Membership Level'!$A$3:$B$15,2,FALSE),DAY(K34))</f>
        <v>46160</v>
      </c>
      <c r="M34" s="33">
        <v>3</v>
      </c>
      <c r="N34" s="34" t="e">
        <f>IF($L34&lt;&gt;0,DATE(YEAR($L34),MONTH($L34)-#REF!,DAY($L34)-$M34),"")</f>
        <v>#REF!</v>
      </c>
      <c r="O34" s="33">
        <f t="shared" ca="1" si="1"/>
        <v>27</v>
      </c>
      <c r="P34" s="34">
        <f>I34/H34*VLOOKUP(F32,'[1]Membership Level'!$A$3:$C$15,3,FALSE)+K34</f>
        <v>46160</v>
      </c>
      <c r="Q34" s="36"/>
    </row>
    <row r="35" spans="1:17" x14ac:dyDescent="0.25">
      <c r="A35" s="16" t="s">
        <v>123</v>
      </c>
      <c r="B35" s="32">
        <v>46130</v>
      </c>
      <c r="C35" s="18"/>
      <c r="D35" s="18" t="s">
        <v>124</v>
      </c>
      <c r="E35" s="17">
        <v>9708216967</v>
      </c>
      <c r="F35" s="18" t="str">
        <f>'[1]Membership Level'!A12</f>
        <v>Swimming Moth</v>
      </c>
      <c r="G35" s="18" t="s">
        <v>63</v>
      </c>
      <c r="H35" s="30">
        <v>2200</v>
      </c>
      <c r="I35" s="30">
        <v>2200</v>
      </c>
      <c r="J35" s="31">
        <f t="shared" si="0"/>
        <v>0</v>
      </c>
      <c r="K35" s="32">
        <v>46130</v>
      </c>
      <c r="L35" s="32">
        <f>DATE(YEAR(K35),MONTH(K35)+VLOOKUP($F33,'[1]Membership Level'!$A$3:$B$15,2,FALSE),DAY(K35))</f>
        <v>46160</v>
      </c>
      <c r="M35" s="33">
        <v>3</v>
      </c>
      <c r="N35" s="34" t="e">
        <f>IF($L35&lt;&gt;0,DATE(YEAR($L35),MONTH($L35)-#REF!,DAY($L35)-$M35),"")</f>
        <v>#REF!</v>
      </c>
      <c r="O35" s="33">
        <f t="shared" ca="1" si="1"/>
        <v>27</v>
      </c>
      <c r="P35" s="34">
        <f>I35/H35*VLOOKUP(F33,'[1]Membership Level'!$A$3:$C$15,3,FALSE)+K35</f>
        <v>46160</v>
      </c>
      <c r="Q35" s="36"/>
    </row>
    <row r="36" spans="1:17" x14ac:dyDescent="0.25">
      <c r="A36" s="16" t="s">
        <v>125</v>
      </c>
      <c r="B36" s="32">
        <v>46130</v>
      </c>
      <c r="C36" s="18" t="s">
        <v>126</v>
      </c>
      <c r="D36" s="18" t="s">
        <v>127</v>
      </c>
      <c r="E36" s="17">
        <v>8789230720</v>
      </c>
      <c r="F36" s="18" t="str">
        <f>'[1]Membership Level'!A12</f>
        <v>Swimming Moth</v>
      </c>
      <c r="G36" s="18" t="s">
        <v>24</v>
      </c>
      <c r="H36" s="30">
        <v>4000</v>
      </c>
      <c r="I36" s="30">
        <v>4000</v>
      </c>
      <c r="J36" s="31">
        <f t="shared" si="0"/>
        <v>0</v>
      </c>
      <c r="K36" s="32">
        <v>46130</v>
      </c>
      <c r="L36" s="32">
        <f>DATE(YEAR(K36),MONTH(K36)+VLOOKUP($F34,'[1]Membership Level'!$A$3:$B$15,2,FALSE),DAY(K36))</f>
        <v>46160</v>
      </c>
      <c r="M36" s="33">
        <v>3</v>
      </c>
      <c r="N36" s="34" t="e">
        <f>IF($L36&lt;&gt;0,DATE(YEAR($L36),MONTH($L36)-#REF!,DAY($L36)-$M36),"")</f>
        <v>#REF!</v>
      </c>
      <c r="O36" s="33">
        <f t="shared" ca="1" si="1"/>
        <v>27</v>
      </c>
      <c r="P36" s="34">
        <f>I36/H36*VLOOKUP(F34,'[1]Membership Level'!$A$3:$C$15,3,FALSE)+K36</f>
        <v>46160</v>
      </c>
      <c r="Q36" s="36"/>
    </row>
    <row r="37" spans="1:17" x14ac:dyDescent="0.25">
      <c r="A37" s="16" t="s">
        <v>128</v>
      </c>
      <c r="B37" s="32">
        <v>46130</v>
      </c>
      <c r="C37" s="18" t="s">
        <v>53</v>
      </c>
      <c r="D37" s="18" t="s">
        <v>129</v>
      </c>
      <c r="E37" s="17">
        <v>8789230720</v>
      </c>
      <c r="F37" s="18" t="str">
        <f>'[1]Membership Level'!A12</f>
        <v>Swimming Moth</v>
      </c>
      <c r="G37" s="18" t="s">
        <v>43</v>
      </c>
      <c r="H37" s="30">
        <v>3800</v>
      </c>
      <c r="I37" s="30">
        <v>3800</v>
      </c>
      <c r="J37" s="31">
        <f t="shared" si="0"/>
        <v>0</v>
      </c>
      <c r="K37" s="32">
        <v>46130</v>
      </c>
      <c r="L37" s="32">
        <f>DATE(YEAR(K37),MONTH(K37)+VLOOKUP($F35,'[1]Membership Level'!$A$3:$B$15,2,FALSE),DAY(K37))</f>
        <v>46160</v>
      </c>
      <c r="M37" s="33">
        <v>3</v>
      </c>
      <c r="N37" s="34" t="e">
        <f>IF($L37&lt;&gt;0,DATE(YEAR($L37),MONTH($L37)-#REF!,DAY($L37)-$M37),"")</f>
        <v>#REF!</v>
      </c>
      <c r="O37" s="33">
        <f t="shared" ca="1" si="1"/>
        <v>27</v>
      </c>
      <c r="P37" s="34">
        <f>I37/H37*VLOOKUP(F35,'[1]Membership Level'!$A$3:$C$15,3,FALSE)+K37</f>
        <v>46160</v>
      </c>
      <c r="Q37" s="36"/>
    </row>
    <row r="38" spans="1:17" x14ac:dyDescent="0.25">
      <c r="A38" s="16" t="s">
        <v>130</v>
      </c>
      <c r="B38" s="32">
        <v>46130</v>
      </c>
      <c r="C38" s="18"/>
      <c r="D38" s="18" t="s">
        <v>131</v>
      </c>
      <c r="E38" s="17">
        <v>9934061619</v>
      </c>
      <c r="F38" s="18" t="str">
        <f>'[1]Membership Level'!A12</f>
        <v>Swimming Moth</v>
      </c>
      <c r="G38" s="18" t="s">
        <v>39</v>
      </c>
      <c r="H38" s="30">
        <v>2500</v>
      </c>
      <c r="I38" s="30">
        <v>2500</v>
      </c>
      <c r="J38" s="31">
        <f t="shared" si="0"/>
        <v>0</v>
      </c>
      <c r="K38" s="32">
        <v>46130</v>
      </c>
      <c r="L38" s="32">
        <f>DATE(YEAR(K38),MONTH(K38)+VLOOKUP($F36,'[1]Membership Level'!$A$3:$B$15,2,FALSE),DAY(K38))</f>
        <v>46160</v>
      </c>
      <c r="M38" s="33">
        <v>3</v>
      </c>
      <c r="N38" s="34" t="e">
        <f>IF($L38&lt;&gt;0,DATE(YEAR($L38),MONTH($L38)-#REF!,DAY($L38)-$M38),"")</f>
        <v>#REF!</v>
      </c>
      <c r="O38" s="33">
        <f t="shared" ca="1" si="1"/>
        <v>27</v>
      </c>
      <c r="P38" s="34">
        <f>I38/H38*VLOOKUP(F36,'[1]Membership Level'!$A$3:$C$15,3,FALSE)+K38</f>
        <v>46160</v>
      </c>
      <c r="Q38" s="36"/>
    </row>
    <row r="39" spans="1:17" x14ac:dyDescent="0.25">
      <c r="A39" s="16" t="s">
        <v>132</v>
      </c>
      <c r="B39" s="32">
        <v>46130</v>
      </c>
      <c r="C39" s="18"/>
      <c r="D39" s="18" t="s">
        <v>133</v>
      </c>
      <c r="E39" s="17">
        <v>9934061619</v>
      </c>
      <c r="F39" s="18" t="str">
        <f>'[1]Membership Level'!A12</f>
        <v>Swimming Moth</v>
      </c>
      <c r="G39" s="18" t="s">
        <v>63</v>
      </c>
      <c r="H39" s="30">
        <v>2500</v>
      </c>
      <c r="I39" s="30">
        <v>2500</v>
      </c>
      <c r="J39" s="31">
        <f t="shared" si="0"/>
        <v>0</v>
      </c>
      <c r="K39" s="32">
        <v>46130</v>
      </c>
      <c r="L39" s="32">
        <f>DATE(YEAR(K39),MONTH(K39)+VLOOKUP($F37,'[1]Membership Level'!$A$3:$B$15,2,FALSE),DAY(K39))</f>
        <v>46160</v>
      </c>
      <c r="M39" s="33">
        <v>3</v>
      </c>
      <c r="N39" s="34" t="e">
        <f>IF($L39&lt;&gt;0,DATE(YEAR($L39),MONTH($L39)-#REF!,DAY($L39)-$M39),"")</f>
        <v>#REF!</v>
      </c>
      <c r="O39" s="33">
        <f t="shared" ca="1" si="1"/>
        <v>27</v>
      </c>
      <c r="P39" s="34">
        <f>I39/H39*VLOOKUP(F37,'[1]Membership Level'!$A$3:$C$15,3,FALSE)+K39</f>
        <v>46160</v>
      </c>
      <c r="Q39" s="36"/>
    </row>
    <row r="40" spans="1:17" x14ac:dyDescent="0.25">
      <c r="A40" s="16" t="s">
        <v>134</v>
      </c>
      <c r="B40" s="32">
        <v>46130</v>
      </c>
      <c r="C40" s="18" t="s">
        <v>25</v>
      </c>
      <c r="D40" s="18" t="s">
        <v>59</v>
      </c>
      <c r="E40" s="17">
        <v>9168145450</v>
      </c>
      <c r="F40" s="18" t="str">
        <f>'[1]Membership Level'!A12</f>
        <v>Swimming Moth</v>
      </c>
      <c r="G40" s="18" t="s">
        <v>36</v>
      </c>
      <c r="H40" s="30">
        <v>3300</v>
      </c>
      <c r="I40" s="30">
        <v>3300</v>
      </c>
      <c r="J40" s="31">
        <f t="shared" si="0"/>
        <v>0</v>
      </c>
      <c r="K40" s="32">
        <v>46130</v>
      </c>
      <c r="L40" s="32">
        <f>DATE(YEAR(K40),MONTH(K40)+VLOOKUP($F38,'[1]Membership Level'!$A$3:$B$15,2,FALSE),DAY(K40))</f>
        <v>46160</v>
      </c>
      <c r="M40" s="33">
        <v>3</v>
      </c>
      <c r="N40" s="34" t="e">
        <f>IF($L40&lt;&gt;0,DATE(YEAR($L40),MONTH($L40)-#REF!,DAY($L40)-$M40),"")</f>
        <v>#REF!</v>
      </c>
      <c r="O40" s="33">
        <f t="shared" ca="1" si="1"/>
        <v>27</v>
      </c>
      <c r="P40" s="34">
        <f>I40/H40*VLOOKUP(F38,'[1]Membership Level'!$A$3:$C$15,3,FALSE)+K40</f>
        <v>46160</v>
      </c>
      <c r="Q40" s="36"/>
    </row>
    <row r="41" spans="1:17" x14ac:dyDescent="0.25">
      <c r="A41" s="16" t="s">
        <v>135</v>
      </c>
      <c r="B41" s="32">
        <v>46130</v>
      </c>
      <c r="C41" s="18" t="s">
        <v>41</v>
      </c>
      <c r="D41" s="18" t="s">
        <v>136</v>
      </c>
      <c r="E41" s="17">
        <v>9990621282</v>
      </c>
      <c r="F41" s="18" t="str">
        <f>'[1]Membership Level'!A12</f>
        <v>Swimming Moth</v>
      </c>
      <c r="G41" s="18" t="s">
        <v>43</v>
      </c>
      <c r="H41" s="30">
        <v>3800</v>
      </c>
      <c r="I41" s="30">
        <v>3800</v>
      </c>
      <c r="J41" s="31">
        <f t="shared" si="0"/>
        <v>0</v>
      </c>
      <c r="K41" s="32">
        <v>46130</v>
      </c>
      <c r="L41" s="32">
        <f>DATE(YEAR(K41),MONTH(K41)+VLOOKUP($F39,'[1]Membership Level'!$A$3:$B$15,2,FALSE),DAY(K41))</f>
        <v>46160</v>
      </c>
      <c r="M41" s="33">
        <v>3</v>
      </c>
      <c r="N41" s="34" t="e">
        <f>IF($L41&lt;&gt;0,DATE(YEAR($L41),MONTH($L41)-#REF!,DAY($L41)-$M41),"")</f>
        <v>#REF!</v>
      </c>
      <c r="O41" s="33">
        <f t="shared" ca="1" si="1"/>
        <v>27</v>
      </c>
      <c r="P41" s="34">
        <f>I41/H41*VLOOKUP(F39,'[1]Membership Level'!$A$3:$C$15,3,FALSE)+K41</f>
        <v>46160</v>
      </c>
      <c r="Q41" s="36"/>
    </row>
    <row r="42" spans="1:17" x14ac:dyDescent="0.25">
      <c r="A42" s="16" t="s">
        <v>137</v>
      </c>
      <c r="B42" s="32">
        <v>46130</v>
      </c>
      <c r="C42" s="18" t="s">
        <v>138</v>
      </c>
      <c r="D42" s="18" t="s">
        <v>139</v>
      </c>
      <c r="E42" s="17">
        <v>9771689875</v>
      </c>
      <c r="F42" s="18" t="str">
        <f>'[1]Membership Level'!A14</f>
        <v>Swimming HY</v>
      </c>
      <c r="G42" s="18" t="s">
        <v>140</v>
      </c>
      <c r="H42" s="30">
        <v>14500</v>
      </c>
      <c r="I42" s="30">
        <v>8000</v>
      </c>
      <c r="J42" s="31">
        <f t="shared" si="0"/>
        <v>6500</v>
      </c>
      <c r="K42" s="32">
        <v>46130</v>
      </c>
      <c r="L42" s="32">
        <f>DATE(YEAR(K42),MONTH(K42)+VLOOKUP($F40,'[1]Membership Level'!$A$3:$B$15,2,FALSE),DAY(K42))</f>
        <v>46160</v>
      </c>
      <c r="M42" s="33">
        <v>3</v>
      </c>
      <c r="N42" s="34" t="e">
        <f>IF($L42&lt;&gt;0,DATE(YEAR($L42),MONTH($L42)-#REF!,DAY($L42)-$M42),"")</f>
        <v>#REF!</v>
      </c>
      <c r="O42" s="33">
        <f t="shared" ca="1" si="1"/>
        <v>27</v>
      </c>
      <c r="P42" s="34">
        <f>I42/H42*VLOOKUP(F40,'[1]Membership Level'!$A$3:$C$15,3,FALSE)+K42</f>
        <v>46146.551724137928</v>
      </c>
      <c r="Q42" s="36"/>
    </row>
    <row r="43" spans="1:17" x14ac:dyDescent="0.25">
      <c r="A43" s="16" t="s">
        <v>141</v>
      </c>
      <c r="B43" s="32">
        <v>46130</v>
      </c>
      <c r="C43" s="18" t="s">
        <v>51</v>
      </c>
      <c r="D43" s="18" t="s">
        <v>142</v>
      </c>
      <c r="E43" s="17">
        <v>9591135769</v>
      </c>
      <c r="F43" s="18" t="str">
        <f>'[1]Membership Level'!A12</f>
        <v>Swimming Moth</v>
      </c>
      <c r="G43" s="18" t="s">
        <v>24</v>
      </c>
      <c r="H43" s="30">
        <v>4000</v>
      </c>
      <c r="I43" s="30">
        <v>4000</v>
      </c>
      <c r="J43" s="31">
        <f t="shared" si="0"/>
        <v>0</v>
      </c>
      <c r="K43" s="32">
        <v>46130</v>
      </c>
      <c r="L43" s="32">
        <f>DATE(YEAR(K43),MONTH(K43)+VLOOKUP($F41,'[1]Membership Level'!$A$3:$B$15,2,FALSE),DAY(K43))</f>
        <v>46160</v>
      </c>
      <c r="M43" s="33">
        <v>3</v>
      </c>
      <c r="N43" s="34" t="e">
        <f>IF($L43&lt;&gt;0,DATE(YEAR($L43),MONTH($L43)-#REF!,DAY($L43)-$M43),"")</f>
        <v>#REF!</v>
      </c>
      <c r="O43" s="33">
        <f t="shared" ca="1" si="1"/>
        <v>27</v>
      </c>
      <c r="P43" s="34">
        <f>I43/H43*VLOOKUP(F41,'[1]Membership Level'!$A$3:$C$15,3,FALSE)+K43</f>
        <v>46160</v>
      </c>
      <c r="Q43" s="36"/>
    </row>
    <row r="44" spans="1:17" x14ac:dyDescent="0.25">
      <c r="A44" s="16" t="s">
        <v>143</v>
      </c>
      <c r="B44" s="32">
        <v>46130</v>
      </c>
      <c r="C44" s="18" t="s">
        <v>29</v>
      </c>
      <c r="D44" s="18" t="s">
        <v>144</v>
      </c>
      <c r="E44" s="17">
        <v>7979828225</v>
      </c>
      <c r="F44" s="18" t="str">
        <f>'[1]Membership Level'!A12</f>
        <v>Swimming Moth</v>
      </c>
      <c r="G44" s="18" t="s">
        <v>24</v>
      </c>
      <c r="H44" s="30">
        <v>4000</v>
      </c>
      <c r="I44" s="30">
        <v>4000</v>
      </c>
      <c r="J44" s="31">
        <f t="shared" si="0"/>
        <v>0</v>
      </c>
      <c r="K44" s="32">
        <v>46130</v>
      </c>
      <c r="L44" s="32">
        <f>DATE(YEAR(K44),MONTH(K44)+VLOOKUP($F42,'[1]Membership Level'!$A$3:$B$15,2,FALSE),DAY(K44))</f>
        <v>46313</v>
      </c>
      <c r="M44" s="33">
        <v>3</v>
      </c>
      <c r="N44" s="34" t="e">
        <f>IF($L44&lt;&gt;0,DATE(YEAR($L44),MONTH($L44)-#REF!,DAY($L44)-$M44),"")</f>
        <v>#REF!</v>
      </c>
      <c r="O44" s="33">
        <f t="shared" ca="1" si="1"/>
        <v>177</v>
      </c>
      <c r="P44" s="34">
        <f>I44/H44*VLOOKUP(F42,'[1]Membership Level'!$A$3:$C$15,3,FALSE)+K44</f>
        <v>46310</v>
      </c>
      <c r="Q44" s="36"/>
    </row>
    <row r="45" spans="1:17" x14ac:dyDescent="0.25">
      <c r="A45" s="16" t="s">
        <v>145</v>
      </c>
      <c r="B45" s="32">
        <v>46130</v>
      </c>
      <c r="C45" s="18" t="s">
        <v>30</v>
      </c>
      <c r="D45" s="18" t="s">
        <v>146</v>
      </c>
      <c r="E45" s="17">
        <v>7321902688</v>
      </c>
      <c r="F45" s="18" t="str">
        <f>'[1]Membership Level'!A13</f>
        <v>Swimming Qty</v>
      </c>
      <c r="G45" s="18" t="s">
        <v>48</v>
      </c>
      <c r="H45" s="30">
        <v>7800</v>
      </c>
      <c r="I45" s="30">
        <v>7800</v>
      </c>
      <c r="J45" s="31">
        <f t="shared" si="0"/>
        <v>0</v>
      </c>
      <c r="K45" s="32">
        <v>46130</v>
      </c>
      <c r="L45" s="32">
        <f>DATE(YEAR(K45),MONTH(K45)+VLOOKUP($F43,'[1]Membership Level'!$A$3:$B$15,2,FALSE),DAY(K45))</f>
        <v>46160</v>
      </c>
      <c r="M45" s="33">
        <v>3</v>
      </c>
      <c r="N45" s="34" t="e">
        <f>IF($L45&lt;&gt;0,DATE(YEAR($L45),MONTH($L45)-#REF!,DAY($L45)-$M45),"")</f>
        <v>#REF!</v>
      </c>
      <c r="O45" s="33">
        <f t="shared" ca="1" si="1"/>
        <v>27</v>
      </c>
      <c r="P45" s="34">
        <f>I45/H45*VLOOKUP(F43,'[1]Membership Level'!$A$3:$C$15,3,FALSE)+K45</f>
        <v>46160</v>
      </c>
      <c r="Q45" s="36"/>
    </row>
    <row r="46" spans="1:17" s="22" customFormat="1" x14ac:dyDescent="0.25">
      <c r="A46" s="16" t="s">
        <v>147</v>
      </c>
      <c r="B46" s="32">
        <v>46130</v>
      </c>
      <c r="C46" s="18"/>
      <c r="D46" s="18" t="s">
        <v>148</v>
      </c>
      <c r="E46" s="17">
        <v>7677337234</v>
      </c>
      <c r="F46" s="18" t="str">
        <f>'[1]Membership Level'!A12</f>
        <v>Swimming Moth</v>
      </c>
      <c r="G46" s="18" t="s">
        <v>50</v>
      </c>
      <c r="H46" s="30">
        <v>2000</v>
      </c>
      <c r="I46" s="30">
        <v>2000</v>
      </c>
      <c r="J46" s="31">
        <f t="shared" si="0"/>
        <v>0</v>
      </c>
      <c r="K46" s="43">
        <v>46130</v>
      </c>
      <c r="L46" s="32">
        <f>DATE(YEAR(K46),MONTH(K46)+VLOOKUP($F44,'[1]Membership Level'!$A$3:$B$15,2,FALSE),DAY(K46))</f>
        <v>46160</v>
      </c>
      <c r="M46" s="33">
        <v>3</v>
      </c>
      <c r="N46" s="34" t="e">
        <f>IF($L46&lt;&gt;0,DATE(YEAR($L46),MONTH($L46)-#REF!,DAY($L46)-$M46),"")</f>
        <v>#REF!</v>
      </c>
      <c r="O46" s="33">
        <f t="shared" ca="1" si="1"/>
        <v>27</v>
      </c>
      <c r="P46" s="34">
        <f>I46/H46*VLOOKUP(F44,'[1]Membership Level'!$A$3:$C$15,3,FALSE)+K46</f>
        <v>46160</v>
      </c>
      <c r="Q46" s="36"/>
    </row>
    <row r="47" spans="1:17" x14ac:dyDescent="0.25">
      <c r="A47" s="16" t="s">
        <v>149</v>
      </c>
      <c r="B47" s="32">
        <v>46130</v>
      </c>
      <c r="C47" s="18" t="s">
        <v>150</v>
      </c>
      <c r="D47" s="18" t="s">
        <v>151</v>
      </c>
      <c r="E47" s="17">
        <v>7903654973</v>
      </c>
      <c r="F47" s="18" t="str">
        <f>'[1]Membership Level'!A12</f>
        <v>Swimming Moth</v>
      </c>
      <c r="G47" s="18" t="s">
        <v>45</v>
      </c>
      <c r="H47" s="30">
        <v>2800</v>
      </c>
      <c r="I47" s="30">
        <v>2800</v>
      </c>
      <c r="J47" s="31">
        <f t="shared" si="0"/>
        <v>0</v>
      </c>
      <c r="K47" s="32">
        <v>46130</v>
      </c>
      <c r="L47" s="32">
        <f>DATE(YEAR(K47),MONTH(K47)+VLOOKUP($F45,'[1]Membership Level'!$A$3:$B$15,2,FALSE),DAY(K47))</f>
        <v>46221</v>
      </c>
      <c r="M47" s="33">
        <v>3</v>
      </c>
      <c r="N47" s="34" t="e">
        <f>IF($L47&lt;&gt;0,DATE(YEAR($L47),MONTH($L47)-#REF!,DAY($L47)-$M47),"")</f>
        <v>#REF!</v>
      </c>
      <c r="O47" s="33">
        <f t="shared" ca="1" si="1"/>
        <v>87</v>
      </c>
      <c r="P47" s="34">
        <f>I47/H47*VLOOKUP(F45,'[1]Membership Level'!$A$3:$C$15,3,FALSE)+K47</f>
        <v>46220</v>
      </c>
      <c r="Q47" s="36"/>
    </row>
    <row r="48" spans="1:17" x14ac:dyDescent="0.25">
      <c r="A48" s="16" t="s">
        <v>152</v>
      </c>
      <c r="B48" s="32">
        <v>46130</v>
      </c>
      <c r="C48" s="18" t="s">
        <v>150</v>
      </c>
      <c r="D48" s="18" t="s">
        <v>153</v>
      </c>
      <c r="E48" s="17">
        <v>7903654973</v>
      </c>
      <c r="F48" s="18" t="str">
        <f>'[1]Membership Level'!A12</f>
        <v>Swimming Moth</v>
      </c>
      <c r="G48" s="18" t="s">
        <v>45</v>
      </c>
      <c r="H48" s="30">
        <v>2800</v>
      </c>
      <c r="I48" s="30">
        <v>2800</v>
      </c>
      <c r="J48" s="31">
        <f t="shared" si="0"/>
        <v>0</v>
      </c>
      <c r="K48" s="32">
        <v>46130</v>
      </c>
      <c r="L48" s="32">
        <f>DATE(YEAR(K48),MONTH(K48)+VLOOKUP($F46,'[1]Membership Level'!$A$3:$B$15,2,FALSE),DAY(K48))</f>
        <v>46160</v>
      </c>
      <c r="M48" s="33">
        <v>3</v>
      </c>
      <c r="N48" s="34" t="e">
        <f>IF($L48&lt;&gt;0,DATE(YEAR($L48),MONTH($L48)-#REF!,DAY($L48)-$M48),"")</f>
        <v>#REF!</v>
      </c>
      <c r="O48" s="33">
        <f t="shared" ca="1" si="1"/>
        <v>27</v>
      </c>
      <c r="P48" s="34">
        <f>I48/H48*VLOOKUP(F46,'[1]Membership Level'!$A$3:$C$15,3,FALSE)+K48</f>
        <v>46160</v>
      </c>
      <c r="Q48" s="36"/>
    </row>
    <row r="49" spans="1:17" x14ac:dyDescent="0.25">
      <c r="A49" s="16" t="s">
        <v>154</v>
      </c>
      <c r="B49" s="32">
        <v>46130</v>
      </c>
      <c r="C49" s="18" t="s">
        <v>155</v>
      </c>
      <c r="D49" s="18" t="s">
        <v>156</v>
      </c>
      <c r="E49" s="17">
        <v>9153114183</v>
      </c>
      <c r="F49" s="18" t="str">
        <f>'[1]Membership Level'!A12</f>
        <v>Swimming Moth</v>
      </c>
      <c r="G49" s="18" t="s">
        <v>45</v>
      </c>
      <c r="H49" s="30">
        <v>2800</v>
      </c>
      <c r="I49" s="30">
        <v>2800</v>
      </c>
      <c r="J49" s="31">
        <f t="shared" si="0"/>
        <v>0</v>
      </c>
      <c r="K49" s="32">
        <v>46130</v>
      </c>
      <c r="L49" s="32">
        <f>DATE(YEAR(K49),MONTH(K49)+VLOOKUP($F47,'[1]Membership Level'!$A$3:$B$15,2,FALSE),DAY(K49))</f>
        <v>46160</v>
      </c>
      <c r="M49" s="33">
        <v>3</v>
      </c>
      <c r="N49" s="34" t="e">
        <f>IF($L49&lt;&gt;0,DATE(YEAR($L49),MONTH($L49)-#REF!,DAY($L49)-$M49),"")</f>
        <v>#REF!</v>
      </c>
      <c r="O49" s="33">
        <f t="shared" ca="1" si="1"/>
        <v>27</v>
      </c>
      <c r="P49" s="34">
        <f>I49/H49*VLOOKUP(F47,'[1]Membership Level'!$A$3:$C$15,3,FALSE)+K49</f>
        <v>46160</v>
      </c>
      <c r="Q49" s="36"/>
    </row>
    <row r="50" spans="1:17" x14ac:dyDescent="0.25">
      <c r="A50" s="16" t="s">
        <v>157</v>
      </c>
      <c r="B50" s="32">
        <v>46130</v>
      </c>
      <c r="C50" s="18" t="s">
        <v>158</v>
      </c>
      <c r="D50" s="18" t="s">
        <v>159</v>
      </c>
      <c r="E50" s="17">
        <v>9153114183</v>
      </c>
      <c r="F50" s="18" t="str">
        <f>'[1]Membership Level'!A12</f>
        <v>Swimming Moth</v>
      </c>
      <c r="G50" s="18" t="s">
        <v>45</v>
      </c>
      <c r="H50" s="30">
        <v>2800</v>
      </c>
      <c r="I50" s="30">
        <v>2800</v>
      </c>
      <c r="J50" s="31">
        <f t="shared" si="0"/>
        <v>0</v>
      </c>
      <c r="K50" s="32">
        <v>46130</v>
      </c>
      <c r="L50" s="32">
        <f>DATE(YEAR(K50),MONTH(K50)+VLOOKUP($F48,'[1]Membership Level'!$A$3:$B$15,2,FALSE),DAY(K50))</f>
        <v>46160</v>
      </c>
      <c r="N50" s="34" t="e">
        <f>IF($L50&lt;&gt;0,DATE(YEAR($L50),MONTH($L50)-#REF!,DAY($L50)-$M50),"")</f>
        <v>#REF!</v>
      </c>
      <c r="O50" s="33">
        <f t="shared" ca="1" si="1"/>
        <v>27</v>
      </c>
      <c r="P50" s="34">
        <f>I50/H50*VLOOKUP(F48,'[1]Membership Level'!$A$3:$C$15,3,FALSE)+K50</f>
        <v>46160</v>
      </c>
      <c r="Q50" s="36"/>
    </row>
    <row r="51" spans="1:17" x14ac:dyDescent="0.25">
      <c r="A51" s="16" t="s">
        <v>160</v>
      </c>
      <c r="B51" s="32">
        <v>46130</v>
      </c>
      <c r="C51" s="18" t="s">
        <v>25</v>
      </c>
      <c r="D51" s="18" t="s">
        <v>33</v>
      </c>
      <c r="E51" s="17">
        <v>9113304187</v>
      </c>
      <c r="F51" s="18" t="str">
        <f>'[1]Membership Level'!A12</f>
        <v>Swimming Moth</v>
      </c>
      <c r="G51" s="18" t="s">
        <v>39</v>
      </c>
      <c r="H51" s="30">
        <v>2500</v>
      </c>
      <c r="I51" s="30">
        <v>2500</v>
      </c>
      <c r="J51" s="31">
        <f t="shared" si="0"/>
        <v>0</v>
      </c>
      <c r="K51" s="32">
        <v>46130</v>
      </c>
      <c r="L51" s="32">
        <f>DATE(YEAR(K51),MONTH(K51)+VLOOKUP($F49,'[1]Membership Level'!$A$3:$B$15,2,FALSE),DAY(K51))</f>
        <v>46160</v>
      </c>
      <c r="M51" s="33">
        <v>3</v>
      </c>
      <c r="N51" s="34" t="e">
        <f>IF($L51&lt;&gt;0,DATE(YEAR($L51),MONTH($L51)-#REF!,DAY($L51)-$M51),"")</f>
        <v>#REF!</v>
      </c>
      <c r="O51" s="33">
        <f t="shared" ca="1" si="1"/>
        <v>27</v>
      </c>
      <c r="P51" s="34">
        <f>I51/H51*VLOOKUP(F49,'[1]Membership Level'!$A$3:$C$15,3,FALSE)+K51</f>
        <v>46160</v>
      </c>
      <c r="Q51" s="36"/>
    </row>
    <row r="52" spans="1:17" x14ac:dyDescent="0.25">
      <c r="A52" s="16" t="s">
        <v>161</v>
      </c>
      <c r="B52" s="32">
        <v>46130</v>
      </c>
      <c r="C52" s="18" t="s">
        <v>162</v>
      </c>
      <c r="D52" s="18" t="s">
        <v>163</v>
      </c>
      <c r="E52" s="17">
        <v>9973154666</v>
      </c>
      <c r="F52" s="18" t="str">
        <f>'[1]Membership Level'!A12</f>
        <v>Swimming Moth</v>
      </c>
      <c r="G52" s="18" t="s">
        <v>36</v>
      </c>
      <c r="H52" s="30">
        <v>3000</v>
      </c>
      <c r="I52" s="30">
        <v>3000</v>
      </c>
      <c r="J52" s="31">
        <f t="shared" si="0"/>
        <v>0</v>
      </c>
      <c r="K52" s="32">
        <v>46130</v>
      </c>
      <c r="L52" s="32">
        <f>DATE(YEAR(K52),MONTH(K52)+VLOOKUP($F50,'[1]Membership Level'!$A$3:$B$15,2,FALSE),DAY(K52))</f>
        <v>46160</v>
      </c>
      <c r="M52" s="33">
        <v>3</v>
      </c>
      <c r="N52" s="34" t="e">
        <f>IF($L52&lt;&gt;0,DATE(YEAR($L52),MONTH($L52)-#REF!,DAY($L52)-$M52),"")</f>
        <v>#REF!</v>
      </c>
      <c r="O52" s="33">
        <f t="shared" ca="1" si="1"/>
        <v>27</v>
      </c>
      <c r="P52" s="34">
        <f>I52/H52*VLOOKUP(F50,'[1]Membership Level'!$A$3:$C$15,3,FALSE)+K52</f>
        <v>46160</v>
      </c>
      <c r="Q52" s="36"/>
    </row>
    <row r="53" spans="1:17" x14ac:dyDescent="0.25">
      <c r="A53" s="16" t="s">
        <v>164</v>
      </c>
      <c r="B53" s="32">
        <v>46131</v>
      </c>
      <c r="C53" s="18" t="s">
        <v>55</v>
      </c>
      <c r="D53" s="18" t="s">
        <v>165</v>
      </c>
      <c r="E53" s="17">
        <v>7033365657</v>
      </c>
      <c r="F53" s="18" t="str">
        <f>'[1]Membership Level'!A12</f>
        <v>Swimming Moth</v>
      </c>
      <c r="G53" s="18" t="s">
        <v>36</v>
      </c>
      <c r="H53" s="30">
        <v>3300</v>
      </c>
      <c r="I53" s="30">
        <v>3300</v>
      </c>
      <c r="J53" s="31">
        <f t="shared" si="0"/>
        <v>0</v>
      </c>
      <c r="K53" s="43">
        <v>46131</v>
      </c>
      <c r="L53" s="32">
        <f>DATE(YEAR(K53),MONTH(K53)+VLOOKUP($F51,'[1]Membership Level'!$A$3:$B$15,2,FALSE),DAY(K53))</f>
        <v>46161</v>
      </c>
      <c r="M53" s="33">
        <v>3</v>
      </c>
      <c r="N53" s="34" t="e">
        <f>IF($L53&lt;&gt;0,DATE(YEAR($L53),MONTH($L53)-#REF!,DAY($L53)-$M53),"")</f>
        <v>#REF!</v>
      </c>
      <c r="O53" s="33">
        <f t="shared" ca="1" si="1"/>
        <v>28</v>
      </c>
      <c r="P53" s="34">
        <f>I53/H53*VLOOKUP(F51,'[1]Membership Level'!$A$3:$C$15,3,FALSE)+K53</f>
        <v>46161</v>
      </c>
      <c r="Q53" s="36"/>
    </row>
    <row r="54" spans="1:17" x14ac:dyDescent="0.25">
      <c r="A54" s="16" t="s">
        <v>166</v>
      </c>
      <c r="B54" s="43">
        <v>46131</v>
      </c>
      <c r="C54" s="18" t="s">
        <v>167</v>
      </c>
      <c r="D54" s="18" t="s">
        <v>168</v>
      </c>
      <c r="E54" s="17">
        <v>9576036640</v>
      </c>
      <c r="F54" s="18" t="str">
        <f>'[1]Membership Level'!A12</f>
        <v>Swimming Moth</v>
      </c>
      <c r="G54" s="18" t="s">
        <v>46</v>
      </c>
      <c r="H54" s="30">
        <v>2000</v>
      </c>
      <c r="I54" s="30">
        <v>2000</v>
      </c>
      <c r="J54" s="31">
        <f t="shared" si="0"/>
        <v>0</v>
      </c>
      <c r="K54" s="43">
        <v>46131</v>
      </c>
      <c r="L54" s="32">
        <f>DATE(YEAR(K54),MONTH(K54)+VLOOKUP($F52,'[1]Membership Level'!$A$3:$B$15,2,FALSE),DAY(K54))</f>
        <v>46161</v>
      </c>
      <c r="M54" s="33">
        <v>3</v>
      </c>
      <c r="N54" s="34" t="e">
        <f>IF($L54&lt;&gt;0,DATE(YEAR($L54),MONTH($L54)-#REF!,DAY($L54)-$M54),"")</f>
        <v>#REF!</v>
      </c>
      <c r="O54" s="33">
        <f t="shared" ca="1" si="1"/>
        <v>28</v>
      </c>
      <c r="P54" s="34">
        <f>I54/H54*VLOOKUP(F52,'[1]Membership Level'!$A$3:$C$15,3,FALSE)+K54</f>
        <v>46161</v>
      </c>
      <c r="Q54" s="36"/>
    </row>
    <row r="55" spans="1:17" x14ac:dyDescent="0.25">
      <c r="A55" s="16" t="s">
        <v>169</v>
      </c>
      <c r="B55" s="43">
        <v>46131</v>
      </c>
      <c r="C55" s="18" t="s">
        <v>170</v>
      </c>
      <c r="D55" s="18" t="s">
        <v>171</v>
      </c>
      <c r="E55" s="17">
        <v>9576036640</v>
      </c>
      <c r="F55" s="18" t="str">
        <f>'[1]Membership Level'!A12</f>
        <v>Swimming Moth</v>
      </c>
      <c r="G55" s="18" t="s">
        <v>39</v>
      </c>
      <c r="H55" s="30">
        <v>2500</v>
      </c>
      <c r="I55" s="30">
        <v>2500</v>
      </c>
      <c r="J55" s="31">
        <f t="shared" si="0"/>
        <v>0</v>
      </c>
      <c r="K55" s="43">
        <v>46131</v>
      </c>
      <c r="L55" s="32">
        <f>DATE(YEAR(K55),MONTH(K55)+VLOOKUP($F53,'[1]Membership Level'!$A$3:$B$15,2,FALSE),DAY(K55))</f>
        <v>46161</v>
      </c>
      <c r="M55" s="33">
        <v>3</v>
      </c>
      <c r="N55" s="34" t="e">
        <f>IF($L55&lt;&gt;0,DATE(YEAR($L55),MONTH($L55)-#REF!,DAY($L55)-$M55),"")</f>
        <v>#REF!</v>
      </c>
      <c r="O55" s="33">
        <f t="shared" ca="1" si="1"/>
        <v>28</v>
      </c>
      <c r="P55" s="34">
        <f>I55/H55*VLOOKUP(F53,'[1]Membership Level'!$A$3:$C$15,3,FALSE)+K55</f>
        <v>46161</v>
      </c>
      <c r="Q55" s="36"/>
    </row>
    <row r="56" spans="1:17" x14ac:dyDescent="0.25">
      <c r="A56" s="16" t="s">
        <v>172</v>
      </c>
      <c r="B56" s="43">
        <v>46131</v>
      </c>
      <c r="C56" s="18" t="s">
        <v>57</v>
      </c>
      <c r="D56" s="18" t="s">
        <v>173</v>
      </c>
      <c r="E56" s="17">
        <v>7200618563</v>
      </c>
      <c r="F56" s="18" t="str">
        <f>'[1]Membership Level'!A12</f>
        <v>Swimming Moth</v>
      </c>
      <c r="G56" s="18" t="s">
        <v>46</v>
      </c>
      <c r="H56" s="30">
        <v>2200</v>
      </c>
      <c r="I56" s="30">
        <v>2200</v>
      </c>
      <c r="J56" s="31">
        <f t="shared" si="0"/>
        <v>0</v>
      </c>
      <c r="K56" s="43">
        <v>46131</v>
      </c>
      <c r="L56" s="32">
        <f>DATE(YEAR(K56),MONTH(K56)+VLOOKUP($F54,'[1]Membership Level'!$A$3:$B$15,2,FALSE),DAY(K56))</f>
        <v>46161</v>
      </c>
      <c r="M56" s="33">
        <v>3</v>
      </c>
      <c r="N56" s="34" t="e">
        <f>IF($L56&lt;&gt;0,DATE(YEAR($L56),MONTH($L56)-#REF!,DAY($L56)-$M56),"")</f>
        <v>#REF!</v>
      </c>
      <c r="O56" s="33">
        <f t="shared" ca="1" si="1"/>
        <v>28</v>
      </c>
      <c r="P56" s="34">
        <f>I56/H56*VLOOKUP(F54,'[1]Membership Level'!$A$3:$C$15,3,FALSE)+K56</f>
        <v>46161</v>
      </c>
      <c r="Q56" s="36"/>
    </row>
    <row r="57" spans="1:17" x14ac:dyDescent="0.25">
      <c r="A57" s="16" t="s">
        <v>174</v>
      </c>
      <c r="B57" s="43">
        <v>46131</v>
      </c>
      <c r="C57" s="18" t="s">
        <v>57</v>
      </c>
      <c r="D57" s="18" t="s">
        <v>175</v>
      </c>
      <c r="E57" s="17">
        <v>7200618563</v>
      </c>
      <c r="F57" s="18" t="str">
        <f>'[1]Membership Level'!A12</f>
        <v>Swimming Moth</v>
      </c>
      <c r="G57" s="18" t="s">
        <v>50</v>
      </c>
      <c r="H57" s="30">
        <v>2500</v>
      </c>
      <c r="I57" s="30">
        <v>2500</v>
      </c>
      <c r="J57" s="31">
        <f t="shared" si="0"/>
        <v>0</v>
      </c>
      <c r="K57" s="43">
        <v>46131</v>
      </c>
      <c r="L57" s="32">
        <f>DATE(YEAR(K57),MONTH(K57)+VLOOKUP($F55,'[1]Membership Level'!$A$3:$B$15,2,FALSE),DAY(K57))</f>
        <v>46161</v>
      </c>
      <c r="M57" s="33">
        <v>3</v>
      </c>
      <c r="N57" s="34" t="e">
        <f>IF($L57&lt;&gt;0,DATE(YEAR($L57),MONTH($L57)-#REF!,DAY($L57)-$M57),"")</f>
        <v>#REF!</v>
      </c>
      <c r="O57" s="33">
        <f t="shared" ca="1" si="1"/>
        <v>28</v>
      </c>
      <c r="P57" s="34">
        <f>I57/H57*VLOOKUP(F55,'[1]Membership Level'!$A$3:$C$15,3,FALSE)+K57</f>
        <v>46161</v>
      </c>
      <c r="Q57" s="36"/>
    </row>
    <row r="58" spans="1:17" x14ac:dyDescent="0.25">
      <c r="A58" s="16" t="s">
        <v>176</v>
      </c>
      <c r="B58" s="43">
        <v>46131</v>
      </c>
      <c r="C58" s="18"/>
      <c r="D58" s="18" t="s">
        <v>177</v>
      </c>
      <c r="E58" s="17">
        <v>7544063715</v>
      </c>
      <c r="F58" s="18" t="str">
        <f>'[1]Membership Level'!A12</f>
        <v>Swimming Moth</v>
      </c>
      <c r="G58" s="18" t="s">
        <v>178</v>
      </c>
      <c r="H58" s="30">
        <v>1500</v>
      </c>
      <c r="I58" s="30">
        <v>1500</v>
      </c>
      <c r="J58" s="31">
        <f t="shared" si="0"/>
        <v>0</v>
      </c>
      <c r="K58" s="43">
        <v>46131</v>
      </c>
      <c r="L58" s="32">
        <f>DATE(YEAR(K58),MONTH(K58)+VLOOKUP($F56,'[1]Membership Level'!$A$3:$B$15,2,FALSE),DAY(K58))</f>
        <v>46161</v>
      </c>
      <c r="M58" s="33">
        <v>3</v>
      </c>
      <c r="N58" s="34" t="e">
        <f>IF($L58&lt;&gt;0,DATE(YEAR($L58),MONTH($L58)-#REF!,DAY($L58)-$M58),"")</f>
        <v>#REF!</v>
      </c>
      <c r="O58" s="33">
        <f t="shared" ca="1" si="1"/>
        <v>28</v>
      </c>
      <c r="P58" s="34">
        <f>I58/H58*VLOOKUP(F56,'[1]Membership Level'!$A$3:$C$15,3,FALSE)+K58</f>
        <v>46161</v>
      </c>
      <c r="Q58" s="36"/>
    </row>
    <row r="59" spans="1:17" x14ac:dyDescent="0.25">
      <c r="A59" s="16" t="s">
        <v>179</v>
      </c>
      <c r="B59" s="43">
        <v>46131</v>
      </c>
      <c r="C59" s="18"/>
      <c r="D59" s="18" t="s">
        <v>180</v>
      </c>
      <c r="E59" s="17">
        <v>7544063715</v>
      </c>
      <c r="F59" s="18" t="str">
        <f>'[1]Membership Level'!A12</f>
        <v>Swimming Moth</v>
      </c>
      <c r="G59" s="18" t="s">
        <v>178</v>
      </c>
      <c r="H59" s="30">
        <v>1500</v>
      </c>
      <c r="I59" s="30">
        <v>1500</v>
      </c>
      <c r="J59" s="31">
        <f t="shared" si="0"/>
        <v>0</v>
      </c>
      <c r="K59" s="43">
        <v>46131</v>
      </c>
      <c r="L59" s="32">
        <f>DATE(YEAR(K59),MONTH(K59)+VLOOKUP($F57,'[1]Membership Level'!$A$3:$B$15,2,FALSE),DAY(K59))</f>
        <v>46161</v>
      </c>
      <c r="M59" s="33">
        <v>3</v>
      </c>
      <c r="N59" s="34" t="e">
        <f>IF($L59&lt;&gt;0,DATE(YEAR($L59),MONTH($L59)-#REF!,DAY($L59)-$M59),"")</f>
        <v>#REF!</v>
      </c>
      <c r="O59" s="33">
        <f t="shared" ca="1" si="1"/>
        <v>28</v>
      </c>
      <c r="P59" s="34">
        <f>I59/H59*VLOOKUP(F57,'[1]Membership Level'!$A$3:$C$15,3,FALSE)+K59</f>
        <v>46161</v>
      </c>
      <c r="Q59" s="36"/>
    </row>
    <row r="60" spans="1:17" x14ac:dyDescent="0.25">
      <c r="A60" s="16" t="s">
        <v>181</v>
      </c>
      <c r="B60" s="43">
        <v>46131</v>
      </c>
      <c r="C60" s="18"/>
      <c r="D60" s="18" t="s">
        <v>182</v>
      </c>
      <c r="E60" s="17">
        <v>7544063715</v>
      </c>
      <c r="F60" s="18" t="str">
        <f>'[1]Membership Level'!A12</f>
        <v>Swimming Moth</v>
      </c>
      <c r="G60" s="18" t="s">
        <v>178</v>
      </c>
      <c r="H60" s="30">
        <v>1500</v>
      </c>
      <c r="I60" s="30">
        <v>1500</v>
      </c>
      <c r="J60" s="31">
        <f t="shared" si="0"/>
        <v>0</v>
      </c>
      <c r="K60" s="43">
        <v>46131</v>
      </c>
      <c r="L60" s="32">
        <f>DATE(YEAR(K60),MONTH(K60)+VLOOKUP($F58,'[1]Membership Level'!$A$3:$B$15,2,FALSE),DAY(K60))</f>
        <v>46161</v>
      </c>
      <c r="M60" s="33">
        <v>3</v>
      </c>
      <c r="N60" s="34" t="e">
        <f>IF($L60&lt;&gt;0,DATE(YEAR($L60),MONTH($L60)-#REF!,DAY($L60)-$M60),"")</f>
        <v>#REF!</v>
      </c>
      <c r="O60" s="33">
        <f t="shared" ca="1" si="1"/>
        <v>28</v>
      </c>
      <c r="P60" s="34">
        <f>I60/H60*VLOOKUP(F58,'[1]Membership Level'!$A$3:$C$15,3,FALSE)+K60</f>
        <v>46161</v>
      </c>
      <c r="Q60" s="36"/>
    </row>
    <row r="61" spans="1:17" x14ac:dyDescent="0.25">
      <c r="A61" s="16" t="s">
        <v>183</v>
      </c>
      <c r="B61" s="43">
        <v>46131</v>
      </c>
      <c r="C61" s="18"/>
      <c r="D61" s="18" t="s">
        <v>184</v>
      </c>
      <c r="E61" s="17">
        <v>7544063715</v>
      </c>
      <c r="F61" s="18" t="str">
        <f>'[1]Membership Level'!A12</f>
        <v>Swimming Moth</v>
      </c>
      <c r="G61" s="18" t="s">
        <v>178</v>
      </c>
      <c r="H61" s="30">
        <v>1500</v>
      </c>
      <c r="I61" s="30">
        <v>1500</v>
      </c>
      <c r="J61" s="31">
        <f t="shared" ref="J61:J124" si="2">H61-I61</f>
        <v>0</v>
      </c>
      <c r="K61" s="43">
        <v>46131</v>
      </c>
      <c r="L61" s="32">
        <f>DATE(YEAR(K61),MONTH(K61)+VLOOKUP($F59,'[1]Membership Level'!$A$3:$B$15,2,FALSE),DAY(K61))</f>
        <v>46161</v>
      </c>
      <c r="M61" s="33">
        <v>3</v>
      </c>
      <c r="N61" s="34" t="e">
        <f>IF($L61&lt;&gt;0,DATE(YEAR($L61),MONTH($L61)-#REF!,DAY($L61)-$M61),"")</f>
        <v>#REF!</v>
      </c>
      <c r="O61" s="33">
        <f t="shared" ref="O61:O124" ca="1" si="3">IF(DAYS360(NOW(), $L61) &gt;= 0, DAYS360(NOW(), $L61), "")</f>
        <v>28</v>
      </c>
      <c r="P61" s="34">
        <f>I61/H61*VLOOKUP(F59,'[1]Membership Level'!$A$3:$C$15,3,FALSE)+K61</f>
        <v>46161</v>
      </c>
      <c r="Q61" s="36"/>
    </row>
    <row r="62" spans="1:17" x14ac:dyDescent="0.25">
      <c r="A62" s="16" t="s">
        <v>185</v>
      </c>
      <c r="B62" s="43">
        <v>46131</v>
      </c>
      <c r="C62" s="18" t="s">
        <v>186</v>
      </c>
      <c r="D62" s="18" t="s">
        <v>187</v>
      </c>
      <c r="E62" s="17">
        <v>9386190129</v>
      </c>
      <c r="F62" s="18" t="str">
        <f>'[1]Membership Level'!A12</f>
        <v>Swimming Moth</v>
      </c>
      <c r="G62" s="18" t="s">
        <v>35</v>
      </c>
      <c r="H62" s="30">
        <v>1200</v>
      </c>
      <c r="I62" s="30">
        <v>1200</v>
      </c>
      <c r="J62" s="31">
        <f t="shared" si="2"/>
        <v>0</v>
      </c>
      <c r="K62" s="43">
        <v>46131</v>
      </c>
      <c r="L62" s="32">
        <f>DATE(YEAR(K62),MONTH(K62)+VLOOKUP($F60,'[1]Membership Level'!$A$3:$B$15,2,FALSE),DAY(K62))</f>
        <v>46161</v>
      </c>
      <c r="M62" s="33">
        <v>3</v>
      </c>
      <c r="N62" s="34" t="e">
        <f>IF($L62&lt;&gt;0,DATE(YEAR($L62),MONTH($L62)-#REF!,DAY($L62)-$M62),"")</f>
        <v>#REF!</v>
      </c>
      <c r="O62" s="33">
        <f t="shared" ca="1" si="3"/>
        <v>28</v>
      </c>
      <c r="P62" s="34">
        <f>I62/H62*VLOOKUP(F60,'[1]Membership Level'!$A$3:$C$15,3,FALSE)+K62</f>
        <v>46161</v>
      </c>
      <c r="Q62" s="36"/>
    </row>
    <row r="63" spans="1:17" x14ac:dyDescent="0.25">
      <c r="A63" s="16" t="s">
        <v>188</v>
      </c>
      <c r="B63" s="43">
        <v>46131</v>
      </c>
      <c r="C63" s="18" t="s">
        <v>41</v>
      </c>
      <c r="D63" s="18" t="s">
        <v>189</v>
      </c>
      <c r="E63" s="17">
        <v>7759012991</v>
      </c>
      <c r="F63" s="18" t="str">
        <f>'[1]Membership Level'!A12</f>
        <v>Swimming Moth</v>
      </c>
      <c r="G63" s="18" t="s">
        <v>36</v>
      </c>
      <c r="H63" s="30">
        <v>3000</v>
      </c>
      <c r="I63" s="30">
        <v>3000</v>
      </c>
      <c r="J63" s="31">
        <f t="shared" si="2"/>
        <v>0</v>
      </c>
      <c r="K63" s="43">
        <v>46131</v>
      </c>
      <c r="L63" s="32">
        <f>DATE(YEAR(K63),MONTH(K63)+VLOOKUP($F61,'[1]Membership Level'!$A$3:$B$15,2,FALSE),DAY(K63))</f>
        <v>46161</v>
      </c>
      <c r="M63" s="33">
        <v>3</v>
      </c>
      <c r="N63" s="34" t="e">
        <f>IF($L63&lt;&gt;0,DATE(YEAR($L63),MONTH($L63)-#REF!,DAY($L63)-$M63),"")</f>
        <v>#REF!</v>
      </c>
      <c r="O63" s="33">
        <f t="shared" ca="1" si="3"/>
        <v>28</v>
      </c>
      <c r="P63" s="34">
        <f>I63/H63*VLOOKUP(F61,'[1]Membership Level'!$A$3:$C$15,3,FALSE)+K63</f>
        <v>46161</v>
      </c>
      <c r="Q63" s="36"/>
    </row>
    <row r="64" spans="1:17" x14ac:dyDescent="0.25">
      <c r="A64" s="16" t="s">
        <v>190</v>
      </c>
      <c r="B64" s="43">
        <v>46131</v>
      </c>
      <c r="C64" s="18" t="s">
        <v>191</v>
      </c>
      <c r="D64" s="18" t="s">
        <v>192</v>
      </c>
      <c r="E64" s="17">
        <v>7759012991</v>
      </c>
      <c r="F64" s="18" t="str">
        <f>'[1]Membership Level'!A12</f>
        <v>Swimming Moth</v>
      </c>
      <c r="G64" s="18" t="s">
        <v>45</v>
      </c>
      <c r="H64" s="30">
        <v>2800</v>
      </c>
      <c r="I64" s="30">
        <v>2800</v>
      </c>
      <c r="J64" s="31">
        <f t="shared" si="2"/>
        <v>0</v>
      </c>
      <c r="K64" s="43">
        <v>46131</v>
      </c>
      <c r="L64" s="32">
        <f>DATE(YEAR(K64),MONTH(K64)+VLOOKUP($F62,'[1]Membership Level'!$A$3:$B$15,2,FALSE),DAY(K64))</f>
        <v>46161</v>
      </c>
      <c r="M64" s="33">
        <v>3</v>
      </c>
      <c r="N64" s="34" t="e">
        <f>IF($L64&lt;&gt;0,DATE(YEAR($L64),MONTH($L64)-#REF!,DAY($L64)-$M64),"")</f>
        <v>#REF!</v>
      </c>
      <c r="O64" s="33">
        <f t="shared" ca="1" si="3"/>
        <v>28</v>
      </c>
      <c r="P64" s="34">
        <f>I64/H64*VLOOKUP(F62,'[1]Membership Level'!$A$3:$C$15,3,FALSE)+K64</f>
        <v>46161</v>
      </c>
      <c r="Q64" s="36"/>
    </row>
    <row r="65" spans="1:17" x14ac:dyDescent="0.25">
      <c r="A65" s="16" t="s">
        <v>193</v>
      </c>
      <c r="B65" s="43">
        <v>46131</v>
      </c>
      <c r="C65" s="18" t="s">
        <v>62</v>
      </c>
      <c r="D65" s="18" t="s">
        <v>194</v>
      </c>
      <c r="E65" s="17">
        <v>7759012991</v>
      </c>
      <c r="F65" s="18" t="str">
        <f>'[1]Membership Level'!A12</f>
        <v>Swimming Moth</v>
      </c>
      <c r="G65" s="18" t="s">
        <v>45</v>
      </c>
      <c r="H65" s="30">
        <v>2800</v>
      </c>
      <c r="I65" s="30">
        <v>2800</v>
      </c>
      <c r="J65" s="31">
        <f t="shared" si="2"/>
        <v>0</v>
      </c>
      <c r="K65" s="43">
        <v>46131</v>
      </c>
      <c r="L65" s="32">
        <f>DATE(YEAR(K65),MONTH(K65)+VLOOKUP($F63,'[1]Membership Level'!$A$3:$B$15,2,FALSE),DAY(K65))</f>
        <v>46161</v>
      </c>
      <c r="M65" s="33">
        <v>3</v>
      </c>
      <c r="N65" s="34" t="e">
        <f>IF($L65&lt;&gt;0,DATE(YEAR($L65),MONTH($L65)-#REF!,DAY($L65)-$M65),"")</f>
        <v>#REF!</v>
      </c>
      <c r="O65" s="33">
        <f t="shared" ca="1" si="3"/>
        <v>28</v>
      </c>
      <c r="P65" s="34">
        <f>I65/H65*VLOOKUP(F63,'[1]Membership Level'!$A$3:$C$15,3,FALSE)+K65</f>
        <v>46161</v>
      </c>
      <c r="Q65" s="36"/>
    </row>
    <row r="66" spans="1:17" x14ac:dyDescent="0.25">
      <c r="A66" s="16" t="s">
        <v>195</v>
      </c>
      <c r="B66" s="43">
        <v>46131</v>
      </c>
      <c r="C66" s="18" t="s">
        <v>41</v>
      </c>
      <c r="D66" s="18" t="s">
        <v>196</v>
      </c>
      <c r="E66" s="17">
        <v>6204481551</v>
      </c>
      <c r="F66" s="18" t="str">
        <f>'[1]Membership Level'!A12</f>
        <v>Swimming Moth</v>
      </c>
      <c r="G66" s="18" t="s">
        <v>197</v>
      </c>
      <c r="H66" s="30">
        <v>2500</v>
      </c>
      <c r="I66" s="30">
        <v>2500</v>
      </c>
      <c r="J66" s="31">
        <f t="shared" si="2"/>
        <v>0</v>
      </c>
      <c r="K66" s="43">
        <v>46131</v>
      </c>
      <c r="L66" s="32">
        <f>DATE(YEAR(K66),MONTH(K66)+VLOOKUP($F64,'[1]Membership Level'!$A$3:$B$15,2,FALSE),DAY(K66))</f>
        <v>46161</v>
      </c>
      <c r="M66" s="33">
        <v>3</v>
      </c>
      <c r="N66" s="34" t="e">
        <f>IF($L66&lt;&gt;0,DATE(YEAR($L66),MONTH($L66)-#REF!,DAY($L66)-$M66),"")</f>
        <v>#REF!</v>
      </c>
      <c r="O66" s="33">
        <f t="shared" ca="1" si="3"/>
        <v>28</v>
      </c>
      <c r="P66" s="34">
        <f>I66/H66*VLOOKUP(F64,'[1]Membership Level'!$A$3:$C$15,3,FALSE)+K66</f>
        <v>46161</v>
      </c>
      <c r="Q66" s="36"/>
    </row>
    <row r="67" spans="1:17" x14ac:dyDescent="0.25">
      <c r="A67" s="16" t="s">
        <v>198</v>
      </c>
      <c r="B67" s="43">
        <v>46131</v>
      </c>
      <c r="C67" s="18" t="s">
        <v>25</v>
      </c>
      <c r="D67" s="18" t="s">
        <v>54</v>
      </c>
      <c r="E67" s="17">
        <v>8210076453</v>
      </c>
      <c r="F67" s="18" t="str">
        <f>'[1]Membership Level'!A12</f>
        <v>Swimming Moth</v>
      </c>
      <c r="G67" s="18" t="s">
        <v>50</v>
      </c>
      <c r="H67" s="30">
        <v>2500</v>
      </c>
      <c r="I67" s="30">
        <v>2500</v>
      </c>
      <c r="J67" s="31">
        <f t="shared" si="2"/>
        <v>0</v>
      </c>
      <c r="K67" s="43">
        <v>46131</v>
      </c>
      <c r="L67" s="32">
        <f>DATE(YEAR(K67),MONTH(K67)+VLOOKUP($F65,'[1]Membership Level'!$A$3:$B$15,2,FALSE),DAY(K67))</f>
        <v>46161</v>
      </c>
      <c r="M67" s="33">
        <v>3</v>
      </c>
      <c r="N67" s="34" t="e">
        <f>IF($L67&lt;&gt;0,DATE(YEAR($L67),MONTH($L67)-#REF!,DAY($L67)-$M67),"")</f>
        <v>#REF!</v>
      </c>
      <c r="O67" s="33">
        <f t="shared" ca="1" si="3"/>
        <v>28</v>
      </c>
      <c r="P67" s="34">
        <f>I67/H67*VLOOKUP(F65,'[1]Membership Level'!$A$3:$C$15,3,FALSE)+K67</f>
        <v>46161</v>
      </c>
      <c r="Q67" s="36"/>
    </row>
    <row r="68" spans="1:17" x14ac:dyDescent="0.25">
      <c r="A68" s="16" t="s">
        <v>199</v>
      </c>
      <c r="B68" s="43">
        <v>46131</v>
      </c>
      <c r="C68" s="18" t="s">
        <v>58</v>
      </c>
      <c r="D68" s="18" t="s">
        <v>56</v>
      </c>
      <c r="E68" s="17">
        <v>9507778290</v>
      </c>
      <c r="F68" s="18" t="str">
        <f>'[1]Membership Level'!A12</f>
        <v>Swimming Moth</v>
      </c>
      <c r="G68" s="18" t="s">
        <v>39</v>
      </c>
      <c r="H68" s="30">
        <v>2500</v>
      </c>
      <c r="I68" s="30">
        <v>2500</v>
      </c>
      <c r="J68" s="31">
        <f t="shared" si="2"/>
        <v>0</v>
      </c>
      <c r="K68" s="43">
        <v>46131</v>
      </c>
      <c r="L68" s="32">
        <f>DATE(YEAR(K68),MONTH(K68)+VLOOKUP($F66,'[1]Membership Level'!$A$3:$B$15,2,FALSE),DAY(K68))</f>
        <v>46161</v>
      </c>
      <c r="M68" s="33">
        <v>3</v>
      </c>
      <c r="N68" s="34" t="e">
        <f>IF($L68&lt;&gt;0,DATE(YEAR($L68),MONTH($L68)-#REF!,DAY($L68)-$M68),"")</f>
        <v>#REF!</v>
      </c>
      <c r="O68" s="33">
        <f t="shared" ca="1" si="3"/>
        <v>28</v>
      </c>
      <c r="P68" s="34">
        <f>I68/H68*VLOOKUP(F66,'[1]Membership Level'!$A$3:$C$15,3,FALSE)+K68</f>
        <v>46161</v>
      </c>
      <c r="Q68" s="36"/>
    </row>
    <row r="69" spans="1:17" x14ac:dyDescent="0.25">
      <c r="A69" s="16" t="s">
        <v>200</v>
      </c>
      <c r="B69" s="43">
        <v>46131</v>
      </c>
      <c r="C69" s="18" t="s">
        <v>201</v>
      </c>
      <c r="D69" s="18" t="s">
        <v>202</v>
      </c>
      <c r="E69" s="17">
        <v>9940417651</v>
      </c>
      <c r="F69" s="18" t="str">
        <f>'[1]Membership Level'!A12</f>
        <v>Swimming Moth</v>
      </c>
      <c r="G69" s="18" t="s">
        <v>35</v>
      </c>
      <c r="H69" s="30">
        <v>1200</v>
      </c>
      <c r="I69" s="30">
        <v>1200</v>
      </c>
      <c r="J69" s="31">
        <f t="shared" si="2"/>
        <v>0</v>
      </c>
      <c r="K69" s="43">
        <v>46131</v>
      </c>
      <c r="L69" s="32">
        <f>DATE(YEAR(K69),MONTH(K69)+VLOOKUP($F67,'[1]Membership Level'!$A$3:$B$15,2,FALSE),DAY(K69))</f>
        <v>46161</v>
      </c>
      <c r="M69" s="33">
        <v>3</v>
      </c>
      <c r="N69" s="34" t="e">
        <f>IF($L69&lt;&gt;0,DATE(YEAR($L69),MONTH($L69)-#REF!,DAY($L69)-$M69),"")</f>
        <v>#REF!</v>
      </c>
      <c r="O69" s="33">
        <f t="shared" ca="1" si="3"/>
        <v>28</v>
      </c>
      <c r="P69" s="34">
        <f>I69/H69*VLOOKUP(F67,'[1]Membership Level'!$A$3:$C$15,3,FALSE)+K69</f>
        <v>46161</v>
      </c>
      <c r="Q69" s="36"/>
    </row>
    <row r="70" spans="1:17" x14ac:dyDescent="0.25">
      <c r="A70" s="16" t="s">
        <v>203</v>
      </c>
      <c r="B70" s="43">
        <v>46131</v>
      </c>
      <c r="C70" s="18" t="s">
        <v>41</v>
      </c>
      <c r="D70" s="18" t="s">
        <v>204</v>
      </c>
      <c r="E70" s="17">
        <v>7033882450</v>
      </c>
      <c r="F70" s="18" t="str">
        <f>'[1]Membership Level'!A12</f>
        <v>Swimming Moth</v>
      </c>
      <c r="G70" s="18" t="s">
        <v>35</v>
      </c>
      <c r="H70" s="30">
        <v>1000</v>
      </c>
      <c r="I70" s="30">
        <v>1000</v>
      </c>
      <c r="J70" s="31">
        <f t="shared" si="2"/>
        <v>0</v>
      </c>
      <c r="K70" s="43">
        <v>46131</v>
      </c>
      <c r="L70" s="32">
        <f>DATE(YEAR(K70),MONTH(K70)+VLOOKUP($F68,'[1]Membership Level'!$A$3:$B$15,2,FALSE),DAY(K70))</f>
        <v>46161</v>
      </c>
      <c r="M70" s="33">
        <v>3</v>
      </c>
      <c r="N70" s="34" t="e">
        <f>IF($L70&lt;&gt;0,DATE(YEAR($L70),MONTH($L70)-#REF!,DAY($L70)-$M70),"")</f>
        <v>#REF!</v>
      </c>
      <c r="O70" s="33">
        <f t="shared" ca="1" si="3"/>
        <v>28</v>
      </c>
      <c r="P70" s="34">
        <f>I70/H70*VLOOKUP(F68,'[1]Membership Level'!$A$3:$C$15,3,FALSE)+K70</f>
        <v>46161</v>
      </c>
      <c r="Q70" s="36"/>
    </row>
    <row r="71" spans="1:17" x14ac:dyDescent="0.25">
      <c r="A71" s="16" t="s">
        <v>205</v>
      </c>
      <c r="B71" s="32">
        <v>46132</v>
      </c>
      <c r="C71" s="18" t="s">
        <v>25</v>
      </c>
      <c r="D71" s="18" t="s">
        <v>26</v>
      </c>
      <c r="E71" s="17">
        <v>9007868369</v>
      </c>
      <c r="F71" s="18" t="str">
        <f>'[1]Membership Level'!A12</f>
        <v>Swimming Moth</v>
      </c>
      <c r="G71" s="18" t="s">
        <v>24</v>
      </c>
      <c r="H71" s="30">
        <v>4400</v>
      </c>
      <c r="I71" s="30">
        <v>4400</v>
      </c>
      <c r="J71" s="31">
        <f t="shared" si="2"/>
        <v>0</v>
      </c>
      <c r="K71" s="32">
        <v>46132</v>
      </c>
      <c r="L71" s="32">
        <f>DATE(YEAR(K71),MONTH(K71)+VLOOKUP($F69,'[1]Membership Level'!$A$3:$B$15,2,FALSE),DAY(K71))</f>
        <v>46162</v>
      </c>
      <c r="M71" s="33">
        <v>3</v>
      </c>
      <c r="N71" s="34" t="e">
        <f>IF($L71&lt;&gt;0,DATE(YEAR($L71),MONTH($L71)-#REF!,DAY($L71)-$M71),"")</f>
        <v>#REF!</v>
      </c>
      <c r="O71" s="33">
        <f t="shared" ca="1" si="3"/>
        <v>29</v>
      </c>
      <c r="P71" s="34">
        <f>I71/H71*VLOOKUP(F69,'[1]Membership Level'!$A$3:$C$15,3,FALSE)+K71</f>
        <v>46162</v>
      </c>
      <c r="Q71" s="36"/>
    </row>
    <row r="72" spans="1:17" x14ac:dyDescent="0.25">
      <c r="A72" s="16" t="s">
        <v>206</v>
      </c>
      <c r="B72" s="32">
        <v>46132</v>
      </c>
      <c r="C72" s="18" t="s">
        <v>31</v>
      </c>
      <c r="D72" s="18" t="s">
        <v>207</v>
      </c>
      <c r="E72" s="17">
        <v>9007868369</v>
      </c>
      <c r="F72" s="18" t="str">
        <f>'[1]Membership Level'!A12</f>
        <v>Swimming Moth</v>
      </c>
      <c r="G72" s="18" t="s">
        <v>43</v>
      </c>
      <c r="H72" s="30">
        <v>3800</v>
      </c>
      <c r="I72" s="30">
        <v>3800</v>
      </c>
      <c r="J72" s="31">
        <f t="shared" si="2"/>
        <v>0</v>
      </c>
      <c r="K72" s="32">
        <v>46132</v>
      </c>
      <c r="L72" s="32">
        <f>DATE(YEAR(K72),MONTH(K72)+VLOOKUP($F70,'[1]Membership Level'!$A$3:$B$15,2,FALSE),DAY(K72))</f>
        <v>46162</v>
      </c>
      <c r="M72" s="33">
        <v>3</v>
      </c>
      <c r="N72" s="34" t="e">
        <f>IF($L72&lt;&gt;0,DATE(YEAR($L72),MONTH($L72)-#REF!,DAY($L72)-$M72),"")</f>
        <v>#REF!</v>
      </c>
      <c r="O72" s="33">
        <f t="shared" ca="1" si="3"/>
        <v>29</v>
      </c>
      <c r="P72" s="34">
        <f>I72/H72*VLOOKUP(F70,'[1]Membership Level'!$A$3:$C$15,3,FALSE)+K72</f>
        <v>46162</v>
      </c>
      <c r="Q72" s="36"/>
    </row>
    <row r="73" spans="1:17" x14ac:dyDescent="0.25">
      <c r="A73" s="16" t="s">
        <v>208</v>
      </c>
      <c r="B73" s="32">
        <v>46132</v>
      </c>
      <c r="C73" s="18" t="s">
        <v>42</v>
      </c>
      <c r="D73" s="18" t="s">
        <v>209</v>
      </c>
      <c r="E73" s="17">
        <v>6205863681</v>
      </c>
      <c r="F73" s="18" t="str">
        <f>'[1]Membership Level'!A14</f>
        <v>Swimming HY</v>
      </c>
      <c r="G73" s="18" t="s">
        <v>21</v>
      </c>
      <c r="H73" s="30">
        <v>17000</v>
      </c>
      <c r="I73" s="30">
        <v>17000</v>
      </c>
      <c r="J73" s="31">
        <f t="shared" si="2"/>
        <v>0</v>
      </c>
      <c r="K73" s="32">
        <v>46132</v>
      </c>
      <c r="L73" s="32">
        <f>DATE(YEAR(K73),MONTH(K73)+VLOOKUP($F71,'[1]Membership Level'!$A$3:$B$15,2,FALSE),DAY(K73))</f>
        <v>46162</v>
      </c>
      <c r="M73" s="33">
        <v>3</v>
      </c>
      <c r="N73" s="34" t="e">
        <f>IF($L73&lt;&gt;0,DATE(YEAR($L73),MONTH($L73)-#REF!,DAY($L73)-$M73),"")</f>
        <v>#REF!</v>
      </c>
      <c r="O73" s="33">
        <f t="shared" ca="1" si="3"/>
        <v>29</v>
      </c>
      <c r="P73" s="34">
        <f>I73/H73*VLOOKUP(F71,'[1]Membership Level'!$A$3:$C$15,3,FALSE)+K73</f>
        <v>46162</v>
      </c>
      <c r="Q73" s="36"/>
    </row>
    <row r="74" spans="1:17" x14ac:dyDescent="0.25">
      <c r="A74" s="16" t="s">
        <v>210</v>
      </c>
      <c r="B74" s="32">
        <v>46133</v>
      </c>
      <c r="C74" s="18"/>
      <c r="D74" s="18" t="s">
        <v>211</v>
      </c>
      <c r="E74" s="17">
        <v>7970851995</v>
      </c>
      <c r="F74" s="18" t="str">
        <f>'[1]Membership Level'!A12</f>
        <v>Swimming Moth</v>
      </c>
      <c r="G74" s="18" t="s">
        <v>24</v>
      </c>
      <c r="H74" s="30">
        <v>4000</v>
      </c>
      <c r="I74" s="30">
        <v>4000</v>
      </c>
      <c r="J74" s="31">
        <f t="shared" si="2"/>
        <v>0</v>
      </c>
      <c r="K74" s="32">
        <v>46133</v>
      </c>
      <c r="L74" s="32">
        <f>DATE(YEAR(K74),MONTH(K74)+VLOOKUP($F72,'[1]Membership Level'!$A$3:$B$15,2,FALSE),DAY(K74))</f>
        <v>46163</v>
      </c>
      <c r="M74" s="33">
        <v>3</v>
      </c>
      <c r="N74" s="34" t="e">
        <f>IF($L74&lt;&gt;0,DATE(YEAR($L74),MONTH($L74)-#REF!,DAY($L74)-$M74),"")</f>
        <v>#REF!</v>
      </c>
      <c r="O74" s="33">
        <f t="shared" ca="1" si="3"/>
        <v>30</v>
      </c>
      <c r="P74" s="34">
        <f>I74/H74*VLOOKUP(F72,'[1]Membership Level'!$A$3:$C$15,3,FALSE)+K74</f>
        <v>46163</v>
      </c>
      <c r="Q74" s="36"/>
    </row>
    <row r="75" spans="1:17" x14ac:dyDescent="0.25">
      <c r="A75" s="16" t="s">
        <v>212</v>
      </c>
      <c r="B75" s="32">
        <v>46133</v>
      </c>
      <c r="C75" s="18"/>
      <c r="D75" s="18" t="s">
        <v>213</v>
      </c>
      <c r="E75" s="17">
        <v>9097981296</v>
      </c>
      <c r="F75" s="18" t="str">
        <f>'[1]Membership Level'!A12</f>
        <v>Swimming Moth</v>
      </c>
      <c r="G75" s="18" t="s">
        <v>36</v>
      </c>
      <c r="H75" s="30">
        <v>3300</v>
      </c>
      <c r="I75" s="30">
        <v>3300</v>
      </c>
      <c r="J75" s="31">
        <f t="shared" si="2"/>
        <v>0</v>
      </c>
      <c r="K75" s="32">
        <v>46133</v>
      </c>
      <c r="L75" s="32">
        <f>DATE(YEAR(K75),MONTH(K75)+VLOOKUP($F73,'[1]Membership Level'!$A$3:$B$15,2,FALSE),DAY(K75))</f>
        <v>46316</v>
      </c>
      <c r="M75" s="33">
        <v>3</v>
      </c>
      <c r="N75" s="34" t="e">
        <f>IF($L75&lt;&gt;0,DATE(YEAR($L75),MONTH($L75)-#REF!,DAY($L75)-$M75),"")</f>
        <v>#REF!</v>
      </c>
      <c r="O75" s="33">
        <f t="shared" ca="1" si="3"/>
        <v>180</v>
      </c>
      <c r="P75" s="34">
        <f>I75/H75*VLOOKUP(F73,'[1]Membership Level'!$A$3:$C$15,3,FALSE)+K75</f>
        <v>46313</v>
      </c>
      <c r="Q75" s="36"/>
    </row>
    <row r="76" spans="1:17" x14ac:dyDescent="0.25">
      <c r="A76" s="16" t="s">
        <v>214</v>
      </c>
      <c r="B76" s="32">
        <v>46133</v>
      </c>
      <c r="C76" s="18"/>
      <c r="D76" s="18"/>
      <c r="E76" s="17"/>
      <c r="F76" s="18"/>
      <c r="G76" s="18"/>
      <c r="H76" s="30">
        <v>0</v>
      </c>
      <c r="I76" s="30">
        <v>0</v>
      </c>
      <c r="J76" s="31">
        <f t="shared" si="2"/>
        <v>0</v>
      </c>
      <c r="K76" s="32">
        <v>46133</v>
      </c>
      <c r="L76" s="32">
        <f>DATE(YEAR(K76),MONTH(K76)+VLOOKUP($F74,'[1]Membership Level'!$A$3:$B$15,2,FALSE),DAY(K76))</f>
        <v>46163</v>
      </c>
      <c r="M76" s="33">
        <v>3</v>
      </c>
      <c r="N76" s="34" t="e">
        <f>IF($L76&lt;&gt;0,DATE(YEAR($L76),MONTH($L76)-#REF!,DAY($L76)-$M76),"")</f>
        <v>#REF!</v>
      </c>
      <c r="O76" s="33">
        <f t="shared" ca="1" si="3"/>
        <v>30</v>
      </c>
      <c r="P76" s="34" t="e">
        <f>I76/H76*VLOOKUP(F74,'[1]Membership Level'!$A$3:$C$15,3,FALSE)+K76</f>
        <v>#DIV/0!</v>
      </c>
      <c r="Q76" s="36"/>
    </row>
    <row r="77" spans="1:17" x14ac:dyDescent="0.25">
      <c r="A77" s="16" t="s">
        <v>215</v>
      </c>
      <c r="B77" s="32">
        <v>46133</v>
      </c>
      <c r="C77" s="18"/>
      <c r="D77" s="18"/>
      <c r="E77" s="17"/>
      <c r="F77" s="18"/>
      <c r="G77" s="18"/>
      <c r="H77" s="30">
        <v>0</v>
      </c>
      <c r="I77" s="30">
        <v>0</v>
      </c>
      <c r="J77" s="31">
        <f t="shared" si="2"/>
        <v>0</v>
      </c>
      <c r="K77" s="32">
        <v>46133</v>
      </c>
      <c r="L77" s="32">
        <f>DATE(YEAR(K77),MONTH(K77)+VLOOKUP($F75,'[1]Membership Level'!$A$3:$B$15,2,FALSE),DAY(K77))</f>
        <v>46163</v>
      </c>
      <c r="M77" s="33">
        <v>3</v>
      </c>
      <c r="N77" s="34" t="e">
        <f>IF($L77&lt;&gt;0,DATE(YEAR($L77),MONTH($L77)-#REF!,DAY($L77)-$M77),"")</f>
        <v>#REF!</v>
      </c>
      <c r="O77" s="33">
        <f t="shared" ca="1" si="3"/>
        <v>30</v>
      </c>
      <c r="P77" s="34" t="e">
        <f>I77/H77*VLOOKUP(F75,'[1]Membership Level'!$A$3:$C$15,3,FALSE)+K77</f>
        <v>#DIV/0!</v>
      </c>
      <c r="Q77" s="36"/>
    </row>
    <row r="78" spans="1:17" x14ac:dyDescent="0.25">
      <c r="A78" s="16" t="s">
        <v>216</v>
      </c>
      <c r="B78" s="32">
        <v>46133</v>
      </c>
      <c r="C78" s="18"/>
      <c r="D78" s="18"/>
      <c r="E78" s="17"/>
      <c r="F78" s="18"/>
      <c r="G78" s="18"/>
      <c r="H78" s="30">
        <v>0</v>
      </c>
      <c r="I78" s="30">
        <v>0</v>
      </c>
      <c r="J78" s="31">
        <f t="shared" si="2"/>
        <v>0</v>
      </c>
      <c r="K78" s="32">
        <v>46133</v>
      </c>
      <c r="L78" s="32" t="e">
        <f>DATE(YEAR(K78),MONTH(K78)+VLOOKUP($F76,'[1]Membership Level'!$A$3:$B$15,2,FALSE),DAY(K78))</f>
        <v>#N/A</v>
      </c>
      <c r="M78" s="33"/>
      <c r="N78" s="34" t="e">
        <f>IF($L78&lt;&gt;0,DATE(YEAR($L78),MONTH($L78)-#REF!,DAY($L78)-$M78),"")</f>
        <v>#N/A</v>
      </c>
      <c r="O78" s="33" t="e">
        <f t="shared" ca="1" si="3"/>
        <v>#N/A</v>
      </c>
      <c r="P78" s="34" t="e">
        <f>I78/H78*VLOOKUP(F76,'[1]Membership Level'!$A$3:$C$15,3,FALSE)+K78</f>
        <v>#DIV/0!</v>
      </c>
      <c r="Q78" s="36"/>
    </row>
    <row r="79" spans="1:17" x14ac:dyDescent="0.25">
      <c r="A79" s="16" t="s">
        <v>217</v>
      </c>
      <c r="B79" s="32">
        <v>46133</v>
      </c>
      <c r="C79" s="18"/>
      <c r="D79" s="18"/>
      <c r="E79" s="17"/>
      <c r="F79" s="18"/>
      <c r="G79" s="18"/>
      <c r="H79" s="30">
        <v>0</v>
      </c>
      <c r="I79" s="30">
        <v>0</v>
      </c>
      <c r="J79" s="31">
        <f t="shared" si="2"/>
        <v>0</v>
      </c>
      <c r="K79" s="32">
        <v>46133</v>
      </c>
      <c r="L79" s="32" t="e">
        <f>DATE(YEAR(K79),MONTH(K79)+VLOOKUP($F77,'[1]Membership Level'!$A$3:$B$15,2,FALSE),DAY(K79))</f>
        <v>#N/A</v>
      </c>
      <c r="M79" s="33">
        <v>3</v>
      </c>
      <c r="N79" s="34" t="e">
        <f>IF($L79&lt;&gt;0,DATE(YEAR($L79),MONTH($L79)-#REF!,DAY($L79)-$M79),"")</f>
        <v>#N/A</v>
      </c>
      <c r="O79" s="33" t="e">
        <f t="shared" ca="1" si="3"/>
        <v>#N/A</v>
      </c>
      <c r="P79" s="34" t="e">
        <f>I79/H79*VLOOKUP(F77,'[1]Membership Level'!$A$3:$C$15,3,FALSE)+K79</f>
        <v>#DIV/0!</v>
      </c>
      <c r="Q79" s="36"/>
    </row>
    <row r="80" spans="1:17" x14ac:dyDescent="0.25">
      <c r="A80" s="16" t="s">
        <v>218</v>
      </c>
      <c r="B80" s="32">
        <v>46133</v>
      </c>
      <c r="C80" s="18"/>
      <c r="D80" s="18"/>
      <c r="E80" s="17"/>
      <c r="F80" s="18"/>
      <c r="G80" s="18"/>
      <c r="H80" s="30">
        <v>0</v>
      </c>
      <c r="I80" s="30">
        <v>0</v>
      </c>
      <c r="J80" s="31">
        <f t="shared" si="2"/>
        <v>0</v>
      </c>
      <c r="K80" s="32">
        <v>46133</v>
      </c>
      <c r="L80" s="32" t="e">
        <f>DATE(YEAR(K80),MONTH(K80)+VLOOKUP($F78,'[1]Membership Level'!$A$3:$B$15,2,FALSE),DAY(K80))</f>
        <v>#N/A</v>
      </c>
      <c r="M80" s="33">
        <v>3</v>
      </c>
      <c r="N80" s="34" t="e">
        <f>IF($L80&lt;&gt;0,DATE(YEAR($L80),MONTH($L80)-#REF!,DAY($L80)-$M80),"")</f>
        <v>#N/A</v>
      </c>
      <c r="O80" s="33" t="e">
        <f t="shared" ca="1" si="3"/>
        <v>#N/A</v>
      </c>
      <c r="P80" s="34" t="e">
        <f>I80/H80*VLOOKUP(F78,'[1]Membership Level'!$A$3:$C$15,3,FALSE)+K80</f>
        <v>#DIV/0!</v>
      </c>
      <c r="Q80" s="36"/>
    </row>
    <row r="81" spans="1:17" x14ac:dyDescent="0.25">
      <c r="A81" s="16" t="s">
        <v>219</v>
      </c>
      <c r="B81" s="32">
        <v>46133</v>
      </c>
      <c r="C81" s="18"/>
      <c r="D81" s="18"/>
      <c r="E81" s="17"/>
      <c r="F81" s="18"/>
      <c r="G81" s="18"/>
      <c r="H81" s="30">
        <v>0</v>
      </c>
      <c r="I81" s="30">
        <v>0</v>
      </c>
      <c r="J81" s="31">
        <f t="shared" si="2"/>
        <v>0</v>
      </c>
      <c r="K81" s="32">
        <v>46133</v>
      </c>
      <c r="L81" s="32" t="e">
        <f>DATE(YEAR(K81),MONTH(K81)+VLOOKUP($F79,'[1]Membership Level'!$A$3:$B$15,2,FALSE),DAY(K81))</f>
        <v>#N/A</v>
      </c>
      <c r="M81" s="33">
        <v>3</v>
      </c>
      <c r="N81" s="34" t="e">
        <f>IF($L81&lt;&gt;0,DATE(YEAR($L81),MONTH($L81)-#REF!,DAY($L81)-$M81),"")</f>
        <v>#N/A</v>
      </c>
      <c r="O81" s="33" t="e">
        <f t="shared" ca="1" si="3"/>
        <v>#N/A</v>
      </c>
      <c r="P81" s="34" t="e">
        <f>I81/H81*VLOOKUP(F79,'[1]Membership Level'!$A$3:$C$15,3,FALSE)+K81</f>
        <v>#DIV/0!</v>
      </c>
      <c r="Q81" s="36"/>
    </row>
    <row r="82" spans="1:17" x14ac:dyDescent="0.25">
      <c r="A82" s="16" t="s">
        <v>220</v>
      </c>
      <c r="B82" s="32">
        <v>46133</v>
      </c>
      <c r="C82" s="18"/>
      <c r="D82" s="18"/>
      <c r="E82" s="17"/>
      <c r="F82" s="18"/>
      <c r="G82" s="18"/>
      <c r="H82" s="30">
        <v>0</v>
      </c>
      <c r="I82" s="30">
        <v>0</v>
      </c>
      <c r="J82" s="31">
        <f t="shared" si="2"/>
        <v>0</v>
      </c>
      <c r="K82" s="32">
        <v>46133</v>
      </c>
      <c r="L82" s="32" t="e">
        <f>DATE(YEAR(K82),MONTH(K82)+VLOOKUP($F80,'[1]Membership Level'!$A$3:$B$15,2,FALSE),DAY(K82))</f>
        <v>#N/A</v>
      </c>
      <c r="M82" s="33">
        <v>3</v>
      </c>
      <c r="N82" s="34" t="e">
        <f>IF($L82&lt;&gt;0,DATE(YEAR($L82),MONTH($L82)-#REF!,DAY($L82)-$M82),"")</f>
        <v>#N/A</v>
      </c>
      <c r="O82" s="33" t="e">
        <f t="shared" ca="1" si="3"/>
        <v>#N/A</v>
      </c>
      <c r="P82" s="34" t="e">
        <f>I82/H82*VLOOKUP(F80,'[1]Membership Level'!$A$3:$C$15,3,FALSE)+K82</f>
        <v>#DIV/0!</v>
      </c>
      <c r="Q82" s="36"/>
    </row>
    <row r="83" spans="1:17" x14ac:dyDescent="0.25">
      <c r="A83" s="16" t="s">
        <v>221</v>
      </c>
      <c r="B83" s="32">
        <v>46133</v>
      </c>
      <c r="C83" s="18"/>
      <c r="D83" s="18"/>
      <c r="E83" s="17"/>
      <c r="F83" s="18"/>
      <c r="G83" s="18"/>
      <c r="H83" s="30">
        <v>0</v>
      </c>
      <c r="I83" s="30">
        <v>0</v>
      </c>
      <c r="J83" s="31">
        <f t="shared" si="2"/>
        <v>0</v>
      </c>
      <c r="K83" s="32">
        <v>46133</v>
      </c>
      <c r="L83" s="32" t="e">
        <f>DATE(YEAR(K83),MONTH(K83)+VLOOKUP($F81,'[1]Membership Level'!$A$3:$B$15,2,FALSE),DAY(K83))</f>
        <v>#N/A</v>
      </c>
      <c r="M83" s="33">
        <v>3</v>
      </c>
      <c r="N83" s="34" t="e">
        <f>IF($L83&lt;&gt;0,DATE(YEAR($L83),MONTH($L83)-#REF!,DAY($L83)-$M83),"")</f>
        <v>#N/A</v>
      </c>
      <c r="O83" s="33" t="e">
        <f t="shared" ca="1" si="3"/>
        <v>#N/A</v>
      </c>
      <c r="P83" s="34" t="e">
        <f>I83/H83*VLOOKUP(F81,'[1]Membership Level'!$A$3:$C$15,3,FALSE)+K83</f>
        <v>#DIV/0!</v>
      </c>
      <c r="Q83" s="36"/>
    </row>
    <row r="84" spans="1:17" x14ac:dyDescent="0.25">
      <c r="A84" s="16" t="s">
        <v>222</v>
      </c>
      <c r="B84" s="33"/>
      <c r="C84" s="18"/>
      <c r="D84" s="18"/>
      <c r="E84" s="17"/>
      <c r="F84" s="18"/>
      <c r="G84" s="18"/>
      <c r="H84" s="30">
        <v>0</v>
      </c>
      <c r="I84" s="30">
        <v>0</v>
      </c>
      <c r="J84" s="31">
        <f t="shared" si="2"/>
        <v>0</v>
      </c>
      <c r="K84" s="43"/>
      <c r="L84" s="32" t="e">
        <f>DATE(YEAR(K84),MONTH(K84)+VLOOKUP($F82,'[1]Membership Level'!$A$3:$B$15,2,FALSE),DAY(K84))</f>
        <v>#N/A</v>
      </c>
      <c r="M84" s="33">
        <v>3</v>
      </c>
      <c r="N84" s="34" t="e">
        <f>IF($L84&lt;&gt;0,DATE(YEAR($L84),MONTH($L84)-#REF!,DAY($L84)-$M84),"")</f>
        <v>#N/A</v>
      </c>
      <c r="O84" s="33" t="e">
        <f t="shared" ca="1" si="3"/>
        <v>#N/A</v>
      </c>
      <c r="P84" s="34" t="e">
        <f>I84/H84*VLOOKUP(F82,'[1]Membership Level'!$A$3:$C$15,3,FALSE)+K84</f>
        <v>#DIV/0!</v>
      </c>
      <c r="Q84" s="36"/>
    </row>
    <row r="85" spans="1:17" x14ac:dyDescent="0.25">
      <c r="A85" s="16" t="s">
        <v>223</v>
      </c>
      <c r="B85" s="33"/>
      <c r="C85" s="18"/>
      <c r="D85" s="18"/>
      <c r="E85" s="17"/>
      <c r="F85" s="18"/>
      <c r="G85" s="18"/>
      <c r="H85" s="30">
        <v>0</v>
      </c>
      <c r="I85" s="30">
        <v>0</v>
      </c>
      <c r="J85" s="31">
        <f t="shared" si="2"/>
        <v>0</v>
      </c>
      <c r="K85" s="43"/>
      <c r="L85" s="32" t="e">
        <f>DATE(YEAR(K85),MONTH(K85)+VLOOKUP($F83,'[1]Membership Level'!$A$3:$B$15,2,FALSE),DAY(K85))</f>
        <v>#N/A</v>
      </c>
      <c r="M85" s="36"/>
      <c r="N85" s="34" t="e">
        <f>IF($L85&lt;&gt;0,DATE(YEAR($L85),MONTH($L85)-#REF!,DAY($L85)-$M85),"")</f>
        <v>#N/A</v>
      </c>
      <c r="O85" s="33" t="e">
        <f t="shared" ca="1" si="3"/>
        <v>#N/A</v>
      </c>
      <c r="P85" s="34" t="e">
        <f>I85/H85*VLOOKUP(F83,'[1]Membership Level'!$A$3:$C$15,3,FALSE)+K85</f>
        <v>#DIV/0!</v>
      </c>
      <c r="Q85" s="36"/>
    </row>
    <row r="86" spans="1:17" x14ac:dyDescent="0.25">
      <c r="A86" s="16" t="s">
        <v>224</v>
      </c>
      <c r="B86" s="33"/>
      <c r="C86" s="36"/>
      <c r="D86" s="36"/>
      <c r="E86" s="54"/>
      <c r="F86" s="36"/>
      <c r="G86" s="36"/>
      <c r="H86" s="30">
        <v>0</v>
      </c>
      <c r="I86" s="30">
        <v>0</v>
      </c>
      <c r="J86" s="31">
        <f t="shared" si="2"/>
        <v>0</v>
      </c>
      <c r="K86" s="43"/>
      <c r="L86" s="32" t="e">
        <f>DATE(YEAR(K86),MONTH(K86)+VLOOKUP($F84,'[1]Membership Level'!$A$3:$B$15,2,FALSE),DAY(K86))</f>
        <v>#N/A</v>
      </c>
      <c r="M86" s="36"/>
      <c r="N86" s="34" t="e">
        <f>IF($L86&lt;&gt;0,DATE(YEAR($L86),MONTH($L86)-#REF!,DAY($L86)-$M86),"")</f>
        <v>#N/A</v>
      </c>
      <c r="O86" s="33" t="e">
        <f t="shared" ca="1" si="3"/>
        <v>#N/A</v>
      </c>
      <c r="P86" s="34" t="e">
        <f>I86/H86*VLOOKUP(F84,'[1]Membership Level'!$A$3:$C$15,3,FALSE)+K86</f>
        <v>#DIV/0!</v>
      </c>
      <c r="Q86" s="36"/>
    </row>
    <row r="87" spans="1:17" x14ac:dyDescent="0.25">
      <c r="A87" s="16" t="s">
        <v>225</v>
      </c>
      <c r="B87" s="33"/>
      <c r="C87" s="36"/>
      <c r="D87" s="36"/>
      <c r="E87" s="54"/>
      <c r="F87" s="36"/>
      <c r="G87" s="36"/>
      <c r="H87" s="30">
        <v>0</v>
      </c>
      <c r="I87" s="30">
        <v>0</v>
      </c>
      <c r="J87" s="31">
        <f t="shared" si="2"/>
        <v>0</v>
      </c>
      <c r="K87" s="43"/>
      <c r="L87" s="32" t="e">
        <f>DATE(YEAR(K87),MONTH(K87)+VLOOKUP($F85,'[1]Membership Level'!$A$3:$B$15,2,FALSE),DAY(K87))</f>
        <v>#N/A</v>
      </c>
      <c r="M87" s="36"/>
      <c r="N87" s="34" t="e">
        <f>IF($L87&lt;&gt;0,DATE(YEAR($L87),MONTH($L87)-#REF!,DAY($L87)-$M87),"")</f>
        <v>#N/A</v>
      </c>
      <c r="O87" s="33" t="e">
        <f t="shared" ca="1" si="3"/>
        <v>#N/A</v>
      </c>
      <c r="P87" s="34" t="e">
        <f>I87/H87*VLOOKUP(F85,'[1]Membership Level'!$A$3:$C$15,3,FALSE)+K87</f>
        <v>#DIV/0!</v>
      </c>
      <c r="Q87" s="36"/>
    </row>
    <row r="88" spans="1:17" x14ac:dyDescent="0.25">
      <c r="A88" s="16" t="s">
        <v>226</v>
      </c>
      <c r="B88" s="33"/>
      <c r="C88" s="36"/>
      <c r="D88" s="36"/>
      <c r="E88" s="54"/>
      <c r="F88" s="36"/>
      <c r="G88" s="36"/>
      <c r="H88" s="30">
        <v>0</v>
      </c>
      <c r="I88" s="30">
        <v>0</v>
      </c>
      <c r="J88" s="31">
        <f t="shared" si="2"/>
        <v>0</v>
      </c>
      <c r="K88" s="43"/>
      <c r="L88" s="32" t="e">
        <f>DATE(YEAR(K88),MONTH(K88)+VLOOKUP($F86,'[1]Membership Level'!$A$3:$B$15,2,FALSE),DAY(K88))</f>
        <v>#N/A</v>
      </c>
      <c r="M88" s="36"/>
      <c r="N88" s="34" t="e">
        <f>IF($L88&lt;&gt;0,DATE(YEAR($L88),MONTH($L88)-#REF!,DAY($L88)-$M88),"")</f>
        <v>#N/A</v>
      </c>
      <c r="O88" s="33" t="e">
        <f t="shared" ca="1" si="3"/>
        <v>#N/A</v>
      </c>
      <c r="P88" s="34" t="e">
        <f>I88/H88*VLOOKUP(F86,'[1]Membership Level'!$A$3:$C$15,3,FALSE)+K88</f>
        <v>#DIV/0!</v>
      </c>
      <c r="Q88" s="36"/>
    </row>
    <row r="89" spans="1:17" x14ac:dyDescent="0.25">
      <c r="A89" s="16" t="s">
        <v>227</v>
      </c>
      <c r="B89" s="33"/>
      <c r="C89" s="36"/>
      <c r="D89" s="36"/>
      <c r="E89" s="54"/>
      <c r="F89" s="36"/>
      <c r="G89" s="36"/>
      <c r="H89" s="30">
        <v>0</v>
      </c>
      <c r="I89" s="30">
        <v>0</v>
      </c>
      <c r="J89" s="31">
        <f t="shared" si="2"/>
        <v>0</v>
      </c>
      <c r="K89" s="43"/>
      <c r="L89" s="32" t="e">
        <f>DATE(YEAR(K89),MONTH(K89)+VLOOKUP($F87,'[1]Membership Level'!$A$3:$B$15,2,FALSE),DAY(K89))</f>
        <v>#N/A</v>
      </c>
      <c r="M89" s="36"/>
      <c r="N89" s="34" t="e">
        <f>IF($L89&lt;&gt;0,DATE(YEAR($L89),MONTH($L89)-#REF!,DAY($L89)-$M89),"")</f>
        <v>#N/A</v>
      </c>
      <c r="O89" s="33" t="e">
        <f t="shared" ca="1" si="3"/>
        <v>#N/A</v>
      </c>
      <c r="P89" s="34" t="e">
        <f>I89/H89*VLOOKUP(F87,'[1]Membership Level'!$A$3:$C$15,3,FALSE)+K89</f>
        <v>#DIV/0!</v>
      </c>
      <c r="Q89" s="36"/>
    </row>
    <row r="90" spans="1:17" x14ac:dyDescent="0.25">
      <c r="A90" s="16" t="s">
        <v>228</v>
      </c>
      <c r="B90" s="33"/>
      <c r="C90" s="36"/>
      <c r="D90" s="36"/>
      <c r="E90" s="54"/>
      <c r="F90" s="36"/>
      <c r="G90" s="36"/>
      <c r="H90" s="30">
        <v>0</v>
      </c>
      <c r="I90" s="30">
        <v>0</v>
      </c>
      <c r="J90" s="31">
        <f t="shared" si="2"/>
        <v>0</v>
      </c>
      <c r="K90" s="43"/>
      <c r="L90" s="32" t="e">
        <f>DATE(YEAR(K90),MONTH(K90)+VLOOKUP($F88,'[1]Membership Level'!$A$3:$B$15,2,FALSE),DAY(K90))</f>
        <v>#N/A</v>
      </c>
      <c r="M90" s="36"/>
      <c r="N90" s="34" t="e">
        <f>IF($L90&lt;&gt;0,DATE(YEAR($L90),MONTH($L90)-#REF!,DAY($L90)-$M90),"")</f>
        <v>#N/A</v>
      </c>
      <c r="O90" s="33" t="e">
        <f t="shared" ca="1" si="3"/>
        <v>#N/A</v>
      </c>
      <c r="P90" s="34" t="e">
        <f>I90/H90*VLOOKUP(F88,'[1]Membership Level'!$A$3:$C$15,3,FALSE)+K90</f>
        <v>#DIV/0!</v>
      </c>
      <c r="Q90" s="36"/>
    </row>
    <row r="91" spans="1:17" x14ac:dyDescent="0.25">
      <c r="A91" s="16" t="s">
        <v>229</v>
      </c>
      <c r="B91" s="33"/>
      <c r="C91" s="36"/>
      <c r="D91" s="36"/>
      <c r="E91" s="54"/>
      <c r="F91" s="36"/>
      <c r="G91" s="36"/>
      <c r="H91" s="30">
        <v>0</v>
      </c>
      <c r="I91" s="30">
        <v>0</v>
      </c>
      <c r="J91" s="31">
        <f t="shared" si="2"/>
        <v>0</v>
      </c>
      <c r="K91" s="43"/>
      <c r="L91" s="32" t="e">
        <f>DATE(YEAR(K91),MONTH(K91)+VLOOKUP($F89,'[1]Membership Level'!$A$3:$B$15,2,FALSE),DAY(K91))</f>
        <v>#N/A</v>
      </c>
      <c r="M91" s="36"/>
      <c r="N91" s="34" t="e">
        <f>IF($L91&lt;&gt;0,DATE(YEAR($L91),MONTH($L91)-#REF!,DAY($L91)-$M91),"")</f>
        <v>#N/A</v>
      </c>
      <c r="O91" s="33" t="e">
        <f t="shared" ca="1" si="3"/>
        <v>#N/A</v>
      </c>
      <c r="P91" s="34" t="e">
        <f>I91/H91*VLOOKUP(F89,'[1]Membership Level'!$A$3:$C$15,3,FALSE)+K91</f>
        <v>#DIV/0!</v>
      </c>
      <c r="Q91" s="36"/>
    </row>
    <row r="92" spans="1:17" x14ac:dyDescent="0.25">
      <c r="A92" s="16" t="s">
        <v>230</v>
      </c>
      <c r="B92" s="33"/>
      <c r="C92" s="36"/>
      <c r="D92" s="36"/>
      <c r="E92" s="54"/>
      <c r="F92" s="36"/>
      <c r="G92" s="36"/>
      <c r="H92" s="30">
        <v>0</v>
      </c>
      <c r="I92" s="30">
        <v>0</v>
      </c>
      <c r="J92" s="31">
        <f t="shared" si="2"/>
        <v>0</v>
      </c>
      <c r="K92" s="43"/>
      <c r="L92" s="32" t="e">
        <f>DATE(YEAR(K92),MONTH(K92)+VLOOKUP($F90,'[1]Membership Level'!$A$3:$B$15,2,FALSE),DAY(K92))</f>
        <v>#N/A</v>
      </c>
      <c r="M92" s="36"/>
      <c r="N92" s="34" t="e">
        <f>IF($L92&lt;&gt;0,DATE(YEAR($L92),MONTH($L92)-#REF!,DAY($L92)-$M92),"")</f>
        <v>#N/A</v>
      </c>
      <c r="O92" s="33" t="e">
        <f t="shared" ca="1" si="3"/>
        <v>#N/A</v>
      </c>
      <c r="P92" s="34" t="e">
        <f>I92/H92*VLOOKUP(F90,'[1]Membership Level'!$A$3:$C$15,3,FALSE)+K92</f>
        <v>#DIV/0!</v>
      </c>
      <c r="Q92" s="36"/>
    </row>
    <row r="93" spans="1:17" x14ac:dyDescent="0.25">
      <c r="A93" s="16" t="s">
        <v>231</v>
      </c>
      <c r="B93" s="33"/>
      <c r="C93" s="36"/>
      <c r="D93" s="36"/>
      <c r="E93" s="55"/>
      <c r="F93" s="36"/>
      <c r="G93" s="36"/>
      <c r="H93" s="30">
        <v>0</v>
      </c>
      <c r="I93" s="30">
        <v>0</v>
      </c>
      <c r="J93" s="31">
        <f t="shared" si="2"/>
        <v>0</v>
      </c>
      <c r="K93" s="43"/>
      <c r="L93" s="32" t="e">
        <f>DATE(YEAR(K93),MONTH(K93)+VLOOKUP($F91,'[1]Membership Level'!$A$3:$B$15,2,FALSE),DAY(K93))</f>
        <v>#N/A</v>
      </c>
      <c r="M93" s="36"/>
      <c r="N93" s="34" t="e">
        <f>IF($L93&lt;&gt;0,DATE(YEAR($L93),MONTH($L93)-#REF!,DAY($L93)-$M93),"")</f>
        <v>#N/A</v>
      </c>
      <c r="O93" s="33" t="e">
        <f t="shared" ca="1" si="3"/>
        <v>#N/A</v>
      </c>
      <c r="P93" s="34" t="e">
        <f>I93/H93*VLOOKUP(F91,'[1]Membership Level'!$A$3:$C$15,3,FALSE)+K93</f>
        <v>#DIV/0!</v>
      </c>
      <c r="Q93" s="36"/>
    </row>
    <row r="94" spans="1:17" x14ac:dyDescent="0.25">
      <c r="A94" s="16" t="s">
        <v>232</v>
      </c>
      <c r="B94" s="33"/>
      <c r="C94" s="36"/>
      <c r="D94" s="36"/>
      <c r="E94" s="54"/>
      <c r="F94" s="33"/>
      <c r="G94" s="36"/>
      <c r="H94" s="30">
        <v>0</v>
      </c>
      <c r="I94" s="30">
        <v>0</v>
      </c>
      <c r="J94" s="31">
        <f t="shared" si="2"/>
        <v>0</v>
      </c>
      <c r="K94" s="43"/>
      <c r="L94" s="32" t="e">
        <f>DATE(YEAR(K94),MONTH(K94)+VLOOKUP($F92,'[1]Membership Level'!$A$3:$B$15,2,FALSE),DAY(K94))</f>
        <v>#N/A</v>
      </c>
      <c r="M94" s="36"/>
      <c r="N94" s="34" t="e">
        <f>IF($L94&lt;&gt;0,DATE(YEAR($L94),MONTH($L94)-#REF!,DAY($L94)-$M94),"")</f>
        <v>#N/A</v>
      </c>
      <c r="O94" s="33" t="e">
        <f t="shared" ca="1" si="3"/>
        <v>#N/A</v>
      </c>
      <c r="P94" s="34" t="e">
        <f>I94/H94*VLOOKUP(F92,'[1]Membership Level'!$A$3:$C$15,3,FALSE)+K94</f>
        <v>#DIV/0!</v>
      </c>
      <c r="Q94" s="36"/>
    </row>
    <row r="95" spans="1:17" x14ac:dyDescent="0.25">
      <c r="A95" s="16" t="s">
        <v>233</v>
      </c>
      <c r="B95" s="33"/>
      <c r="C95" s="36"/>
      <c r="D95" s="36"/>
      <c r="E95" s="55"/>
      <c r="F95" s="36"/>
      <c r="G95" s="36"/>
      <c r="H95" s="30">
        <v>0</v>
      </c>
      <c r="I95" s="30">
        <v>0</v>
      </c>
      <c r="J95" s="31">
        <f t="shared" si="2"/>
        <v>0</v>
      </c>
      <c r="K95" s="43"/>
      <c r="L95" s="32" t="e">
        <f>DATE(YEAR(K95),MONTH(K95)+VLOOKUP($F93,'[1]Membership Level'!$A$3:$B$15,2,FALSE),DAY(K95))</f>
        <v>#N/A</v>
      </c>
      <c r="M95" s="36"/>
      <c r="N95" s="34" t="e">
        <f>IF($L95&lt;&gt;0,DATE(YEAR($L95),MONTH($L95)-#REF!,DAY($L95)-$M95),"")</f>
        <v>#N/A</v>
      </c>
      <c r="O95" s="33" t="e">
        <f t="shared" ca="1" si="3"/>
        <v>#N/A</v>
      </c>
      <c r="P95" s="34" t="e">
        <f>I95/H95*VLOOKUP(F93,'[1]Membership Level'!$A$3:$C$15,3,FALSE)+K95</f>
        <v>#DIV/0!</v>
      </c>
      <c r="Q95" s="36"/>
    </row>
    <row r="96" spans="1:17" s="22" customFormat="1" x14ac:dyDescent="0.25">
      <c r="A96" s="16" t="s">
        <v>234</v>
      </c>
      <c r="B96" s="33"/>
      <c r="C96" s="33"/>
      <c r="D96" s="33"/>
      <c r="E96" s="54"/>
      <c r="F96" s="36"/>
      <c r="G96" s="33"/>
      <c r="H96" s="30">
        <v>0</v>
      </c>
      <c r="I96" s="30">
        <v>0</v>
      </c>
      <c r="J96" s="31">
        <f t="shared" si="2"/>
        <v>0</v>
      </c>
      <c r="K96" s="32"/>
      <c r="L96" s="32" t="e">
        <f>DATE(YEAR(K96),MONTH(K96)+VLOOKUP($F94,'[1]Membership Level'!$A$3:$B$15,2,FALSE),DAY(K96))</f>
        <v>#N/A</v>
      </c>
      <c r="M96" s="33"/>
      <c r="N96" s="34" t="e">
        <f>IF($L96&lt;&gt;0,DATE(YEAR($L96),MONTH($L96)-#REF!,DAY($L96)-$M96),"")</f>
        <v>#N/A</v>
      </c>
      <c r="O96" s="33" t="e">
        <f t="shared" ca="1" si="3"/>
        <v>#N/A</v>
      </c>
      <c r="P96" s="34" t="e">
        <f>I96/H96*VLOOKUP(F94,'[1]Membership Level'!$A$3:$C$15,3,FALSE)+K96</f>
        <v>#DIV/0!</v>
      </c>
      <c r="Q96" s="33"/>
    </row>
    <row r="97" spans="1:17" x14ac:dyDescent="0.25">
      <c r="A97" s="16" t="s">
        <v>235</v>
      </c>
      <c r="B97" s="33"/>
      <c r="C97" s="36"/>
      <c r="D97" s="36"/>
      <c r="E97" s="54"/>
      <c r="F97" s="36"/>
      <c r="G97" s="36"/>
      <c r="H97" s="30">
        <v>0</v>
      </c>
      <c r="I97" s="30">
        <v>0</v>
      </c>
      <c r="J97" s="31">
        <f t="shared" si="2"/>
        <v>0</v>
      </c>
      <c r="K97" s="43"/>
      <c r="L97" s="32" t="e">
        <f>DATE(YEAR(K97),MONTH(K97)+VLOOKUP($F95,'[1]Membership Level'!$A$3:$B$15,2,FALSE),DAY(K97))</f>
        <v>#N/A</v>
      </c>
      <c r="M97" s="36"/>
      <c r="N97" s="34" t="e">
        <f>IF($L97&lt;&gt;0,DATE(YEAR($L97),MONTH($L97)-#REF!,DAY($L97)-$M97),"")</f>
        <v>#N/A</v>
      </c>
      <c r="O97" s="33" t="e">
        <f t="shared" ca="1" si="3"/>
        <v>#N/A</v>
      </c>
      <c r="P97" s="34" t="e">
        <f>I97/H97*VLOOKUP(F95,'[1]Membership Level'!$A$3:$C$15,3,FALSE)+K97</f>
        <v>#DIV/0!</v>
      </c>
      <c r="Q97" s="36"/>
    </row>
    <row r="98" spans="1:17" x14ac:dyDescent="0.25">
      <c r="A98" s="16" t="s">
        <v>236</v>
      </c>
      <c r="B98" s="33"/>
      <c r="C98" s="36"/>
      <c r="D98" s="36"/>
      <c r="E98" s="54"/>
      <c r="F98" s="36"/>
      <c r="G98" s="36"/>
      <c r="H98" s="30">
        <v>0</v>
      </c>
      <c r="I98" s="30">
        <v>0</v>
      </c>
      <c r="J98" s="31">
        <f t="shared" si="2"/>
        <v>0</v>
      </c>
      <c r="K98" s="43"/>
      <c r="L98" s="32" t="e">
        <f>DATE(YEAR(K98),MONTH(K98)+VLOOKUP($F96,'[1]Membership Level'!$A$3:$B$15,2,FALSE),DAY(K98))</f>
        <v>#N/A</v>
      </c>
      <c r="M98" s="36"/>
      <c r="N98" s="34" t="e">
        <f>IF($L98&lt;&gt;0,DATE(YEAR($L98),MONTH($L98)-#REF!,DAY($L98)-$M98),"")</f>
        <v>#N/A</v>
      </c>
      <c r="O98" s="33" t="e">
        <f t="shared" ca="1" si="3"/>
        <v>#N/A</v>
      </c>
      <c r="P98" s="34" t="e">
        <f>I98/H98*VLOOKUP(F96,'[1]Membership Level'!$A$3:$C$15,3,FALSE)+K98</f>
        <v>#DIV/0!</v>
      </c>
      <c r="Q98" s="36"/>
    </row>
    <row r="99" spans="1:17" x14ac:dyDescent="0.25">
      <c r="A99" s="16" t="s">
        <v>237</v>
      </c>
      <c r="B99" s="33"/>
      <c r="C99" s="36"/>
      <c r="D99" s="36"/>
      <c r="E99" s="54"/>
      <c r="F99" s="36"/>
      <c r="G99" s="36"/>
      <c r="H99" s="30">
        <v>0</v>
      </c>
      <c r="I99" s="30">
        <v>0</v>
      </c>
      <c r="J99" s="31">
        <f t="shared" si="2"/>
        <v>0</v>
      </c>
      <c r="K99" s="43"/>
      <c r="L99" s="32" t="e">
        <f>DATE(YEAR(K99),MONTH(K99)+VLOOKUP($F97,'[1]Membership Level'!$A$3:$B$15,2,FALSE),DAY(K99))</f>
        <v>#N/A</v>
      </c>
      <c r="M99" s="36"/>
      <c r="N99" s="34" t="e">
        <f>IF($L99&lt;&gt;0,DATE(YEAR($L99),MONTH($L99)-#REF!,DAY($L99)-$M99),"")</f>
        <v>#N/A</v>
      </c>
      <c r="O99" s="33" t="e">
        <f t="shared" ca="1" si="3"/>
        <v>#N/A</v>
      </c>
      <c r="P99" s="34" t="e">
        <f>I99/H99*VLOOKUP(F97,'[1]Membership Level'!$A$3:$C$15,3,FALSE)+K99</f>
        <v>#DIV/0!</v>
      </c>
      <c r="Q99" s="36"/>
    </row>
    <row r="100" spans="1:17" x14ac:dyDescent="0.25">
      <c r="A100" s="16" t="s">
        <v>238</v>
      </c>
      <c r="B100" s="33"/>
      <c r="C100" s="36"/>
      <c r="D100" s="36"/>
      <c r="E100" s="54"/>
      <c r="F100" s="36"/>
      <c r="G100" s="36"/>
      <c r="H100" s="30">
        <v>0</v>
      </c>
      <c r="I100" s="30">
        <v>0</v>
      </c>
      <c r="J100" s="31">
        <f t="shared" si="2"/>
        <v>0</v>
      </c>
      <c r="K100" s="43"/>
      <c r="L100" s="32" t="e">
        <f>DATE(YEAR(K100),MONTH(K100)+VLOOKUP($F98,'[1]Membership Level'!$A$3:$B$15,2,FALSE),DAY(K100))</f>
        <v>#N/A</v>
      </c>
      <c r="M100" s="36"/>
      <c r="N100" s="34" t="e">
        <f>IF($L100&lt;&gt;0,DATE(YEAR($L100),MONTH($L100)-#REF!,DAY($L100)-$M100),"")</f>
        <v>#N/A</v>
      </c>
      <c r="O100" s="33" t="e">
        <f t="shared" ca="1" si="3"/>
        <v>#N/A</v>
      </c>
      <c r="P100" s="34" t="e">
        <f>I100/H100*VLOOKUP(F98,'[1]Membership Level'!$A$3:$C$15,3,FALSE)+K100</f>
        <v>#DIV/0!</v>
      </c>
      <c r="Q100" s="36"/>
    </row>
    <row r="101" spans="1:17" x14ac:dyDescent="0.25">
      <c r="A101" s="16" t="s">
        <v>239</v>
      </c>
      <c r="B101" s="33"/>
      <c r="C101" s="36"/>
      <c r="D101" s="36"/>
      <c r="E101" s="54"/>
      <c r="F101" s="33"/>
      <c r="G101" s="36"/>
      <c r="H101" s="30">
        <v>0</v>
      </c>
      <c r="I101" s="30">
        <v>0</v>
      </c>
      <c r="J101" s="31">
        <f t="shared" si="2"/>
        <v>0</v>
      </c>
      <c r="K101" s="43"/>
      <c r="L101" s="32" t="e">
        <f>DATE(YEAR(K101),MONTH(K101)+VLOOKUP($F99,'[1]Membership Level'!$A$3:$B$15,2,FALSE),DAY(K101))</f>
        <v>#N/A</v>
      </c>
      <c r="M101" s="36"/>
      <c r="N101" s="34" t="e">
        <f>IF($L101&lt;&gt;0,DATE(YEAR($L101),MONTH($L101)-#REF!,DAY($L101)-$M101),"")</f>
        <v>#N/A</v>
      </c>
      <c r="O101" s="33" t="e">
        <f t="shared" ca="1" si="3"/>
        <v>#N/A</v>
      </c>
      <c r="P101" s="34" t="e">
        <f>I101/H101*VLOOKUP(F99,'[1]Membership Level'!$A$3:$C$15,3,FALSE)+K101</f>
        <v>#DIV/0!</v>
      </c>
      <c r="Q101" s="36"/>
    </row>
    <row r="102" spans="1:17" x14ac:dyDescent="0.25">
      <c r="A102" s="16" t="s">
        <v>240</v>
      </c>
      <c r="B102" s="33"/>
      <c r="C102" s="36"/>
      <c r="D102" s="36"/>
      <c r="E102" s="55"/>
      <c r="F102" s="33"/>
      <c r="G102" s="36"/>
      <c r="H102" s="30">
        <v>0</v>
      </c>
      <c r="I102" s="30">
        <v>0</v>
      </c>
      <c r="J102" s="31">
        <f t="shared" si="2"/>
        <v>0</v>
      </c>
      <c r="K102" s="43"/>
      <c r="L102" s="32" t="e">
        <f>DATE(YEAR(K102),MONTH(K102)+VLOOKUP($F100,'[1]Membership Level'!$A$3:$B$15,2,FALSE),DAY(K102))</f>
        <v>#N/A</v>
      </c>
      <c r="M102" s="36"/>
      <c r="N102" s="34" t="e">
        <f>IF($L102&lt;&gt;0,DATE(YEAR($L102),MONTH($L102)-#REF!,DAY($L102)-$M102),"")</f>
        <v>#N/A</v>
      </c>
      <c r="O102" s="33" t="e">
        <f t="shared" ca="1" si="3"/>
        <v>#N/A</v>
      </c>
      <c r="P102" s="34" t="e">
        <f>I102/H102*VLOOKUP(F100,'[1]Membership Level'!$A$3:$C$15,3,FALSE)+K102</f>
        <v>#DIV/0!</v>
      </c>
      <c r="Q102" s="36"/>
    </row>
    <row r="103" spans="1:17" s="22" customFormat="1" x14ac:dyDescent="0.25">
      <c r="A103" s="16" t="s">
        <v>241</v>
      </c>
      <c r="B103" s="33"/>
      <c r="C103" s="33"/>
      <c r="D103" s="33"/>
      <c r="E103" s="55"/>
      <c r="F103" s="33"/>
      <c r="G103" s="33"/>
      <c r="H103" s="30">
        <v>0</v>
      </c>
      <c r="I103" s="30">
        <v>0</v>
      </c>
      <c r="J103" s="31">
        <f t="shared" si="2"/>
        <v>0</v>
      </c>
      <c r="K103" s="32"/>
      <c r="L103" s="32" t="e">
        <f>DATE(YEAR(K103),MONTH(K103)+VLOOKUP($F101,'[1]Membership Level'!$A$3:$B$15,2,FALSE),DAY(K103))</f>
        <v>#N/A</v>
      </c>
      <c r="M103" s="33"/>
      <c r="N103" s="34" t="e">
        <f>IF($L103&lt;&gt;0,DATE(YEAR($L103),MONTH($L103)-#REF!,DAY($L103)-$M103),"")</f>
        <v>#N/A</v>
      </c>
      <c r="O103" s="33" t="e">
        <f t="shared" ca="1" si="3"/>
        <v>#N/A</v>
      </c>
      <c r="P103" s="34" t="e">
        <f>I103/H103*VLOOKUP(F101,'[1]Membership Level'!$A$3:$C$15,3,FALSE)+K103</f>
        <v>#DIV/0!</v>
      </c>
      <c r="Q103" s="33"/>
    </row>
    <row r="104" spans="1:17" s="22" customFormat="1" x14ac:dyDescent="0.25">
      <c r="A104" s="33"/>
      <c r="B104" s="33"/>
      <c r="C104" s="33"/>
      <c r="D104" s="33"/>
      <c r="E104" s="55"/>
      <c r="F104" s="33"/>
      <c r="G104" s="33"/>
      <c r="H104" s="30">
        <v>0</v>
      </c>
      <c r="I104" s="30">
        <v>0</v>
      </c>
      <c r="J104" s="31">
        <f t="shared" si="2"/>
        <v>0</v>
      </c>
      <c r="K104" s="32"/>
      <c r="L104" s="32" t="e">
        <f>DATE(YEAR(K104),MONTH(K104)+VLOOKUP($F102,'[1]Membership Level'!$A$3:$B$15,2,FALSE),DAY(K104))</f>
        <v>#N/A</v>
      </c>
      <c r="M104" s="33"/>
      <c r="N104" s="34" t="e">
        <f>IF($L104&lt;&gt;0,DATE(YEAR($L104),MONTH($L104)-#REF!,DAY($L104)-$M104),"")</f>
        <v>#N/A</v>
      </c>
      <c r="O104" s="33" t="e">
        <f t="shared" ca="1" si="3"/>
        <v>#N/A</v>
      </c>
      <c r="P104" s="34" t="e">
        <f>I104/H104*VLOOKUP(F102,'[1]Membership Level'!$A$3:$C$15,3,FALSE)+K104</f>
        <v>#DIV/0!</v>
      </c>
      <c r="Q104" s="33"/>
    </row>
    <row r="105" spans="1:17" s="22" customFormat="1" x14ac:dyDescent="0.25">
      <c r="A105" s="33"/>
      <c r="B105" s="33"/>
      <c r="C105" s="33"/>
      <c r="D105" s="33"/>
      <c r="E105" s="55"/>
      <c r="F105" s="36"/>
      <c r="G105" s="33"/>
      <c r="H105" s="30">
        <v>0</v>
      </c>
      <c r="I105" s="30">
        <v>0</v>
      </c>
      <c r="J105" s="31">
        <f t="shared" si="2"/>
        <v>0</v>
      </c>
      <c r="K105" s="32"/>
      <c r="L105" s="32" t="e">
        <f>DATE(YEAR(K105),MONTH(K105)+VLOOKUP($F103,'[1]Membership Level'!$A$3:$B$15,2,FALSE),DAY(K105))</f>
        <v>#N/A</v>
      </c>
      <c r="M105" s="33"/>
      <c r="N105" s="34" t="e">
        <f>IF($L105&lt;&gt;0,DATE(YEAR($L105),MONTH($L105)-#REF!,DAY($L105)-$M105),"")</f>
        <v>#N/A</v>
      </c>
      <c r="O105" s="33" t="e">
        <f t="shared" ca="1" si="3"/>
        <v>#N/A</v>
      </c>
      <c r="P105" s="34" t="e">
        <f>I105/H105*VLOOKUP(F103,'[1]Membership Level'!$A$3:$C$15,3,FALSE)+K105</f>
        <v>#DIV/0!</v>
      </c>
      <c r="Q105" s="33"/>
    </row>
    <row r="106" spans="1:17" s="22" customFormat="1" x14ac:dyDescent="0.25">
      <c r="A106" s="33"/>
      <c r="B106" s="33"/>
      <c r="C106" s="33"/>
      <c r="D106" s="33"/>
      <c r="E106" s="54"/>
      <c r="F106" s="36"/>
      <c r="G106" s="33"/>
      <c r="H106" s="30">
        <v>0</v>
      </c>
      <c r="I106" s="30">
        <v>0</v>
      </c>
      <c r="J106" s="31">
        <f t="shared" si="2"/>
        <v>0</v>
      </c>
      <c r="K106" s="32"/>
      <c r="L106" s="32" t="e">
        <f>DATE(YEAR(K106),MONTH(K106)+VLOOKUP($F104,'[1]Membership Level'!$A$3:$B$15,2,FALSE),DAY(K106))</f>
        <v>#N/A</v>
      </c>
      <c r="M106" s="33"/>
      <c r="N106" s="34" t="e">
        <f>IF($L106&lt;&gt;0,DATE(YEAR($L106),MONTH($L106)-#REF!,DAY($L106)-$M106),"")</f>
        <v>#N/A</v>
      </c>
      <c r="O106" s="33" t="e">
        <f t="shared" ca="1" si="3"/>
        <v>#N/A</v>
      </c>
      <c r="P106" s="34" t="e">
        <f>I106/H106*VLOOKUP(F104,'[1]Membership Level'!$A$3:$C$15,3,FALSE)+K106</f>
        <v>#DIV/0!</v>
      </c>
      <c r="Q106" s="33"/>
    </row>
    <row r="107" spans="1:17" x14ac:dyDescent="0.25">
      <c r="A107" s="33"/>
      <c r="B107" s="33"/>
      <c r="C107" s="36"/>
      <c r="D107" s="36"/>
      <c r="E107" s="54"/>
      <c r="F107" s="36"/>
      <c r="G107" s="36"/>
      <c r="H107" s="30">
        <v>0</v>
      </c>
      <c r="I107" s="30">
        <v>0</v>
      </c>
      <c r="J107" s="31">
        <f t="shared" si="2"/>
        <v>0</v>
      </c>
      <c r="K107" s="43"/>
      <c r="L107" s="32" t="e">
        <f>DATE(YEAR(K107),MONTH(K107)+VLOOKUP($F105,'[1]Membership Level'!$A$3:$B$15,2,FALSE),DAY(K107))</f>
        <v>#N/A</v>
      </c>
      <c r="M107" s="36"/>
      <c r="N107" s="34" t="e">
        <f>IF($L107&lt;&gt;0,DATE(YEAR($L107),MONTH($L107)-#REF!,DAY($L107)-$M107),"")</f>
        <v>#N/A</v>
      </c>
      <c r="O107" s="33" t="e">
        <f t="shared" ca="1" si="3"/>
        <v>#N/A</v>
      </c>
      <c r="P107" s="34" t="e">
        <f>I107/H107*VLOOKUP(F105,'[1]Membership Level'!$A$3:$C$15,3,FALSE)+K107</f>
        <v>#DIV/0!</v>
      </c>
      <c r="Q107" s="36"/>
    </row>
    <row r="108" spans="1:17" x14ac:dyDescent="0.25">
      <c r="A108" s="33"/>
      <c r="B108" s="33"/>
      <c r="C108" s="36"/>
      <c r="D108" s="36"/>
      <c r="E108" s="54"/>
      <c r="F108" s="36"/>
      <c r="G108" s="36"/>
      <c r="H108" s="30">
        <v>0</v>
      </c>
      <c r="I108" s="30">
        <v>0</v>
      </c>
      <c r="J108" s="31">
        <f t="shared" si="2"/>
        <v>0</v>
      </c>
      <c r="K108" s="43"/>
      <c r="L108" s="32" t="e">
        <f>DATE(YEAR(K108),MONTH(K108)+VLOOKUP($F106,'[1]Membership Level'!$A$3:$B$15,2,FALSE),DAY(K108))</f>
        <v>#N/A</v>
      </c>
      <c r="M108" s="36"/>
      <c r="N108" s="34" t="e">
        <f>IF($L108&lt;&gt;0,DATE(YEAR($L108),MONTH($L108)-#REF!,DAY($L108)-$M108),"")</f>
        <v>#N/A</v>
      </c>
      <c r="O108" s="33" t="e">
        <f t="shared" ca="1" si="3"/>
        <v>#N/A</v>
      </c>
      <c r="P108" s="34" t="e">
        <f>I108/H108*VLOOKUP(F106,'[1]Membership Level'!$A$3:$C$15,3,FALSE)+K108</f>
        <v>#DIV/0!</v>
      </c>
      <c r="Q108" s="36"/>
    </row>
    <row r="109" spans="1:17" x14ac:dyDescent="0.25">
      <c r="A109" s="33"/>
      <c r="B109" s="33"/>
      <c r="C109" s="36"/>
      <c r="D109" s="36"/>
      <c r="E109" s="54"/>
      <c r="F109" s="36"/>
      <c r="G109" s="36"/>
      <c r="H109" s="30">
        <v>0</v>
      </c>
      <c r="I109" s="30">
        <v>0</v>
      </c>
      <c r="J109" s="31">
        <f t="shared" si="2"/>
        <v>0</v>
      </c>
      <c r="K109" s="43"/>
      <c r="L109" s="32" t="e">
        <f>DATE(YEAR(K109),MONTH(K109)+VLOOKUP($F107,'[1]Membership Level'!$A$3:$B$15,2,FALSE),DAY(K109))</f>
        <v>#N/A</v>
      </c>
      <c r="M109" s="36"/>
      <c r="N109" s="34" t="e">
        <f>IF($L109&lt;&gt;0,DATE(YEAR($L109),MONTH($L109)-#REF!,DAY($L109)-$M109),"")</f>
        <v>#N/A</v>
      </c>
      <c r="O109" s="33" t="e">
        <f t="shared" ca="1" si="3"/>
        <v>#N/A</v>
      </c>
      <c r="P109" s="34" t="e">
        <f>I109/H109*VLOOKUP(F107,'[1]Membership Level'!$A$3:$C$15,3,FALSE)+K109</f>
        <v>#DIV/0!</v>
      </c>
      <c r="Q109" s="36"/>
    </row>
    <row r="110" spans="1:17" x14ac:dyDescent="0.25">
      <c r="A110" s="33"/>
      <c r="B110" s="33"/>
      <c r="C110" s="36"/>
      <c r="D110" s="36"/>
      <c r="E110" s="54"/>
      <c r="F110" s="36"/>
      <c r="G110" s="36"/>
      <c r="H110" s="30">
        <v>0</v>
      </c>
      <c r="I110" s="30">
        <v>0</v>
      </c>
      <c r="J110" s="31">
        <f t="shared" si="2"/>
        <v>0</v>
      </c>
      <c r="K110" s="43"/>
      <c r="L110" s="32" t="e">
        <f>DATE(YEAR(K110),MONTH(K110)+VLOOKUP($F108,'[1]Membership Level'!$A$3:$B$15,2,FALSE),DAY(K110))</f>
        <v>#N/A</v>
      </c>
      <c r="M110" s="36"/>
      <c r="N110" s="34" t="e">
        <f>IF($L110&lt;&gt;0,DATE(YEAR($L110),MONTH($L110)-#REF!,DAY($L110)-$M110),"")</f>
        <v>#N/A</v>
      </c>
      <c r="O110" s="33" t="e">
        <f t="shared" ca="1" si="3"/>
        <v>#N/A</v>
      </c>
      <c r="P110" s="34" t="e">
        <f>I110/H110*VLOOKUP(F108,'[1]Membership Level'!$A$3:$C$15,3,FALSE)+K110</f>
        <v>#DIV/0!</v>
      </c>
      <c r="Q110" s="36">
        <f>200*50</f>
        <v>10000</v>
      </c>
    </row>
    <row r="111" spans="1:17" x14ac:dyDescent="0.25">
      <c r="A111" s="33"/>
      <c r="B111" s="33"/>
      <c r="C111" s="36"/>
      <c r="D111" s="36"/>
      <c r="E111" s="54"/>
      <c r="F111" s="36"/>
      <c r="G111" s="36"/>
      <c r="H111" s="30">
        <v>0</v>
      </c>
      <c r="I111" s="30">
        <v>0</v>
      </c>
      <c r="J111" s="31">
        <f t="shared" si="2"/>
        <v>0</v>
      </c>
      <c r="K111" s="43"/>
      <c r="L111" s="32" t="e">
        <f>DATE(YEAR(K111),MONTH(K111)+VLOOKUP($F109,'[1]Membership Level'!$A$3:$B$15,2,FALSE),DAY(K111))</f>
        <v>#N/A</v>
      </c>
      <c r="M111" s="36"/>
      <c r="N111" s="34" t="e">
        <f>IF($L111&lt;&gt;0,DATE(YEAR($L111),MONTH($L111)-#REF!,DAY($L111)-$M111),"")</f>
        <v>#N/A</v>
      </c>
      <c r="O111" s="33" t="e">
        <f t="shared" ca="1" si="3"/>
        <v>#N/A</v>
      </c>
      <c r="P111" s="34" t="e">
        <f>I111/H111*VLOOKUP(F109,'[1]Membership Level'!$A$3:$C$15,3,FALSE)+K111</f>
        <v>#DIV/0!</v>
      </c>
      <c r="Q111" s="36"/>
    </row>
    <row r="112" spans="1:17" x14ac:dyDescent="0.25">
      <c r="A112" s="33"/>
      <c r="B112" s="33"/>
      <c r="C112" s="36"/>
      <c r="D112" s="36"/>
      <c r="E112" s="54"/>
      <c r="F112" s="36"/>
      <c r="G112" s="36"/>
      <c r="H112" s="30">
        <v>0</v>
      </c>
      <c r="I112" s="30">
        <v>0</v>
      </c>
      <c r="J112" s="31">
        <f t="shared" si="2"/>
        <v>0</v>
      </c>
      <c r="K112" s="43"/>
      <c r="L112" s="32" t="e">
        <f>DATE(YEAR(K112),MONTH(K112)+VLOOKUP($F110,'[1]Membership Level'!$A$3:$B$15,2,FALSE),DAY(K112))</f>
        <v>#N/A</v>
      </c>
      <c r="M112" s="36"/>
      <c r="N112" s="34" t="e">
        <f>IF($L112&lt;&gt;0,DATE(YEAR($L112),MONTH($L112)-#REF!,DAY($L112)-$M112),"")</f>
        <v>#N/A</v>
      </c>
      <c r="O112" s="33" t="e">
        <f t="shared" ca="1" si="3"/>
        <v>#N/A</v>
      </c>
      <c r="P112" s="34" t="e">
        <f>I112/H112*VLOOKUP(F110,'[1]Membership Level'!$A$3:$C$15,3,FALSE)+K112</f>
        <v>#DIV/0!</v>
      </c>
      <c r="Q112" s="36"/>
    </row>
    <row r="113" spans="1:17" x14ac:dyDescent="0.25">
      <c r="A113" s="33"/>
      <c r="B113" s="33"/>
      <c r="C113" s="36"/>
      <c r="D113" s="36"/>
      <c r="E113" s="54"/>
      <c r="F113" s="36"/>
      <c r="G113" s="36"/>
      <c r="H113" s="30">
        <v>0</v>
      </c>
      <c r="I113" s="30">
        <v>0</v>
      </c>
      <c r="J113" s="31">
        <f t="shared" si="2"/>
        <v>0</v>
      </c>
      <c r="K113" s="43"/>
      <c r="L113" s="32" t="e">
        <f>DATE(YEAR(K113),MONTH(K113)+VLOOKUP($F111,'[1]Membership Level'!$A$3:$B$15,2,FALSE),DAY(K113))</f>
        <v>#N/A</v>
      </c>
      <c r="M113" s="36"/>
      <c r="N113" s="34" t="e">
        <f>IF($L113&lt;&gt;0,DATE(YEAR($L113),MONTH($L113)-#REF!,DAY($L113)-$M113),"")</f>
        <v>#N/A</v>
      </c>
      <c r="O113" s="33" t="e">
        <f t="shared" ca="1" si="3"/>
        <v>#N/A</v>
      </c>
      <c r="P113" s="34" t="e">
        <f>I113/H113*VLOOKUP(F111,'[1]Membership Level'!$A$3:$C$15,3,FALSE)+K113</f>
        <v>#DIV/0!</v>
      </c>
      <c r="Q113" s="36"/>
    </row>
    <row r="114" spans="1:17" x14ac:dyDescent="0.25">
      <c r="A114" s="33"/>
      <c r="B114" s="33"/>
      <c r="C114" s="36"/>
      <c r="D114" s="36"/>
      <c r="E114" s="54"/>
      <c r="F114" s="36"/>
      <c r="G114" s="36"/>
      <c r="H114" s="30">
        <v>0</v>
      </c>
      <c r="I114" s="30">
        <v>0</v>
      </c>
      <c r="J114" s="31">
        <f t="shared" si="2"/>
        <v>0</v>
      </c>
      <c r="K114" s="43"/>
      <c r="L114" s="32" t="e">
        <f>DATE(YEAR(K114),MONTH(K114)+VLOOKUP($F112,'[1]Membership Level'!$A$3:$B$15,2,FALSE),DAY(K114))</f>
        <v>#N/A</v>
      </c>
      <c r="M114" s="36"/>
      <c r="N114" s="34" t="e">
        <f>IF($L114&lt;&gt;0,DATE(YEAR($L114),MONTH($L114)-#REF!,DAY($L114)-$M114),"")</f>
        <v>#N/A</v>
      </c>
      <c r="O114" s="33" t="e">
        <f t="shared" ca="1" si="3"/>
        <v>#N/A</v>
      </c>
      <c r="P114" s="34" t="e">
        <f>I114/H114*VLOOKUP(F112,'[1]Membership Level'!$A$3:$C$15,3,FALSE)+K114</f>
        <v>#DIV/0!</v>
      </c>
      <c r="Q114" s="36">
        <f>216/18</f>
        <v>12</v>
      </c>
    </row>
    <row r="115" spans="1:17" x14ac:dyDescent="0.25">
      <c r="A115" s="33"/>
      <c r="B115" s="33"/>
      <c r="C115" s="36"/>
      <c r="D115" s="36"/>
      <c r="E115" s="54"/>
      <c r="F115" s="36"/>
      <c r="G115" s="36"/>
      <c r="H115" s="30">
        <v>0</v>
      </c>
      <c r="I115" s="30">
        <v>0</v>
      </c>
      <c r="J115" s="31">
        <f t="shared" si="2"/>
        <v>0</v>
      </c>
      <c r="K115" s="43"/>
      <c r="L115" s="32" t="e">
        <f>DATE(YEAR(K115),MONTH(K115)+VLOOKUP($F113,'[1]Membership Level'!$A$3:$B$15,2,FALSE),DAY(K115))</f>
        <v>#N/A</v>
      </c>
      <c r="M115" s="36"/>
      <c r="N115" s="34" t="e">
        <f>IF($L115&lt;&gt;0,DATE(YEAR($L115),MONTH($L115)-#REF!,DAY($L115)-$M115),"")</f>
        <v>#N/A</v>
      </c>
      <c r="O115" s="33" t="e">
        <f t="shared" ca="1" si="3"/>
        <v>#N/A</v>
      </c>
      <c r="P115" s="34" t="e">
        <f>I115/H115*VLOOKUP(F113,'[1]Membership Level'!$A$3:$C$15,3,FALSE)+K115</f>
        <v>#DIV/0!</v>
      </c>
      <c r="Q115" s="36"/>
    </row>
    <row r="116" spans="1:17" x14ac:dyDescent="0.25">
      <c r="A116" s="33"/>
      <c r="B116" s="33"/>
      <c r="C116" s="36"/>
      <c r="D116" s="36"/>
      <c r="E116" s="54"/>
      <c r="F116" s="36"/>
      <c r="G116" s="36"/>
      <c r="H116" s="30">
        <v>0</v>
      </c>
      <c r="I116" s="30">
        <v>0</v>
      </c>
      <c r="J116" s="31">
        <f t="shared" si="2"/>
        <v>0</v>
      </c>
      <c r="K116" s="43"/>
      <c r="L116" s="32" t="e">
        <f>DATE(YEAR(K116),MONTH(K116)+VLOOKUP($F114,'[1]Membership Level'!$A$3:$B$15,2,FALSE),DAY(K116))</f>
        <v>#N/A</v>
      </c>
      <c r="M116" s="36"/>
      <c r="N116" s="34" t="e">
        <f>IF($L116&lt;&gt;0,DATE(YEAR($L116),MONTH($L116)-#REF!,DAY($L116)-$M116),"")</f>
        <v>#N/A</v>
      </c>
      <c r="O116" s="33" t="e">
        <f t="shared" ca="1" si="3"/>
        <v>#N/A</v>
      </c>
      <c r="P116" s="34" t="e">
        <f>I116/H116*VLOOKUP(F114,'[1]Membership Level'!$A$3:$C$15,3,FALSE)+K116</f>
        <v>#DIV/0!</v>
      </c>
      <c r="Q116" s="36"/>
    </row>
    <row r="117" spans="1:17" x14ac:dyDescent="0.25">
      <c r="A117" s="33"/>
      <c r="B117" s="33"/>
      <c r="C117" s="36"/>
      <c r="D117" s="36"/>
      <c r="E117" s="54"/>
      <c r="F117" s="36"/>
      <c r="G117" s="36"/>
      <c r="H117" s="30">
        <v>0</v>
      </c>
      <c r="I117" s="30">
        <v>0</v>
      </c>
      <c r="J117" s="31">
        <f t="shared" si="2"/>
        <v>0</v>
      </c>
      <c r="K117" s="43"/>
      <c r="L117" s="32" t="e">
        <f>DATE(YEAR(K117),MONTH(K117)+VLOOKUP($F115,'[1]Membership Level'!$A$3:$B$15,2,FALSE),DAY(K117))</f>
        <v>#N/A</v>
      </c>
      <c r="M117" s="36"/>
      <c r="N117" s="34" t="e">
        <f>IF($L117&lt;&gt;0,DATE(YEAR($L117),MONTH($L117)-#REF!,DAY($L117)-$M117),"")</f>
        <v>#N/A</v>
      </c>
      <c r="O117" s="33" t="e">
        <f t="shared" ca="1" si="3"/>
        <v>#N/A</v>
      </c>
      <c r="P117" s="34" t="e">
        <f>I117/H117*VLOOKUP(F115,'[1]Membership Level'!$A$3:$C$15,3,FALSE)+K117</f>
        <v>#DIV/0!</v>
      </c>
      <c r="Q117" s="36"/>
    </row>
    <row r="118" spans="1:17" x14ac:dyDescent="0.25">
      <c r="C118" s="36"/>
      <c r="D118" s="36"/>
      <c r="E118" s="54"/>
      <c r="F118" s="36"/>
      <c r="G118" s="36"/>
      <c r="H118" s="30">
        <v>0</v>
      </c>
      <c r="I118" s="30">
        <v>0</v>
      </c>
      <c r="J118" s="31">
        <f t="shared" si="2"/>
        <v>0</v>
      </c>
      <c r="K118" s="43"/>
      <c r="L118" s="32" t="e">
        <f>DATE(YEAR(K118),MONTH(K118)+VLOOKUP($F116,'[1]Membership Level'!$A$3:$B$15,2,FALSE),DAY(K118))</f>
        <v>#N/A</v>
      </c>
      <c r="M118" s="36"/>
      <c r="N118" s="34" t="e">
        <f>IF($L118&lt;&gt;0,DATE(YEAR($L118),MONTH($L118)-#REF!,DAY($L118)-$M118),"")</f>
        <v>#N/A</v>
      </c>
      <c r="O118" s="33" t="e">
        <f t="shared" ca="1" si="3"/>
        <v>#N/A</v>
      </c>
      <c r="P118" s="34" t="e">
        <f>I118/H118*VLOOKUP(F116,'[1]Membership Level'!$A$3:$C$15,3,FALSE)+K118</f>
        <v>#DIV/0!</v>
      </c>
      <c r="Q118" s="36"/>
    </row>
    <row r="119" spans="1:17" x14ac:dyDescent="0.25">
      <c r="C119" s="36"/>
      <c r="D119" s="36"/>
      <c r="E119" s="54"/>
      <c r="F119" s="36"/>
      <c r="G119" s="36"/>
      <c r="H119" s="30">
        <v>0</v>
      </c>
      <c r="I119" s="30">
        <v>0</v>
      </c>
      <c r="J119" s="31">
        <f t="shared" si="2"/>
        <v>0</v>
      </c>
      <c r="K119" s="43"/>
      <c r="L119" s="32" t="e">
        <f>DATE(YEAR(K119),MONTH(K119)+VLOOKUP($F117,'[1]Membership Level'!$A$3:$B$15,2,FALSE),DAY(K119))</f>
        <v>#N/A</v>
      </c>
      <c r="M119" s="36"/>
      <c r="N119" s="34" t="e">
        <f>IF($L119&lt;&gt;0,DATE(YEAR($L119),MONTH($L119)-#REF!,DAY($L119)-$M119),"")</f>
        <v>#N/A</v>
      </c>
      <c r="O119" s="33" t="e">
        <f t="shared" ca="1" si="3"/>
        <v>#N/A</v>
      </c>
      <c r="P119" s="34" t="e">
        <f>I119/H119*VLOOKUP(F117,'[1]Membership Level'!$A$3:$C$15,3,FALSE)+K119</f>
        <v>#DIV/0!</v>
      </c>
      <c r="Q119" s="35"/>
    </row>
    <row r="120" spans="1:17" x14ac:dyDescent="0.25">
      <c r="C120" s="36"/>
      <c r="D120" s="36"/>
      <c r="E120" s="54"/>
      <c r="F120" s="36"/>
      <c r="G120" s="36"/>
      <c r="H120" s="30">
        <v>0</v>
      </c>
      <c r="I120" s="30">
        <v>0</v>
      </c>
      <c r="J120" s="31">
        <f t="shared" si="2"/>
        <v>0</v>
      </c>
      <c r="K120" s="43"/>
      <c r="L120" s="32" t="e">
        <f>DATE(YEAR(K120),MONTH(K120)+VLOOKUP($F118,'[1]Membership Level'!$A$3:$B$15,2,FALSE),DAY(K120))</f>
        <v>#N/A</v>
      </c>
      <c r="M120" s="36"/>
      <c r="N120" s="34" t="e">
        <f>IF($L120&lt;&gt;0,DATE(YEAR($L120),MONTH($L120)-#REF!,DAY($L120)-$M120),"")</f>
        <v>#N/A</v>
      </c>
      <c r="O120" s="33" t="e">
        <f t="shared" ca="1" si="3"/>
        <v>#N/A</v>
      </c>
      <c r="P120" s="34" t="e">
        <f>I120/H120*VLOOKUP(F118,'[1]Membership Level'!$A$3:$C$15,3,FALSE)+K120</f>
        <v>#DIV/0!</v>
      </c>
      <c r="Q120" s="35"/>
    </row>
    <row r="121" spans="1:17" x14ac:dyDescent="0.25">
      <c r="C121" s="36"/>
      <c r="D121" s="36"/>
      <c r="E121" s="54"/>
      <c r="F121" s="36"/>
      <c r="G121" s="36"/>
      <c r="H121" s="30">
        <v>0</v>
      </c>
      <c r="I121" s="30">
        <v>0</v>
      </c>
      <c r="J121" s="31">
        <f t="shared" si="2"/>
        <v>0</v>
      </c>
      <c r="K121" s="43"/>
      <c r="L121" s="32" t="e">
        <f>DATE(YEAR(K121),MONTH(K121)+VLOOKUP($F119,'[1]Membership Level'!$A$3:$B$15,2,FALSE),DAY(K121))</f>
        <v>#N/A</v>
      </c>
      <c r="M121" s="36"/>
      <c r="N121" s="34" t="e">
        <f>IF($L121&lt;&gt;0,DATE(YEAR($L121),MONTH($L121)-#REF!,DAY($L121)-$M121),"")</f>
        <v>#N/A</v>
      </c>
      <c r="O121" s="33" t="e">
        <f t="shared" ca="1" si="3"/>
        <v>#N/A</v>
      </c>
      <c r="P121" s="34" t="e">
        <f>I121/H121*VLOOKUP(F119,'[1]Membership Level'!$A$3:$C$15,3,FALSE)+K121</f>
        <v>#DIV/0!</v>
      </c>
      <c r="Q121" s="36"/>
    </row>
    <row r="122" spans="1:17" x14ac:dyDescent="0.25">
      <c r="C122" s="36"/>
      <c r="D122" s="36"/>
      <c r="E122" s="54"/>
      <c r="F122" s="36"/>
      <c r="G122" s="36"/>
      <c r="H122" s="30">
        <v>0</v>
      </c>
      <c r="I122" s="30">
        <v>0</v>
      </c>
      <c r="J122" s="31">
        <f t="shared" si="2"/>
        <v>0</v>
      </c>
      <c r="K122" s="43"/>
      <c r="L122" s="32" t="e">
        <f>DATE(YEAR(K122),MONTH(K122)+VLOOKUP($F120,'[1]Membership Level'!$A$3:$B$15,2,FALSE),DAY(K122))</f>
        <v>#N/A</v>
      </c>
      <c r="M122" s="36"/>
      <c r="N122" s="34" t="e">
        <f>IF($L122&lt;&gt;0,DATE(YEAR($L122),MONTH($L122)-#REF!,DAY($L122)-$M122),"")</f>
        <v>#N/A</v>
      </c>
      <c r="O122" s="33" t="e">
        <f t="shared" ca="1" si="3"/>
        <v>#N/A</v>
      </c>
      <c r="P122" s="34" t="e">
        <f>I122/H122*VLOOKUP(F120,'[1]Membership Level'!$A$3:$C$15,3,FALSE)+K122</f>
        <v>#DIV/0!</v>
      </c>
      <c r="Q122" s="36"/>
    </row>
    <row r="123" spans="1:17" x14ac:dyDescent="0.25">
      <c r="C123" s="36"/>
      <c r="D123" s="36"/>
      <c r="E123" s="54"/>
      <c r="F123" s="36"/>
      <c r="G123" s="36"/>
      <c r="H123" s="30">
        <v>0</v>
      </c>
      <c r="I123" s="30">
        <v>0</v>
      </c>
      <c r="J123" s="31">
        <f t="shared" si="2"/>
        <v>0</v>
      </c>
      <c r="K123" s="43"/>
      <c r="L123" s="32" t="e">
        <f>DATE(YEAR(K123),MONTH(K123)+VLOOKUP($F121,'[1]Membership Level'!$A$3:$B$15,2,FALSE),DAY(K123))</f>
        <v>#N/A</v>
      </c>
      <c r="M123" s="36"/>
      <c r="N123" s="34" t="e">
        <f>IF($L123&lt;&gt;0,DATE(YEAR($L123),MONTH($L123)-#REF!,DAY($L123)-$M123),"")</f>
        <v>#N/A</v>
      </c>
      <c r="O123" s="33" t="e">
        <f t="shared" ca="1" si="3"/>
        <v>#N/A</v>
      </c>
      <c r="P123" s="34" t="e">
        <f>I123/H123*VLOOKUP(F121,'[1]Membership Level'!$A$3:$C$15,3,FALSE)+K123</f>
        <v>#DIV/0!</v>
      </c>
      <c r="Q123" s="36"/>
    </row>
    <row r="124" spans="1:17" x14ac:dyDescent="0.25">
      <c r="C124" s="36"/>
      <c r="D124" s="36"/>
      <c r="E124" s="54"/>
      <c r="F124" s="36"/>
      <c r="G124" s="36"/>
      <c r="H124" s="30">
        <v>0</v>
      </c>
      <c r="I124" s="30">
        <v>0</v>
      </c>
      <c r="J124" s="31">
        <f t="shared" si="2"/>
        <v>0</v>
      </c>
      <c r="K124" s="43"/>
      <c r="L124" s="32" t="e">
        <f>DATE(YEAR(K124),MONTH(K124)+VLOOKUP($F122,'[1]Membership Level'!$A$3:$B$15,2,FALSE),DAY(K124))</f>
        <v>#N/A</v>
      </c>
      <c r="M124" s="36"/>
      <c r="N124" s="34" t="e">
        <f>IF($L124&lt;&gt;0,DATE(YEAR($L124),MONTH($L124)-#REF!,DAY($L124)-$M124),"")</f>
        <v>#N/A</v>
      </c>
      <c r="O124" s="33" t="e">
        <f t="shared" ca="1" si="3"/>
        <v>#N/A</v>
      </c>
      <c r="P124" s="34" t="e">
        <f>I124/H124*VLOOKUP(F122,'[1]Membership Level'!$A$3:$C$15,3,FALSE)+K124</f>
        <v>#DIV/0!</v>
      </c>
      <c r="Q124" s="36"/>
    </row>
    <row r="125" spans="1:17" x14ac:dyDescent="0.25">
      <c r="C125" s="36"/>
      <c r="D125" s="36"/>
      <c r="E125" s="54"/>
      <c r="F125" s="36"/>
      <c r="G125" s="36"/>
      <c r="H125" s="30">
        <v>0</v>
      </c>
      <c r="I125" s="30">
        <v>0</v>
      </c>
      <c r="J125" s="31">
        <f t="shared" ref="J125:J146" si="4">H125-I125</f>
        <v>0</v>
      </c>
      <c r="K125" s="43"/>
      <c r="L125" s="32" t="e">
        <f>DATE(YEAR(K125),MONTH(K125)+VLOOKUP($F123,'[1]Membership Level'!$A$3:$B$15,2,FALSE),DAY(K125))</f>
        <v>#N/A</v>
      </c>
      <c r="M125" s="36"/>
      <c r="N125" s="34" t="e">
        <f>IF($L125&lt;&gt;0,DATE(YEAR($L125),MONTH($L125)-#REF!,DAY($L125)-$M125),"")</f>
        <v>#N/A</v>
      </c>
      <c r="O125" s="33" t="e">
        <f t="shared" ref="O125:O188" ca="1" si="5">IF(DAYS360(NOW(), $L125) &gt;= 0, DAYS360(NOW(), $L125), "")</f>
        <v>#N/A</v>
      </c>
      <c r="P125" s="34" t="e">
        <f>I125/H125*VLOOKUP(F123,'[1]Membership Level'!$A$3:$C$15,3,FALSE)+K125</f>
        <v>#DIV/0!</v>
      </c>
      <c r="Q125" s="36"/>
    </row>
    <row r="126" spans="1:17" x14ac:dyDescent="0.25">
      <c r="C126" s="36"/>
      <c r="D126" s="36"/>
      <c r="E126" s="54"/>
      <c r="F126" s="36"/>
      <c r="G126" s="36"/>
      <c r="H126" s="30">
        <v>0</v>
      </c>
      <c r="I126" s="30">
        <v>0</v>
      </c>
      <c r="J126" s="31">
        <f t="shared" si="4"/>
        <v>0</v>
      </c>
      <c r="K126" s="43"/>
      <c r="L126" s="32" t="e">
        <f>DATE(YEAR(K126),MONTH(K126)+VLOOKUP($F124,'[1]Membership Level'!$A$3:$B$15,2,FALSE),DAY(K126))</f>
        <v>#N/A</v>
      </c>
      <c r="M126" s="36"/>
      <c r="N126" s="34" t="e">
        <f>IF($L126&lt;&gt;0,DATE(YEAR($L126),MONTH($L126)-#REF!,DAY($L126)-$M126),"")</f>
        <v>#N/A</v>
      </c>
      <c r="O126" s="33" t="e">
        <f t="shared" ca="1" si="5"/>
        <v>#N/A</v>
      </c>
      <c r="P126" s="34" t="e">
        <f>I126/H126*VLOOKUP(F124,'[1]Membership Level'!$A$3:$C$15,3,FALSE)+K126</f>
        <v>#DIV/0!</v>
      </c>
      <c r="Q126" s="36"/>
    </row>
    <row r="127" spans="1:17" x14ac:dyDescent="0.25">
      <c r="C127" s="36"/>
      <c r="D127" s="36"/>
      <c r="E127" s="54"/>
      <c r="F127" s="36"/>
      <c r="G127" s="36"/>
      <c r="H127" s="30">
        <v>0</v>
      </c>
      <c r="I127" s="30">
        <v>0</v>
      </c>
      <c r="J127" s="31">
        <f t="shared" si="4"/>
        <v>0</v>
      </c>
      <c r="K127" s="43"/>
      <c r="L127" s="32" t="e">
        <f>DATE(YEAR(K127),MONTH(K127)+VLOOKUP($F125,'[1]Membership Level'!$A$3:$B$15,2,FALSE),DAY(K127))</f>
        <v>#N/A</v>
      </c>
      <c r="M127" s="36"/>
      <c r="N127" s="34" t="e">
        <f>IF($L127&lt;&gt;0,DATE(YEAR($L127),MONTH($L127)-#REF!,DAY($L127)-$M127),"")</f>
        <v>#N/A</v>
      </c>
      <c r="O127" s="33" t="e">
        <f t="shared" ca="1" si="5"/>
        <v>#N/A</v>
      </c>
      <c r="P127" s="34" t="e">
        <f>I127/H127*VLOOKUP(F125,'[1]Membership Level'!$A$3:$C$15,3,FALSE)+K127</f>
        <v>#DIV/0!</v>
      </c>
      <c r="Q127" s="36"/>
    </row>
    <row r="128" spans="1:17" x14ac:dyDescent="0.25">
      <c r="C128" s="36"/>
      <c r="D128" s="36"/>
      <c r="E128" s="54"/>
      <c r="F128" s="36"/>
      <c r="G128" s="36"/>
      <c r="H128" s="30">
        <v>0</v>
      </c>
      <c r="I128" s="30">
        <v>0</v>
      </c>
      <c r="J128" s="31">
        <f t="shared" si="4"/>
        <v>0</v>
      </c>
      <c r="K128" s="43"/>
      <c r="L128" s="32" t="e">
        <f>DATE(YEAR(K128),MONTH(K128)+VLOOKUP($F126,'[1]Membership Level'!$A$3:$B$15,2,FALSE),DAY(K128))</f>
        <v>#N/A</v>
      </c>
      <c r="M128" s="36"/>
      <c r="N128" s="34" t="e">
        <f>IF($L128&lt;&gt;0,DATE(YEAR($L128),MONTH($L128)-#REF!,DAY($L128)-$M128),"")</f>
        <v>#N/A</v>
      </c>
      <c r="O128" s="33" t="e">
        <f t="shared" ca="1" si="5"/>
        <v>#N/A</v>
      </c>
      <c r="P128" s="34" t="e">
        <f>I128/H128*VLOOKUP(F126,'[1]Membership Level'!$A$3:$C$15,3,FALSE)+K128</f>
        <v>#DIV/0!</v>
      </c>
      <c r="Q128" s="36"/>
    </row>
    <row r="129" spans="3:17" x14ac:dyDescent="0.25">
      <c r="C129" s="36"/>
      <c r="D129" s="36"/>
      <c r="E129" s="54"/>
      <c r="F129" s="36"/>
      <c r="G129" s="36"/>
      <c r="H129" s="30">
        <v>0</v>
      </c>
      <c r="I129" s="30">
        <v>0</v>
      </c>
      <c r="J129" s="31">
        <f t="shared" si="4"/>
        <v>0</v>
      </c>
      <c r="K129" s="43"/>
      <c r="L129" s="32" t="e">
        <f>DATE(YEAR(K129),MONTH(K129)+VLOOKUP($F127,'[1]Membership Level'!$A$3:$B$15,2,FALSE),DAY(K129))</f>
        <v>#N/A</v>
      </c>
      <c r="M129" s="36"/>
      <c r="N129" s="34" t="e">
        <f>IF($L129&lt;&gt;0,DATE(YEAR($L129),MONTH($L129)-#REF!,DAY($L129)-$M129),"")</f>
        <v>#N/A</v>
      </c>
      <c r="O129" s="33" t="e">
        <f t="shared" ca="1" si="5"/>
        <v>#N/A</v>
      </c>
      <c r="P129" s="34" t="e">
        <f>I129/H129*VLOOKUP(F127,'[1]Membership Level'!$A$3:$C$15,3,FALSE)+K129</f>
        <v>#DIV/0!</v>
      </c>
      <c r="Q129" s="36"/>
    </row>
    <row r="130" spans="3:17" x14ac:dyDescent="0.25">
      <c r="C130" s="36"/>
      <c r="D130" s="36"/>
      <c r="E130" s="54"/>
      <c r="F130" s="36"/>
      <c r="G130" s="36"/>
      <c r="H130" s="30">
        <v>0</v>
      </c>
      <c r="I130" s="30">
        <v>0</v>
      </c>
      <c r="J130" s="31">
        <f t="shared" si="4"/>
        <v>0</v>
      </c>
      <c r="K130" s="43"/>
      <c r="L130" s="32" t="e">
        <f>DATE(YEAR(K130),MONTH(K130)+VLOOKUP($F128,'[1]Membership Level'!$A$3:$B$15,2,FALSE),DAY(K130))</f>
        <v>#N/A</v>
      </c>
      <c r="M130" s="36"/>
      <c r="N130" s="34" t="e">
        <f>IF($L130&lt;&gt;0,DATE(YEAR($L130),MONTH($L130)-#REF!,DAY($L130)-$M130),"")</f>
        <v>#N/A</v>
      </c>
      <c r="O130" s="33" t="e">
        <f t="shared" ca="1" si="5"/>
        <v>#N/A</v>
      </c>
      <c r="P130" s="34" t="e">
        <f>I130/H130*VLOOKUP(F128,'[1]Membership Level'!$A$3:$C$15,3,FALSE)+K130</f>
        <v>#DIV/0!</v>
      </c>
      <c r="Q130" s="36"/>
    </row>
    <row r="131" spans="3:17" x14ac:dyDescent="0.25">
      <c r="C131" s="36"/>
      <c r="D131" s="36"/>
      <c r="E131" s="54"/>
      <c r="F131" s="36"/>
      <c r="G131" s="36"/>
      <c r="H131" s="30">
        <v>0</v>
      </c>
      <c r="I131" s="30">
        <v>0</v>
      </c>
      <c r="J131" s="31">
        <f t="shared" si="4"/>
        <v>0</v>
      </c>
      <c r="K131" s="43"/>
      <c r="L131" s="32" t="e">
        <f>DATE(YEAR(K131),MONTH(K131)+VLOOKUP($F129,'[1]Membership Level'!$A$3:$B$15,2,FALSE),DAY(K131))</f>
        <v>#N/A</v>
      </c>
      <c r="M131" s="36"/>
      <c r="N131" s="34" t="e">
        <f>IF($L131&lt;&gt;0,DATE(YEAR($L131),MONTH($L131)-#REF!,DAY($L131)-$M131),"")</f>
        <v>#N/A</v>
      </c>
      <c r="O131" s="33" t="e">
        <f t="shared" ca="1" si="5"/>
        <v>#N/A</v>
      </c>
      <c r="P131" s="34" t="e">
        <f>I131/H131*VLOOKUP(F129,'[1]Membership Level'!$A$3:$C$15,3,FALSE)+K131</f>
        <v>#DIV/0!</v>
      </c>
      <c r="Q131" s="36"/>
    </row>
    <row r="132" spans="3:17" x14ac:dyDescent="0.25">
      <c r="C132" s="36"/>
      <c r="D132" s="36"/>
      <c r="E132" s="54"/>
      <c r="F132" s="36"/>
      <c r="G132" s="36"/>
      <c r="H132" s="30">
        <v>0</v>
      </c>
      <c r="I132" s="30">
        <v>0</v>
      </c>
      <c r="J132" s="31">
        <f t="shared" si="4"/>
        <v>0</v>
      </c>
      <c r="K132" s="43"/>
      <c r="L132" s="32" t="e">
        <f>DATE(YEAR(K132),MONTH(K132)+VLOOKUP($F130,'[1]Membership Level'!$A$3:$B$15,2,FALSE),DAY(K132))</f>
        <v>#N/A</v>
      </c>
      <c r="M132" s="36"/>
      <c r="N132" s="34" t="e">
        <f>IF($L132&lt;&gt;0,DATE(YEAR($L132),MONTH($L132)-#REF!,DAY($L132)-$M132),"")</f>
        <v>#N/A</v>
      </c>
      <c r="O132" s="33" t="e">
        <f t="shared" ca="1" si="5"/>
        <v>#N/A</v>
      </c>
      <c r="P132" s="34" t="e">
        <f>I132/H132*VLOOKUP(F130,'[1]Membership Level'!$A$3:$C$15,3,FALSE)+K132</f>
        <v>#DIV/0!</v>
      </c>
      <c r="Q132" s="36"/>
    </row>
    <row r="133" spans="3:17" x14ac:dyDescent="0.25">
      <c r="C133" s="36"/>
      <c r="D133" s="36"/>
      <c r="E133" s="54"/>
      <c r="F133" s="36"/>
      <c r="G133" s="36"/>
      <c r="H133" s="30">
        <v>0</v>
      </c>
      <c r="I133" s="30">
        <v>0</v>
      </c>
      <c r="J133" s="31">
        <f t="shared" si="4"/>
        <v>0</v>
      </c>
      <c r="K133" s="43"/>
      <c r="L133" s="32" t="e">
        <f>DATE(YEAR(K133),MONTH(K133)+VLOOKUP($F131,'[1]Membership Level'!$A$3:$B$15,2,FALSE),DAY(K133))</f>
        <v>#N/A</v>
      </c>
      <c r="M133" s="36"/>
      <c r="N133" s="34" t="e">
        <f>IF($L133&lt;&gt;0,DATE(YEAR($L133),MONTH($L133)-#REF!,DAY($L133)-$M133),"")</f>
        <v>#N/A</v>
      </c>
      <c r="O133" s="33" t="e">
        <f t="shared" ca="1" si="5"/>
        <v>#N/A</v>
      </c>
      <c r="P133" s="34" t="e">
        <f>I133/H133*VLOOKUP(F131,'[1]Membership Level'!$A$3:$C$15,3,FALSE)+K133</f>
        <v>#DIV/0!</v>
      </c>
      <c r="Q133" s="36"/>
    </row>
    <row r="134" spans="3:17" x14ac:dyDescent="0.25">
      <c r="C134" s="36"/>
      <c r="D134" s="36"/>
      <c r="E134" s="54"/>
      <c r="F134" s="36"/>
      <c r="G134" s="36"/>
      <c r="H134" s="30">
        <v>0</v>
      </c>
      <c r="I134" s="30">
        <v>0</v>
      </c>
      <c r="J134" s="31">
        <f t="shared" si="4"/>
        <v>0</v>
      </c>
      <c r="K134" s="43"/>
      <c r="L134" s="32" t="e">
        <f>DATE(YEAR(K134),MONTH(K134)+VLOOKUP($F132,'[1]Membership Level'!$A$3:$B$15,2,FALSE),DAY(K134))</f>
        <v>#N/A</v>
      </c>
      <c r="M134" s="36"/>
      <c r="N134" s="34" t="e">
        <f>IF($L134&lt;&gt;0,DATE(YEAR($L134),MONTH($L134)-#REF!,DAY($L134)-$M134),"")</f>
        <v>#N/A</v>
      </c>
      <c r="O134" s="33" t="e">
        <f t="shared" ca="1" si="5"/>
        <v>#N/A</v>
      </c>
      <c r="P134" s="34" t="e">
        <f>I134/H134*VLOOKUP(F132,'[1]Membership Level'!$A$3:$C$15,3,FALSE)+K134</f>
        <v>#DIV/0!</v>
      </c>
      <c r="Q134" s="36"/>
    </row>
    <row r="135" spans="3:17" x14ac:dyDescent="0.25">
      <c r="C135" s="36"/>
      <c r="D135" s="36"/>
      <c r="E135" s="54"/>
      <c r="F135" s="36"/>
      <c r="G135" s="36"/>
      <c r="H135" s="30">
        <v>0</v>
      </c>
      <c r="I135" s="30">
        <v>0</v>
      </c>
      <c r="J135" s="31">
        <f t="shared" si="4"/>
        <v>0</v>
      </c>
      <c r="K135" s="43"/>
      <c r="L135" s="32" t="e">
        <f>DATE(YEAR(K135),MONTH(K135)+VLOOKUP($F133,'[1]Membership Level'!$A$3:$B$15,2,FALSE),DAY(K135))</f>
        <v>#N/A</v>
      </c>
      <c r="M135" s="36"/>
      <c r="N135" s="34" t="e">
        <f>IF($L135&lt;&gt;0,DATE(YEAR($L135),MONTH($L135)-#REF!,DAY($L135)-$M135),"")</f>
        <v>#N/A</v>
      </c>
      <c r="O135" s="33" t="e">
        <f t="shared" ca="1" si="5"/>
        <v>#N/A</v>
      </c>
      <c r="P135" s="34" t="e">
        <f>I135/H135*VLOOKUP(F133,'[1]Membership Level'!$A$3:$C$15,3,FALSE)+K135</f>
        <v>#DIV/0!</v>
      </c>
      <c r="Q135" s="36"/>
    </row>
    <row r="136" spans="3:17" x14ac:dyDescent="0.25">
      <c r="C136" s="36"/>
      <c r="D136" s="36"/>
      <c r="E136" s="54"/>
      <c r="F136" s="36"/>
      <c r="G136" s="36"/>
      <c r="H136" s="30">
        <v>0</v>
      </c>
      <c r="I136" s="30">
        <v>0</v>
      </c>
      <c r="J136" s="31">
        <f t="shared" si="4"/>
        <v>0</v>
      </c>
      <c r="K136" s="43"/>
      <c r="L136" s="32" t="e">
        <f>DATE(YEAR(K136),MONTH(K136)+VLOOKUP($F134,'[1]Membership Level'!$A$3:$B$15,2,FALSE),DAY(K136))</f>
        <v>#N/A</v>
      </c>
      <c r="M136" s="36"/>
      <c r="N136" s="34" t="e">
        <f>IF($L136&lt;&gt;0,DATE(YEAR($L136),MONTH($L136)-#REF!,DAY($L136)-$M136),"")</f>
        <v>#N/A</v>
      </c>
      <c r="O136" s="33" t="e">
        <f t="shared" ca="1" si="5"/>
        <v>#N/A</v>
      </c>
      <c r="P136" s="34" t="e">
        <f>I136/H136*VLOOKUP(F134,'[1]Membership Level'!$A$3:$C$15,3,FALSE)+K136</f>
        <v>#DIV/0!</v>
      </c>
      <c r="Q136" s="36"/>
    </row>
    <row r="137" spans="3:17" x14ac:dyDescent="0.25">
      <c r="C137" s="36"/>
      <c r="D137" s="36"/>
      <c r="E137" s="54"/>
      <c r="F137" s="36"/>
      <c r="G137" s="36"/>
      <c r="H137" s="30">
        <v>0</v>
      </c>
      <c r="I137" s="30">
        <v>0</v>
      </c>
      <c r="J137" s="31">
        <f t="shared" si="4"/>
        <v>0</v>
      </c>
      <c r="K137" s="43"/>
      <c r="L137" s="32" t="e">
        <f>DATE(YEAR(K137),MONTH(K137)+VLOOKUP($F135,'[1]Membership Level'!$A$3:$B$15,2,FALSE),DAY(K137))</f>
        <v>#N/A</v>
      </c>
      <c r="M137" s="36"/>
      <c r="N137" s="34" t="e">
        <f>IF($L137&lt;&gt;0,DATE(YEAR($L137),MONTH($L137)-#REF!,DAY($L137)-$M137),"")</f>
        <v>#N/A</v>
      </c>
      <c r="O137" s="33" t="e">
        <f t="shared" ca="1" si="5"/>
        <v>#N/A</v>
      </c>
      <c r="P137" s="34" t="e">
        <f>I137/H137*VLOOKUP(F135,'[1]Membership Level'!$A$3:$C$15,3,FALSE)+K137</f>
        <v>#DIV/0!</v>
      </c>
      <c r="Q137" s="36"/>
    </row>
    <row r="138" spans="3:17" x14ac:dyDescent="0.25">
      <c r="C138" s="36"/>
      <c r="D138" s="36"/>
      <c r="E138" s="54"/>
      <c r="F138" s="36"/>
      <c r="G138" s="36"/>
      <c r="H138" s="30">
        <v>0</v>
      </c>
      <c r="I138" s="30">
        <v>0</v>
      </c>
      <c r="J138" s="31">
        <f t="shared" si="4"/>
        <v>0</v>
      </c>
      <c r="K138" s="43"/>
      <c r="L138" s="32" t="e">
        <f>DATE(YEAR(K138),MONTH(K138)+VLOOKUP($F136,'[1]Membership Level'!$A$3:$B$15,2,FALSE),DAY(K138))</f>
        <v>#N/A</v>
      </c>
      <c r="M138" s="36"/>
      <c r="N138" s="34" t="e">
        <f>IF($L138&lt;&gt;0,DATE(YEAR($L138),MONTH($L138)-#REF!,DAY($L138)-$M138),"")</f>
        <v>#N/A</v>
      </c>
      <c r="O138" s="33" t="e">
        <f t="shared" ca="1" si="5"/>
        <v>#N/A</v>
      </c>
      <c r="P138" s="34" t="e">
        <f>I138/H138*VLOOKUP(F136,'[1]Membership Level'!$A$3:$C$15,3,FALSE)+K138</f>
        <v>#DIV/0!</v>
      </c>
      <c r="Q138" s="36"/>
    </row>
    <row r="139" spans="3:17" x14ac:dyDescent="0.25">
      <c r="C139" s="36"/>
      <c r="D139" s="36"/>
      <c r="E139" s="54"/>
      <c r="F139" s="36"/>
      <c r="G139" s="36"/>
      <c r="H139" s="30">
        <v>0</v>
      </c>
      <c r="I139" s="30">
        <v>0</v>
      </c>
      <c r="J139" s="31">
        <f t="shared" si="4"/>
        <v>0</v>
      </c>
      <c r="K139" s="43"/>
      <c r="L139" s="32" t="e">
        <f>DATE(YEAR(K139),MONTH(K139)+VLOOKUP($F137,'[1]Membership Level'!$A$3:$B$15,2,FALSE),DAY(K139))</f>
        <v>#N/A</v>
      </c>
      <c r="M139" s="36"/>
      <c r="N139" s="34" t="e">
        <f>IF($L139&lt;&gt;0,DATE(YEAR($L139),MONTH($L139)-#REF!,DAY($L139)-$M139),"")</f>
        <v>#N/A</v>
      </c>
      <c r="O139" s="33" t="e">
        <f t="shared" ca="1" si="5"/>
        <v>#N/A</v>
      </c>
      <c r="P139" s="34" t="e">
        <f>I139/H139*VLOOKUP(F137,'[1]Membership Level'!$A$3:$C$15,3,FALSE)+K139</f>
        <v>#DIV/0!</v>
      </c>
      <c r="Q139" s="36"/>
    </row>
    <row r="140" spans="3:17" x14ac:dyDescent="0.25">
      <c r="C140" s="36"/>
      <c r="D140" s="36"/>
      <c r="E140" s="54"/>
      <c r="F140" s="36"/>
      <c r="G140" s="36"/>
      <c r="H140" s="30">
        <v>0</v>
      </c>
      <c r="I140" s="30">
        <v>0</v>
      </c>
      <c r="J140" s="31">
        <f t="shared" si="4"/>
        <v>0</v>
      </c>
      <c r="K140" s="43"/>
      <c r="L140" s="32" t="e">
        <f>DATE(YEAR(K140),MONTH(K140)+VLOOKUP($F138,'[1]Membership Level'!$A$3:$B$15,2,FALSE),DAY(K140))</f>
        <v>#N/A</v>
      </c>
      <c r="M140" s="36"/>
      <c r="N140" s="34" t="e">
        <f>IF($L140&lt;&gt;0,DATE(YEAR($L140),MONTH($L140)-#REF!,DAY($L140)-$M140),"")</f>
        <v>#N/A</v>
      </c>
      <c r="O140" s="33" t="e">
        <f t="shared" ca="1" si="5"/>
        <v>#N/A</v>
      </c>
      <c r="P140" s="34" t="e">
        <f>I140/H140*VLOOKUP(F138,'[1]Membership Level'!$A$3:$C$15,3,FALSE)+K140</f>
        <v>#DIV/0!</v>
      </c>
      <c r="Q140" s="36"/>
    </row>
    <row r="141" spans="3:17" x14ac:dyDescent="0.25">
      <c r="C141" s="36"/>
      <c r="D141" s="36"/>
      <c r="E141" s="54"/>
      <c r="F141" s="36"/>
      <c r="G141" s="36"/>
      <c r="H141" s="30">
        <v>0</v>
      </c>
      <c r="I141" s="30">
        <v>0</v>
      </c>
      <c r="J141" s="31">
        <f t="shared" si="4"/>
        <v>0</v>
      </c>
      <c r="K141" s="43"/>
      <c r="L141" s="32" t="e">
        <f>DATE(YEAR(K141),MONTH(K141)+VLOOKUP($F139,'[1]Membership Level'!$A$3:$B$15,2,FALSE),DAY(K141))</f>
        <v>#N/A</v>
      </c>
      <c r="M141" s="36"/>
      <c r="N141" s="34" t="e">
        <f>IF($L141&lt;&gt;0,DATE(YEAR($L141),MONTH($L141)-#REF!,DAY($L141)-$M141),"")</f>
        <v>#N/A</v>
      </c>
      <c r="O141" s="33" t="e">
        <f t="shared" ca="1" si="5"/>
        <v>#N/A</v>
      </c>
      <c r="P141" s="34" t="e">
        <f>I141/H141*VLOOKUP(F139,'[1]Membership Level'!$A$3:$C$15,3,FALSE)+K141</f>
        <v>#DIV/0!</v>
      </c>
      <c r="Q141" s="36"/>
    </row>
    <row r="142" spans="3:17" s="56" customFormat="1" x14ac:dyDescent="0.25">
      <c r="C142" s="36"/>
      <c r="D142" s="36"/>
      <c r="E142" s="54"/>
      <c r="F142" s="36"/>
      <c r="G142" s="36"/>
      <c r="H142" s="30">
        <v>0</v>
      </c>
      <c r="I142" s="30">
        <v>0</v>
      </c>
      <c r="J142" s="31">
        <f t="shared" si="4"/>
        <v>0</v>
      </c>
      <c r="K142" s="43"/>
      <c r="L142" s="32" t="e">
        <f>DATE(YEAR(K142),MONTH(K142)+VLOOKUP($F140,'[1]Membership Level'!$A$3:$B$15,2,FALSE),DAY(K142))</f>
        <v>#N/A</v>
      </c>
      <c r="M142" s="36"/>
      <c r="N142" s="34" t="e">
        <f>IF($L142&lt;&gt;0,DATE(YEAR($L142),MONTH($L142)-#REF!,DAY($L142)-$M142),"")</f>
        <v>#N/A</v>
      </c>
      <c r="O142" s="33" t="e">
        <f t="shared" ca="1" si="5"/>
        <v>#N/A</v>
      </c>
      <c r="P142" s="34" t="e">
        <f>I142/H142*VLOOKUP(F140,'[1]Membership Level'!$A$3:$C$15,3,FALSE)+K142</f>
        <v>#DIV/0!</v>
      </c>
      <c r="Q142" s="36"/>
    </row>
    <row r="143" spans="3:17" x14ac:dyDescent="0.25">
      <c r="C143" s="36"/>
      <c r="D143" s="36"/>
      <c r="E143" s="55"/>
      <c r="F143" s="36"/>
      <c r="G143" s="36"/>
      <c r="H143" s="30">
        <v>0</v>
      </c>
      <c r="I143" s="30">
        <v>0</v>
      </c>
      <c r="J143" s="31">
        <f t="shared" si="4"/>
        <v>0</v>
      </c>
      <c r="K143" s="43"/>
      <c r="L143" s="32" t="e">
        <f>DATE(YEAR(K143),MONTH(K143)+VLOOKUP($F141,'[1]Membership Level'!$A$3:$B$15,2,FALSE),DAY(K143))</f>
        <v>#N/A</v>
      </c>
      <c r="M143" s="36"/>
      <c r="N143" s="34" t="e">
        <f>IF($L143&lt;&gt;0,DATE(YEAR($L143),MONTH($L143)-#REF!,DAY($L143)-$M143),"")</f>
        <v>#N/A</v>
      </c>
      <c r="O143" s="33" t="e">
        <f t="shared" ca="1" si="5"/>
        <v>#N/A</v>
      </c>
      <c r="P143" s="34" t="e">
        <f>I143/H143*VLOOKUP(F141,'[1]Membership Level'!$A$3:$C$15,3,FALSE)+K143</f>
        <v>#DIV/0!</v>
      </c>
      <c r="Q143" s="36"/>
    </row>
    <row r="144" spans="3:17" x14ac:dyDescent="0.25">
      <c r="C144" s="36"/>
      <c r="D144" s="36"/>
      <c r="E144" s="54"/>
      <c r="F144" s="36"/>
      <c r="G144" s="36"/>
      <c r="H144" s="30">
        <v>0</v>
      </c>
      <c r="I144" s="30">
        <v>0</v>
      </c>
      <c r="J144" s="31">
        <f t="shared" si="4"/>
        <v>0</v>
      </c>
      <c r="K144" s="43"/>
      <c r="L144" s="32" t="e">
        <f>DATE(YEAR(K144),MONTH(K144)+VLOOKUP($F142,'[1]Membership Level'!$A$3:$B$15,2,FALSE),DAY(K144))</f>
        <v>#N/A</v>
      </c>
      <c r="M144" s="36"/>
      <c r="N144" s="34" t="e">
        <f>IF($L144&lt;&gt;0,DATE(YEAR($L144),MONTH($L144)-#REF!,DAY($L144)-$M144),"")</f>
        <v>#N/A</v>
      </c>
      <c r="O144" s="33" t="e">
        <f t="shared" ca="1" si="5"/>
        <v>#N/A</v>
      </c>
      <c r="P144" s="34" t="e">
        <f>I144/H144*VLOOKUP(F142,'[1]Membership Level'!$A$3:$C$15,3,FALSE)+K144</f>
        <v>#DIV/0!</v>
      </c>
      <c r="Q144" s="36"/>
    </row>
    <row r="145" spans="3:17" x14ac:dyDescent="0.25">
      <c r="C145" s="36"/>
      <c r="D145" s="36"/>
      <c r="E145" s="54"/>
      <c r="F145" s="36"/>
      <c r="G145" s="36"/>
      <c r="H145" s="30">
        <v>0</v>
      </c>
      <c r="I145" s="30">
        <v>0</v>
      </c>
      <c r="J145" s="31">
        <f t="shared" si="4"/>
        <v>0</v>
      </c>
      <c r="K145" s="43"/>
      <c r="L145" s="32" t="e">
        <f>DATE(YEAR(K145),MONTH(K145)+VLOOKUP($F143,'[1]Membership Level'!$A$3:$B$15,2,FALSE),DAY(K145))</f>
        <v>#N/A</v>
      </c>
      <c r="M145" s="36"/>
      <c r="N145" s="34" t="e">
        <f>IF($L145&lt;&gt;0,DATE(YEAR($L145),MONTH($L145)-#REF!,DAY($L145)-$M145),"")</f>
        <v>#N/A</v>
      </c>
      <c r="O145" s="33" t="e">
        <f t="shared" ca="1" si="5"/>
        <v>#N/A</v>
      </c>
      <c r="P145" s="34" t="e">
        <f>I145/H145*VLOOKUP(F143,'[1]Membership Level'!$A$3:$C$15,3,FALSE)+K145</f>
        <v>#DIV/0!</v>
      </c>
      <c r="Q145" s="36"/>
    </row>
    <row r="146" spans="3:17" x14ac:dyDescent="0.25">
      <c r="C146" s="36"/>
      <c r="D146" s="36"/>
      <c r="E146" s="54"/>
      <c r="F146" s="36"/>
      <c r="G146" s="36"/>
      <c r="H146" s="30">
        <v>0</v>
      </c>
      <c r="I146" s="30">
        <v>0</v>
      </c>
      <c r="J146" s="31">
        <f t="shared" si="4"/>
        <v>0</v>
      </c>
      <c r="K146" s="43"/>
      <c r="L146" s="32" t="e">
        <f>DATE(YEAR(K146),MONTH(K146)+VLOOKUP($F144,'[1]Membership Level'!$A$3:$B$15,2,FALSE),DAY(K146))</f>
        <v>#N/A</v>
      </c>
      <c r="M146" s="36"/>
      <c r="N146" s="34" t="e">
        <f>IF($L146&lt;&gt;0,DATE(YEAR($L146),MONTH($L146)-#REF!,DAY($L146)-$M146),"")</f>
        <v>#N/A</v>
      </c>
      <c r="O146" s="33" t="e">
        <f t="shared" ca="1" si="5"/>
        <v>#N/A</v>
      </c>
      <c r="P146" s="34" t="e">
        <f>I146/H146*VLOOKUP(F144,'[1]Membership Level'!$A$3:$C$15,3,FALSE)+K146</f>
        <v>#DIV/0!</v>
      </c>
      <c r="Q146" s="36"/>
    </row>
    <row r="147" spans="3:17" x14ac:dyDescent="0.25">
      <c r="C147" s="36"/>
      <c r="D147" s="36"/>
      <c r="E147" s="54"/>
      <c r="F147" s="36"/>
      <c r="G147" s="36"/>
      <c r="H147" s="30">
        <v>0</v>
      </c>
      <c r="I147" s="30">
        <v>0</v>
      </c>
      <c r="J147" s="31"/>
      <c r="K147" s="43"/>
      <c r="L147" s="32" t="e">
        <f>DATE(YEAR(K147),MONTH(K147)+VLOOKUP($F145,'[1]Membership Level'!$A$3:$B$15,2,FALSE),DAY(K147))</f>
        <v>#N/A</v>
      </c>
      <c r="M147" s="36"/>
      <c r="N147" s="34" t="e">
        <f>IF($L147&lt;&gt;0,DATE(YEAR($L147),MONTH($L147)-#REF!,DAY($L147)-$M147),"")</f>
        <v>#N/A</v>
      </c>
      <c r="O147" s="33" t="e">
        <f t="shared" ca="1" si="5"/>
        <v>#N/A</v>
      </c>
      <c r="P147" s="34" t="e">
        <f>I147/H147*VLOOKUP(F145,'[1]Membership Level'!$A$3:$C$15,3,FALSE)+K147</f>
        <v>#DIV/0!</v>
      </c>
      <c r="Q147" s="36"/>
    </row>
    <row r="148" spans="3:17" x14ac:dyDescent="0.25">
      <c r="C148" s="36"/>
      <c r="D148" s="36"/>
      <c r="E148" s="54"/>
      <c r="F148" s="36"/>
      <c r="G148" s="36"/>
      <c r="H148" s="30">
        <v>0</v>
      </c>
      <c r="I148" s="30">
        <v>0</v>
      </c>
      <c r="J148" s="31"/>
      <c r="K148" s="43"/>
      <c r="L148" s="32" t="e">
        <f>DATE(YEAR(K148),MONTH(K148)+VLOOKUP($F146,'[1]Membership Level'!$A$3:$B$15,2,FALSE),DAY(K148))</f>
        <v>#N/A</v>
      </c>
      <c r="M148" s="36"/>
      <c r="N148" s="34" t="e">
        <f>IF($L148&lt;&gt;0,DATE(YEAR($L148),MONTH($L148)-#REF!,DAY($L148)-$M148),"")</f>
        <v>#N/A</v>
      </c>
      <c r="O148" s="33" t="e">
        <f t="shared" ca="1" si="5"/>
        <v>#N/A</v>
      </c>
      <c r="P148" s="34" t="e">
        <f>I148/H148*VLOOKUP(F146,'[1]Membership Level'!$A$3:$C$15,3,FALSE)+K148</f>
        <v>#DIV/0!</v>
      </c>
      <c r="Q148" s="36"/>
    </row>
    <row r="149" spans="3:17" x14ac:dyDescent="0.25">
      <c r="C149" s="36"/>
      <c r="D149" s="36"/>
      <c r="E149" s="54"/>
      <c r="F149" s="36"/>
      <c r="G149" s="36"/>
      <c r="H149" s="30">
        <v>0</v>
      </c>
      <c r="I149" s="30">
        <v>0</v>
      </c>
      <c r="J149" s="31"/>
      <c r="K149" s="43"/>
      <c r="L149" s="32" t="e">
        <f>DATE(YEAR(K149),MONTH(K149)+VLOOKUP($F147,'[1]Membership Level'!$A$3:$B$15,2,FALSE),DAY(K149))</f>
        <v>#N/A</v>
      </c>
      <c r="M149" s="36"/>
      <c r="N149" s="34" t="e">
        <f>IF($L149&lt;&gt;0,DATE(YEAR($L149),MONTH($L149)-#REF!,DAY($L149)-$M149),"")</f>
        <v>#N/A</v>
      </c>
      <c r="O149" s="33" t="e">
        <f t="shared" ca="1" si="5"/>
        <v>#N/A</v>
      </c>
      <c r="P149" s="34" t="e">
        <f>I149/H149*VLOOKUP(F147,'[1]Membership Level'!$A$3:$C$15,3,FALSE)+K149</f>
        <v>#DIV/0!</v>
      </c>
      <c r="Q149" s="36"/>
    </row>
    <row r="150" spans="3:17" x14ac:dyDescent="0.25">
      <c r="C150" s="36"/>
      <c r="D150" s="36"/>
      <c r="E150" s="54"/>
      <c r="F150" s="36"/>
      <c r="G150" s="36"/>
      <c r="H150" s="30">
        <v>0</v>
      </c>
      <c r="I150" s="30">
        <v>0</v>
      </c>
      <c r="J150" s="31"/>
      <c r="K150" s="43"/>
      <c r="L150" s="32" t="e">
        <f>DATE(YEAR(K150),MONTH(K150)+VLOOKUP($F148,'[1]Membership Level'!$A$3:$B$15,2,FALSE),DAY(K150))</f>
        <v>#N/A</v>
      </c>
      <c r="M150" s="36"/>
      <c r="N150" s="34" t="e">
        <f>IF($L150&lt;&gt;0,DATE(YEAR($L150),MONTH($L150)-#REF!,DAY($L150)-$M150),"")</f>
        <v>#N/A</v>
      </c>
      <c r="O150" s="33" t="e">
        <f t="shared" ca="1" si="5"/>
        <v>#N/A</v>
      </c>
      <c r="P150" s="34" t="e">
        <f>I150/H150*VLOOKUP(F148,'[1]Membership Level'!$A$3:$C$15,3,FALSE)+K150</f>
        <v>#DIV/0!</v>
      </c>
      <c r="Q150" s="36"/>
    </row>
    <row r="151" spans="3:17" x14ac:dyDescent="0.25">
      <c r="C151" s="36"/>
      <c r="D151" s="36"/>
      <c r="E151" s="54"/>
      <c r="F151" s="36"/>
      <c r="G151" s="36"/>
      <c r="H151" s="30">
        <v>0</v>
      </c>
      <c r="I151" s="30">
        <v>0</v>
      </c>
      <c r="J151" s="31"/>
      <c r="K151" s="43"/>
      <c r="L151" s="32" t="e">
        <f>DATE(YEAR(K151),MONTH(K151)+VLOOKUP($F149,'[1]Membership Level'!$A$3:$B$15,2,FALSE),DAY(K151))</f>
        <v>#N/A</v>
      </c>
      <c r="M151" s="36"/>
      <c r="N151" s="34" t="e">
        <f>IF($L151&lt;&gt;0,DATE(YEAR($L151),MONTH($L151)-#REF!,DAY($L151)-$M151),"")</f>
        <v>#N/A</v>
      </c>
      <c r="O151" s="33" t="e">
        <f t="shared" ca="1" si="5"/>
        <v>#N/A</v>
      </c>
      <c r="P151" s="34" t="e">
        <f>I151/H151*VLOOKUP(F149,'[1]Membership Level'!$A$3:$C$15,3,FALSE)+K151</f>
        <v>#DIV/0!</v>
      </c>
      <c r="Q151" s="36"/>
    </row>
    <row r="152" spans="3:17" x14ac:dyDescent="0.25">
      <c r="C152" s="36"/>
      <c r="D152" s="36"/>
      <c r="E152" s="54"/>
      <c r="F152" s="36"/>
      <c r="G152" s="36"/>
      <c r="H152" s="30">
        <v>0</v>
      </c>
      <c r="I152" s="30">
        <v>0</v>
      </c>
      <c r="J152" s="31"/>
      <c r="K152" s="43"/>
      <c r="L152" s="32" t="e">
        <f>DATE(YEAR(K152),MONTH(K152)+VLOOKUP($F150,'[1]Membership Level'!$A$3:$B$15,2,FALSE),DAY(K152))</f>
        <v>#N/A</v>
      </c>
      <c r="M152" s="36"/>
      <c r="N152" s="34" t="e">
        <f>IF($L152&lt;&gt;0,DATE(YEAR($L152),MONTH($L152)-#REF!,DAY($L152)-$M152),"")</f>
        <v>#N/A</v>
      </c>
      <c r="O152" s="33" t="e">
        <f t="shared" ca="1" si="5"/>
        <v>#N/A</v>
      </c>
      <c r="P152" s="34" t="e">
        <f>I152/H152*VLOOKUP(F150,'[1]Membership Level'!$A$3:$C$15,3,FALSE)+K152</f>
        <v>#DIV/0!</v>
      </c>
      <c r="Q152" s="36"/>
    </row>
    <row r="153" spans="3:17" x14ac:dyDescent="0.25">
      <c r="C153" s="36"/>
      <c r="D153" s="36"/>
      <c r="E153" s="54"/>
      <c r="F153" s="36"/>
      <c r="G153" s="36"/>
      <c r="H153" s="30">
        <v>0</v>
      </c>
      <c r="I153" s="30">
        <v>0</v>
      </c>
      <c r="J153" s="31"/>
      <c r="K153" s="43"/>
      <c r="L153" s="32" t="e">
        <f>DATE(YEAR(K153),MONTH(K153)+VLOOKUP($F151,'[1]Membership Level'!$A$3:$B$15,2,FALSE),DAY(K153))</f>
        <v>#N/A</v>
      </c>
      <c r="M153" s="36"/>
      <c r="N153" s="34" t="e">
        <f>IF($L153&lt;&gt;0,DATE(YEAR($L153),MONTH($L153)-#REF!,DAY($L153)-$M153),"")</f>
        <v>#N/A</v>
      </c>
      <c r="O153" s="33" t="e">
        <f t="shared" ca="1" si="5"/>
        <v>#N/A</v>
      </c>
      <c r="P153" s="34" t="e">
        <f>I153/H153*VLOOKUP(F151,'[1]Membership Level'!$A$3:$C$15,3,FALSE)+K153</f>
        <v>#DIV/0!</v>
      </c>
      <c r="Q153" s="36"/>
    </row>
    <row r="154" spans="3:17" x14ac:dyDescent="0.25">
      <c r="C154" s="36"/>
      <c r="D154" s="36"/>
      <c r="E154" s="54"/>
      <c r="F154" s="36"/>
      <c r="G154" s="36"/>
      <c r="H154" s="30">
        <v>0</v>
      </c>
      <c r="I154" s="30">
        <v>0</v>
      </c>
      <c r="J154" s="31"/>
      <c r="K154" s="43"/>
      <c r="L154" s="32" t="e">
        <f>DATE(YEAR(K154),MONTH(K154)+VLOOKUP($F152,'[1]Membership Level'!$A$3:$B$15,2,FALSE),DAY(K154))</f>
        <v>#N/A</v>
      </c>
      <c r="M154" s="36"/>
      <c r="N154" s="34" t="e">
        <f>IF($L154&lt;&gt;0,DATE(YEAR($L154),MONTH($L154)-#REF!,DAY($L154)-$M154),"")</f>
        <v>#N/A</v>
      </c>
      <c r="O154" s="33" t="e">
        <f t="shared" ca="1" si="5"/>
        <v>#N/A</v>
      </c>
      <c r="P154" s="34" t="e">
        <f>I154/H154*VLOOKUP(F152,'[1]Membership Level'!$A$3:$C$15,3,FALSE)+K154</f>
        <v>#DIV/0!</v>
      </c>
      <c r="Q154" s="36"/>
    </row>
    <row r="155" spans="3:17" x14ac:dyDescent="0.25">
      <c r="C155" s="36"/>
      <c r="D155" s="36"/>
      <c r="E155" s="54"/>
      <c r="F155" s="36"/>
      <c r="G155" s="36"/>
      <c r="H155" s="30">
        <v>0</v>
      </c>
      <c r="I155" s="30">
        <v>0</v>
      </c>
      <c r="J155" s="31"/>
      <c r="K155" s="43"/>
      <c r="L155" s="32" t="e">
        <f>DATE(YEAR(K155),MONTH(K155)+VLOOKUP($F153,'[1]Membership Level'!$A$3:$B$15,2,FALSE),DAY(K155))</f>
        <v>#N/A</v>
      </c>
      <c r="M155" s="36"/>
      <c r="N155" s="34" t="e">
        <f>IF($L155&lt;&gt;0,DATE(YEAR($L155),MONTH($L155)-#REF!,DAY($L155)-$M155),"")</f>
        <v>#N/A</v>
      </c>
      <c r="O155" s="33" t="e">
        <f t="shared" ca="1" si="5"/>
        <v>#N/A</v>
      </c>
      <c r="P155" s="34" t="e">
        <f>I155/H155*VLOOKUP(F153,'[1]Membership Level'!$A$3:$C$15,3,FALSE)+K155</f>
        <v>#DIV/0!</v>
      </c>
      <c r="Q155" s="36"/>
    </row>
    <row r="156" spans="3:17" x14ac:dyDescent="0.25">
      <c r="C156" s="36"/>
      <c r="D156" s="36"/>
      <c r="E156" s="54"/>
      <c r="F156" s="36"/>
      <c r="G156" s="36"/>
      <c r="H156" s="30">
        <v>0</v>
      </c>
      <c r="I156" s="30">
        <v>0</v>
      </c>
      <c r="J156" s="31"/>
      <c r="K156" s="43"/>
      <c r="L156" s="32" t="e">
        <f>DATE(YEAR(K156),MONTH(K156)+VLOOKUP($F154,'[1]Membership Level'!$A$3:$B$15,2,FALSE),DAY(K156))</f>
        <v>#N/A</v>
      </c>
      <c r="M156" s="36"/>
      <c r="N156" s="34" t="e">
        <f>IF($L156&lt;&gt;0,DATE(YEAR($L156),MONTH($L156)-#REF!,DAY($L156)-$M156),"")</f>
        <v>#N/A</v>
      </c>
      <c r="O156" s="33" t="e">
        <f t="shared" ca="1" si="5"/>
        <v>#N/A</v>
      </c>
      <c r="P156" s="34" t="e">
        <f>I156/H156*VLOOKUP(F154,'[1]Membership Level'!$A$3:$C$15,3,FALSE)+K156</f>
        <v>#DIV/0!</v>
      </c>
      <c r="Q156" s="36"/>
    </row>
    <row r="157" spans="3:17" x14ac:dyDescent="0.25">
      <c r="C157" s="36"/>
      <c r="D157" s="36"/>
      <c r="E157" s="54"/>
      <c r="F157" s="36"/>
      <c r="G157" s="36"/>
      <c r="H157" s="30">
        <v>0</v>
      </c>
      <c r="I157" s="30">
        <v>0</v>
      </c>
      <c r="J157" s="31"/>
      <c r="K157" s="43"/>
      <c r="L157" s="32" t="e">
        <f>DATE(YEAR(K157),MONTH(K157)+VLOOKUP($F155,'[1]Membership Level'!$A$3:$B$15,2,FALSE),DAY(K157))</f>
        <v>#N/A</v>
      </c>
      <c r="M157" s="36"/>
      <c r="N157" s="34" t="e">
        <f>IF($L157&lt;&gt;0,DATE(YEAR($L157),MONTH($L157)-#REF!,DAY($L157)-$M157),"")</f>
        <v>#N/A</v>
      </c>
      <c r="O157" s="33" t="e">
        <f t="shared" ca="1" si="5"/>
        <v>#N/A</v>
      </c>
      <c r="P157" s="34" t="e">
        <f>I157/H157*VLOOKUP(F155,'[1]Membership Level'!$A$3:$C$15,3,FALSE)+K157</f>
        <v>#DIV/0!</v>
      </c>
      <c r="Q157" s="36"/>
    </row>
    <row r="158" spans="3:17" x14ac:dyDescent="0.25">
      <c r="C158" s="36"/>
      <c r="D158" s="36"/>
      <c r="E158" s="54"/>
      <c r="F158" s="36"/>
      <c r="G158" s="36"/>
      <c r="H158" s="30">
        <v>0</v>
      </c>
      <c r="I158" s="30">
        <v>0</v>
      </c>
      <c r="J158" s="31"/>
      <c r="K158" s="43"/>
      <c r="L158" s="32" t="e">
        <f>DATE(YEAR(K158),MONTH(K158)+VLOOKUP($F156,'[1]Membership Level'!$A$3:$B$15,2,FALSE),DAY(K158))</f>
        <v>#N/A</v>
      </c>
      <c r="M158" s="36"/>
      <c r="N158" s="34" t="e">
        <f>IF($L158&lt;&gt;0,DATE(YEAR($L158),MONTH($L158)-#REF!,DAY($L158)-$M158),"")</f>
        <v>#N/A</v>
      </c>
      <c r="O158" s="33" t="e">
        <f t="shared" ca="1" si="5"/>
        <v>#N/A</v>
      </c>
      <c r="P158" s="34" t="e">
        <f>I158/H158*VLOOKUP(F156,'[1]Membership Level'!$A$3:$C$15,3,FALSE)+K158</f>
        <v>#DIV/0!</v>
      </c>
      <c r="Q158" s="36"/>
    </row>
    <row r="159" spans="3:17" x14ac:dyDescent="0.25">
      <c r="C159" s="36"/>
      <c r="D159" s="36"/>
      <c r="E159" s="55"/>
      <c r="F159" s="36"/>
      <c r="G159" s="36"/>
      <c r="H159" s="30">
        <v>0</v>
      </c>
      <c r="I159" s="30">
        <v>0</v>
      </c>
      <c r="J159" s="31"/>
      <c r="K159" s="43"/>
      <c r="L159" s="32" t="e">
        <f>DATE(YEAR(K159),MONTH(K159)+VLOOKUP($F157,'[1]Membership Level'!$A$3:$B$15,2,FALSE),DAY(K159))</f>
        <v>#N/A</v>
      </c>
      <c r="M159" s="36"/>
      <c r="N159" s="34" t="e">
        <f>IF($L159&lt;&gt;0,DATE(YEAR($L159),MONTH($L159)-#REF!,DAY($L159)-$M159),"")</f>
        <v>#N/A</v>
      </c>
      <c r="O159" s="33" t="e">
        <f t="shared" ca="1" si="5"/>
        <v>#N/A</v>
      </c>
      <c r="P159" s="34" t="e">
        <f>I159/H159*VLOOKUP(F157,'[1]Membership Level'!$A$3:$C$15,3,FALSE)+K159</f>
        <v>#DIV/0!</v>
      </c>
      <c r="Q159" s="36"/>
    </row>
    <row r="160" spans="3:17" x14ac:dyDescent="0.25">
      <c r="C160" s="36"/>
      <c r="D160" s="36"/>
      <c r="E160" s="54"/>
      <c r="F160" s="36"/>
      <c r="G160" s="36"/>
      <c r="H160" s="30">
        <v>0</v>
      </c>
      <c r="I160" s="30">
        <v>0</v>
      </c>
      <c r="J160" s="31"/>
      <c r="K160" s="43"/>
      <c r="L160" s="32" t="e">
        <f>DATE(YEAR(K160),MONTH(K160)+VLOOKUP($F158,'[1]Membership Level'!$A$3:$B$15,2,FALSE),DAY(K160))</f>
        <v>#N/A</v>
      </c>
      <c r="M160" s="36"/>
      <c r="N160" s="34" t="e">
        <f>IF($L160&lt;&gt;0,DATE(YEAR($L160),MONTH($L160)-#REF!,DAY($L160)-$M160),"")</f>
        <v>#N/A</v>
      </c>
      <c r="O160" s="33" t="e">
        <f t="shared" ca="1" si="5"/>
        <v>#N/A</v>
      </c>
      <c r="P160" s="34" t="e">
        <f>I160/H160*VLOOKUP(F158,'[1]Membership Level'!$A$3:$C$15,3,FALSE)+K160</f>
        <v>#DIV/0!</v>
      </c>
      <c r="Q160" s="36"/>
    </row>
    <row r="161" spans="3:17" x14ac:dyDescent="0.25">
      <c r="C161" s="36"/>
      <c r="D161" s="36"/>
      <c r="E161" s="54"/>
      <c r="F161" s="36"/>
      <c r="G161" s="36"/>
      <c r="H161" s="30">
        <v>0</v>
      </c>
      <c r="I161" s="30">
        <v>0</v>
      </c>
      <c r="J161" s="31"/>
      <c r="K161" s="43"/>
      <c r="L161" s="32" t="e">
        <f>DATE(YEAR(K161),MONTH(K161)+VLOOKUP($F159,'[1]Membership Level'!$A$3:$B$15,2,FALSE),DAY(K161))</f>
        <v>#N/A</v>
      </c>
      <c r="M161" s="36"/>
      <c r="N161" s="34" t="e">
        <f>IF($L161&lt;&gt;0,DATE(YEAR($L161),MONTH($L161)-#REF!,DAY($L161)-$M161),"")</f>
        <v>#N/A</v>
      </c>
      <c r="O161" s="33" t="e">
        <f t="shared" ca="1" si="5"/>
        <v>#N/A</v>
      </c>
      <c r="P161" s="34" t="e">
        <f>I161/H161*VLOOKUP(F159,'[1]Membership Level'!$A$3:$C$15,3,FALSE)+K161</f>
        <v>#DIV/0!</v>
      </c>
      <c r="Q161" s="36"/>
    </row>
    <row r="162" spans="3:17" x14ac:dyDescent="0.25">
      <c r="C162" s="36"/>
      <c r="D162" s="36"/>
      <c r="E162" s="54"/>
      <c r="F162" s="36"/>
      <c r="G162" s="36"/>
      <c r="H162" s="30">
        <v>0</v>
      </c>
      <c r="I162" s="30">
        <v>0</v>
      </c>
      <c r="J162" s="31"/>
      <c r="K162" s="43"/>
      <c r="L162" s="32" t="e">
        <f>DATE(YEAR(K162),MONTH(K162)+VLOOKUP($F160,'[1]Membership Level'!$A$3:$B$15,2,FALSE),DAY(K162))</f>
        <v>#N/A</v>
      </c>
      <c r="M162" s="36"/>
      <c r="N162" s="34" t="e">
        <f>IF($L162&lt;&gt;0,DATE(YEAR($L162),MONTH($L162)-#REF!,DAY($L162)-$M162),"")</f>
        <v>#N/A</v>
      </c>
      <c r="O162" s="33" t="e">
        <f t="shared" ca="1" si="5"/>
        <v>#N/A</v>
      </c>
      <c r="P162" s="34" t="e">
        <f>I162/H162*VLOOKUP(F160,'[1]Membership Level'!$A$3:$C$15,3,FALSE)+K162</f>
        <v>#DIV/0!</v>
      </c>
      <c r="Q162" s="36"/>
    </row>
    <row r="163" spans="3:17" x14ac:dyDescent="0.25">
      <c r="C163" s="36"/>
      <c r="D163" s="36"/>
      <c r="E163" s="54"/>
      <c r="F163" s="36"/>
      <c r="G163" s="36"/>
      <c r="H163" s="30">
        <v>0</v>
      </c>
      <c r="I163" s="30">
        <v>0</v>
      </c>
      <c r="J163" s="31"/>
      <c r="K163" s="43"/>
      <c r="L163" s="32" t="e">
        <f>DATE(YEAR(K163),MONTH(K163)+VLOOKUP($F161,'[1]Membership Level'!$A$3:$B$15,2,FALSE),DAY(K163))</f>
        <v>#N/A</v>
      </c>
      <c r="M163" s="36"/>
      <c r="N163" s="34" t="e">
        <f>IF($L163&lt;&gt;0,DATE(YEAR($L163),MONTH($L163)-#REF!,DAY($L163)-$M163),"")</f>
        <v>#N/A</v>
      </c>
      <c r="O163" s="33" t="e">
        <f t="shared" ca="1" si="5"/>
        <v>#N/A</v>
      </c>
      <c r="P163" s="34" t="e">
        <f>I163/H163*VLOOKUP(F161,'[1]Membership Level'!$A$3:$C$15,3,FALSE)+K163</f>
        <v>#DIV/0!</v>
      </c>
      <c r="Q163" s="36"/>
    </row>
    <row r="164" spans="3:17" x14ac:dyDescent="0.25">
      <c r="C164" s="36"/>
      <c r="D164" s="36"/>
      <c r="E164" s="54"/>
      <c r="F164" s="36"/>
      <c r="G164" s="36"/>
      <c r="H164" s="30">
        <v>0</v>
      </c>
      <c r="I164" s="30">
        <v>0</v>
      </c>
      <c r="J164" s="31"/>
      <c r="K164" s="43"/>
      <c r="L164" s="32" t="e">
        <f>DATE(YEAR(K164),MONTH(K164)+VLOOKUP($F162,'[1]Membership Level'!$A$3:$B$15,2,FALSE),DAY(K164))</f>
        <v>#N/A</v>
      </c>
      <c r="M164" s="36"/>
      <c r="N164" s="34" t="e">
        <f>IF($L164&lt;&gt;0,DATE(YEAR($L164),MONTH($L164)-#REF!,DAY($L164)-$M164),"")</f>
        <v>#N/A</v>
      </c>
      <c r="O164" s="33" t="e">
        <f t="shared" ca="1" si="5"/>
        <v>#N/A</v>
      </c>
      <c r="P164" s="34" t="e">
        <f>I164/H164*VLOOKUP(F162,'[1]Membership Level'!$A$3:$C$15,3,FALSE)+K164</f>
        <v>#DIV/0!</v>
      </c>
      <c r="Q164" s="36"/>
    </row>
    <row r="165" spans="3:17" x14ac:dyDescent="0.25">
      <c r="C165" s="36"/>
      <c r="D165" s="36"/>
      <c r="E165" s="54"/>
      <c r="F165" s="36"/>
      <c r="G165" s="36"/>
      <c r="H165" s="30">
        <v>0</v>
      </c>
      <c r="I165" s="30">
        <v>0</v>
      </c>
      <c r="J165" s="31"/>
      <c r="K165" s="43"/>
      <c r="L165" s="32" t="e">
        <f>DATE(YEAR(K165),MONTH(K165)+VLOOKUP($F163,'[1]Membership Level'!$A$3:$B$15,2,FALSE),DAY(K165))</f>
        <v>#N/A</v>
      </c>
      <c r="M165" s="36"/>
      <c r="N165" s="34" t="e">
        <f>IF($L165&lt;&gt;0,DATE(YEAR($L165),MONTH($L165)-#REF!,DAY($L165)-$M165),"")</f>
        <v>#N/A</v>
      </c>
      <c r="O165" s="33" t="e">
        <f t="shared" ca="1" si="5"/>
        <v>#N/A</v>
      </c>
      <c r="P165" s="34" t="e">
        <f>I165/H165*VLOOKUP(F163,'[1]Membership Level'!$A$3:$C$15,3,FALSE)+K165</f>
        <v>#DIV/0!</v>
      </c>
      <c r="Q165" s="36"/>
    </row>
    <row r="166" spans="3:17" x14ac:dyDescent="0.25">
      <c r="C166" s="36"/>
      <c r="D166" s="36"/>
      <c r="E166" s="54"/>
      <c r="F166" s="36"/>
      <c r="G166" s="36"/>
      <c r="H166" s="30">
        <v>0</v>
      </c>
      <c r="I166" s="30">
        <v>0</v>
      </c>
      <c r="J166" s="31"/>
      <c r="K166" s="43"/>
      <c r="L166" s="32" t="e">
        <f>DATE(YEAR(K166),MONTH(K166)+VLOOKUP($F164,'[1]Membership Level'!$A$3:$B$15,2,FALSE),DAY(K166))</f>
        <v>#N/A</v>
      </c>
      <c r="M166" s="36"/>
      <c r="N166" s="34" t="e">
        <f>IF($L166&lt;&gt;0,DATE(YEAR($L166),MONTH($L166)-#REF!,DAY($L166)-$M166),"")</f>
        <v>#N/A</v>
      </c>
      <c r="O166" s="33" t="e">
        <f t="shared" ca="1" si="5"/>
        <v>#N/A</v>
      </c>
      <c r="P166" s="34" t="e">
        <f>I166/H166*VLOOKUP(F164,'[1]Membership Level'!$A$3:$C$15,3,FALSE)+K166</f>
        <v>#DIV/0!</v>
      </c>
      <c r="Q166" s="36"/>
    </row>
    <row r="167" spans="3:17" x14ac:dyDescent="0.25">
      <c r="C167" s="36"/>
      <c r="D167" s="36"/>
      <c r="E167" s="54"/>
      <c r="F167" s="36"/>
      <c r="G167" s="36"/>
      <c r="H167" s="30">
        <v>0</v>
      </c>
      <c r="I167" s="30">
        <v>0</v>
      </c>
      <c r="J167" s="31"/>
      <c r="K167" s="43"/>
      <c r="L167" s="32" t="e">
        <f>DATE(YEAR(K167),MONTH(K167)+VLOOKUP($F165,'[1]Membership Level'!$A$3:$B$15,2,FALSE),DAY(K167))</f>
        <v>#N/A</v>
      </c>
      <c r="M167" s="36"/>
      <c r="N167" s="34" t="e">
        <f>IF($L167&lt;&gt;0,DATE(YEAR($L167),MONTH($L167)-#REF!,DAY($L167)-$M167),"")</f>
        <v>#N/A</v>
      </c>
      <c r="O167" s="33" t="e">
        <f t="shared" ca="1" si="5"/>
        <v>#N/A</v>
      </c>
      <c r="P167" s="34" t="e">
        <f>I167/H167*VLOOKUP(F165,'[1]Membership Level'!$A$3:$C$15,3,FALSE)+K167</f>
        <v>#DIV/0!</v>
      </c>
      <c r="Q167" s="36"/>
    </row>
    <row r="168" spans="3:17" x14ac:dyDescent="0.25">
      <c r="C168" s="36"/>
      <c r="D168" s="36"/>
      <c r="E168" s="54"/>
      <c r="F168" s="36"/>
      <c r="G168" s="36"/>
      <c r="H168" s="30">
        <v>0</v>
      </c>
      <c r="I168" s="30">
        <v>0</v>
      </c>
      <c r="J168" s="31"/>
      <c r="K168" s="43"/>
      <c r="L168" s="32" t="e">
        <f>DATE(YEAR(K168),MONTH(K168)+VLOOKUP($F166,'[1]Membership Level'!$A$3:$B$15,2,FALSE),DAY(K168))</f>
        <v>#N/A</v>
      </c>
      <c r="M168" s="36"/>
      <c r="N168" s="34" t="e">
        <f>IF($L168&lt;&gt;0,DATE(YEAR($L168),MONTH($L168)-#REF!,DAY($L168)-$M168),"")</f>
        <v>#N/A</v>
      </c>
      <c r="O168" s="33" t="e">
        <f t="shared" ca="1" si="5"/>
        <v>#N/A</v>
      </c>
      <c r="P168" s="34" t="e">
        <f>I168/H168*VLOOKUP(F166,'[1]Membership Level'!$A$3:$C$15,3,FALSE)+K168</f>
        <v>#DIV/0!</v>
      </c>
      <c r="Q168" s="36"/>
    </row>
    <row r="169" spans="3:17" x14ac:dyDescent="0.25">
      <c r="C169" s="36"/>
      <c r="D169" s="36"/>
      <c r="E169" s="54"/>
      <c r="F169" s="36"/>
      <c r="G169" s="36"/>
      <c r="H169" s="30">
        <v>0</v>
      </c>
      <c r="I169" s="30">
        <v>0</v>
      </c>
      <c r="J169" s="31"/>
      <c r="K169" s="43"/>
      <c r="L169" s="32" t="e">
        <f>DATE(YEAR(K169),MONTH(K169)+VLOOKUP($F167,'[1]Membership Level'!$A$3:$B$15,2,FALSE),DAY(K169))</f>
        <v>#N/A</v>
      </c>
      <c r="M169" s="36"/>
      <c r="N169" s="34" t="e">
        <f>IF($L169&lt;&gt;0,DATE(YEAR($L169),MONTH($L169)-#REF!,DAY($L169)-$M169),"")</f>
        <v>#N/A</v>
      </c>
      <c r="O169" s="33" t="e">
        <f t="shared" ca="1" si="5"/>
        <v>#N/A</v>
      </c>
      <c r="P169" s="34" t="e">
        <f>I169/H169*VLOOKUP(F167,'[1]Membership Level'!$A$3:$C$15,3,FALSE)+K169</f>
        <v>#DIV/0!</v>
      </c>
      <c r="Q169" s="36"/>
    </row>
    <row r="170" spans="3:17" x14ac:dyDescent="0.25">
      <c r="C170" s="36"/>
      <c r="D170" s="36"/>
      <c r="E170" s="54"/>
      <c r="F170" s="36"/>
      <c r="G170" s="36"/>
      <c r="H170" s="30">
        <v>0</v>
      </c>
      <c r="I170" s="30">
        <v>0</v>
      </c>
      <c r="J170" s="31"/>
      <c r="K170" s="43"/>
      <c r="L170" s="32" t="e">
        <f>DATE(YEAR(K170),MONTH(K170)+VLOOKUP($F168,'[1]Membership Level'!$A$3:$B$15,2,FALSE),DAY(K170))</f>
        <v>#N/A</v>
      </c>
      <c r="M170" s="36"/>
      <c r="N170" s="34" t="e">
        <f>IF($L170&lt;&gt;0,DATE(YEAR($L170),MONTH($L170)-#REF!,DAY($L170)-$M170),"")</f>
        <v>#N/A</v>
      </c>
      <c r="O170" s="33" t="e">
        <f t="shared" ca="1" si="5"/>
        <v>#N/A</v>
      </c>
      <c r="P170" s="34" t="e">
        <f>I170/H170*VLOOKUP(F168,'[1]Membership Level'!$A$3:$C$15,3,FALSE)+K170</f>
        <v>#DIV/0!</v>
      </c>
      <c r="Q170" s="36"/>
    </row>
    <row r="171" spans="3:17" x14ac:dyDescent="0.25">
      <c r="C171" s="36"/>
      <c r="D171" s="36"/>
      <c r="E171" s="54"/>
      <c r="F171" s="36"/>
      <c r="G171" s="36"/>
      <c r="H171" s="30">
        <v>0</v>
      </c>
      <c r="I171" s="30">
        <v>0</v>
      </c>
      <c r="J171" s="31"/>
      <c r="K171" s="43"/>
      <c r="L171" s="32" t="e">
        <f>DATE(YEAR(K171),MONTH(K171)+VLOOKUP($F169,'[1]Membership Level'!$A$3:$B$15,2,FALSE),DAY(K171))</f>
        <v>#N/A</v>
      </c>
      <c r="M171" s="36"/>
      <c r="N171" s="34" t="e">
        <f>IF($L171&lt;&gt;0,DATE(YEAR($L171),MONTH($L171)-#REF!,DAY($L171)-$M171),"")</f>
        <v>#N/A</v>
      </c>
      <c r="O171" s="33" t="e">
        <f t="shared" ca="1" si="5"/>
        <v>#N/A</v>
      </c>
      <c r="P171" s="34" t="e">
        <f>I171/H171*VLOOKUP(F169,'[1]Membership Level'!$A$3:$C$15,3,FALSE)+K171</f>
        <v>#DIV/0!</v>
      </c>
      <c r="Q171" s="36"/>
    </row>
    <row r="172" spans="3:17" x14ac:dyDescent="0.25">
      <c r="C172" s="36"/>
      <c r="D172" s="36"/>
      <c r="E172" s="54"/>
      <c r="F172" s="33"/>
      <c r="G172" s="36"/>
      <c r="H172" s="30">
        <v>0</v>
      </c>
      <c r="I172" s="30">
        <v>0</v>
      </c>
      <c r="J172" s="31"/>
      <c r="K172" s="43"/>
      <c r="L172" s="32" t="e">
        <f>DATE(YEAR(K172),MONTH(K172)+VLOOKUP($F170,'[1]Membership Level'!$A$3:$B$15,2,FALSE),DAY(K172))</f>
        <v>#N/A</v>
      </c>
      <c r="M172" s="36"/>
      <c r="N172" s="34" t="e">
        <f>IF($L172&lt;&gt;0,DATE(YEAR($L172),MONTH($L172)-#REF!,DAY($L172)-$M172),"")</f>
        <v>#N/A</v>
      </c>
      <c r="O172" s="33" t="e">
        <f t="shared" ca="1" si="5"/>
        <v>#N/A</v>
      </c>
      <c r="P172" s="34" t="e">
        <f>I172/H172*VLOOKUP(F170,'[1]Membership Level'!$A$3:$C$15,3,FALSE)+K172</f>
        <v>#DIV/0!</v>
      </c>
      <c r="Q172" s="36"/>
    </row>
    <row r="173" spans="3:17" x14ac:dyDescent="0.25">
      <c r="C173" s="33"/>
      <c r="D173" s="36"/>
      <c r="E173" s="55"/>
      <c r="F173" s="33"/>
      <c r="G173" s="36"/>
      <c r="H173" s="30">
        <v>0</v>
      </c>
      <c r="I173" s="30">
        <v>0</v>
      </c>
      <c r="J173" s="31"/>
      <c r="K173" s="43"/>
      <c r="L173" s="32" t="e">
        <f>DATE(YEAR(K173),MONTH(K173)+VLOOKUP($F171,'[1]Membership Level'!$A$3:$B$15,2,FALSE),DAY(K173))</f>
        <v>#N/A</v>
      </c>
      <c r="M173" s="36"/>
      <c r="N173" s="34" t="e">
        <f>IF($L173&lt;&gt;0,DATE(YEAR($L173),MONTH($L173)-#REF!,DAY($L173)-$M173),"")</f>
        <v>#N/A</v>
      </c>
      <c r="O173" s="33" t="e">
        <f t="shared" ca="1" si="5"/>
        <v>#N/A</v>
      </c>
      <c r="P173" s="34" t="e">
        <f>I173/H173*VLOOKUP(F171,'[1]Membership Level'!$A$3:$C$15,3,FALSE)+K173</f>
        <v>#DIV/0!</v>
      </c>
      <c r="Q173" s="36"/>
    </row>
    <row r="174" spans="3:17" s="22" customFormat="1" x14ac:dyDescent="0.25">
      <c r="C174" s="33"/>
      <c r="D174" s="33"/>
      <c r="E174" s="55"/>
      <c r="F174" s="33"/>
      <c r="G174" s="33"/>
      <c r="H174" s="30">
        <v>0</v>
      </c>
      <c r="I174" s="30">
        <v>0</v>
      </c>
      <c r="J174" s="31"/>
      <c r="K174" s="32"/>
      <c r="L174" s="32" t="e">
        <f>DATE(YEAR(K174),MONTH(K174)+VLOOKUP($F172,'[1]Membership Level'!$A$3:$B$15,2,FALSE),DAY(K174))</f>
        <v>#N/A</v>
      </c>
      <c r="M174" s="33"/>
      <c r="N174" s="34" t="e">
        <f>IF($L174&lt;&gt;0,DATE(YEAR($L174),MONTH($L174)-#REF!,DAY($L174)-$M174),"")</f>
        <v>#N/A</v>
      </c>
      <c r="O174" s="33" t="e">
        <f t="shared" ca="1" si="5"/>
        <v>#N/A</v>
      </c>
      <c r="P174" s="34" t="e">
        <f>I174/H174*VLOOKUP(F172,'[1]Membership Level'!$A$3:$C$15,3,FALSE)+K174</f>
        <v>#DIV/0!</v>
      </c>
      <c r="Q174" s="33"/>
    </row>
    <row r="175" spans="3:17" s="22" customFormat="1" x14ac:dyDescent="0.25">
      <c r="C175" s="33"/>
      <c r="D175" s="33"/>
      <c r="E175" s="55"/>
      <c r="F175" s="36"/>
      <c r="G175" s="33"/>
      <c r="H175" s="30">
        <v>0</v>
      </c>
      <c r="I175" s="30">
        <v>0</v>
      </c>
      <c r="J175" s="31"/>
      <c r="K175" s="32"/>
      <c r="L175" s="32" t="e">
        <f>DATE(YEAR(K175),MONTH(K175)+VLOOKUP($F173,'[1]Membership Level'!$A$3:$B$15,2,FALSE),DAY(K175))</f>
        <v>#N/A</v>
      </c>
      <c r="M175" s="33"/>
      <c r="N175" s="34" t="e">
        <f>IF($L175&lt;&gt;0,DATE(YEAR($L175),MONTH($L175)-#REF!,DAY($L175)-$M175),"")</f>
        <v>#N/A</v>
      </c>
      <c r="O175" s="33" t="e">
        <f t="shared" ca="1" si="5"/>
        <v>#N/A</v>
      </c>
      <c r="P175" s="34" t="e">
        <f>I175/H175*VLOOKUP(F173,'[1]Membership Level'!$A$3:$C$15,3,FALSE)+K175</f>
        <v>#DIV/0!</v>
      </c>
      <c r="Q175" s="33"/>
    </row>
    <row r="176" spans="3:17" s="22" customFormat="1" x14ac:dyDescent="0.25">
      <c r="C176" s="33"/>
      <c r="D176" s="33"/>
      <c r="E176" s="54"/>
      <c r="F176" s="36"/>
      <c r="G176" s="33"/>
      <c r="H176" s="30">
        <v>0</v>
      </c>
      <c r="I176" s="30">
        <v>0</v>
      </c>
      <c r="J176" s="31"/>
      <c r="K176" s="32"/>
      <c r="L176" s="32" t="e">
        <f>DATE(YEAR(K176),MONTH(K176)+VLOOKUP($F174,'[1]Membership Level'!$A$3:$B$15,2,FALSE),DAY(K176))</f>
        <v>#N/A</v>
      </c>
      <c r="M176" s="33"/>
      <c r="N176" s="34" t="e">
        <f>IF($L176&lt;&gt;0,DATE(YEAR($L176),MONTH($L176)-#REF!,DAY($L176)-$M176),"")</f>
        <v>#N/A</v>
      </c>
      <c r="O176" s="33" t="e">
        <f t="shared" ca="1" si="5"/>
        <v>#N/A</v>
      </c>
      <c r="P176" s="34" t="e">
        <f>I176/H176*VLOOKUP(F174,'[1]Membership Level'!$A$3:$C$15,3,FALSE)+K176</f>
        <v>#DIV/0!</v>
      </c>
      <c r="Q176" s="33"/>
    </row>
    <row r="177" spans="3:17" x14ac:dyDescent="0.25">
      <c r="C177" s="36"/>
      <c r="D177" s="36"/>
      <c r="E177" s="54"/>
      <c r="F177" s="36"/>
      <c r="G177" s="36"/>
      <c r="H177" s="30">
        <v>0</v>
      </c>
      <c r="I177" s="30">
        <v>0</v>
      </c>
      <c r="J177" s="31"/>
      <c r="K177" s="43"/>
      <c r="L177" s="32" t="e">
        <f>DATE(YEAR(K177),MONTH(K177)+VLOOKUP($F175,'[1]Membership Level'!$A$3:$B$15,2,FALSE),DAY(K177))</f>
        <v>#N/A</v>
      </c>
      <c r="M177" s="36"/>
      <c r="N177" s="34" t="e">
        <f>IF($L177&lt;&gt;0,DATE(YEAR($L177),MONTH($L177)-#REF!,DAY($L177)-$M177),"")</f>
        <v>#N/A</v>
      </c>
      <c r="O177" s="33" t="e">
        <f t="shared" ca="1" si="5"/>
        <v>#N/A</v>
      </c>
      <c r="P177" s="34" t="e">
        <f>I177/H177*VLOOKUP(F175,'[1]Membership Level'!$A$3:$C$15,3,FALSE)+K177</f>
        <v>#DIV/0!</v>
      </c>
      <c r="Q177" s="36"/>
    </row>
    <row r="178" spans="3:17" x14ac:dyDescent="0.25">
      <c r="C178" s="36"/>
      <c r="D178" s="36"/>
      <c r="E178" s="54"/>
      <c r="F178" s="36"/>
      <c r="G178" s="36"/>
      <c r="H178" s="30">
        <v>0</v>
      </c>
      <c r="I178" s="30">
        <v>0</v>
      </c>
      <c r="J178" s="31"/>
      <c r="K178" s="43"/>
      <c r="L178" s="32" t="e">
        <f>DATE(YEAR(K178),MONTH(K178)+VLOOKUP($F176,'[1]Membership Level'!$A$3:$B$15,2,FALSE),DAY(K178))</f>
        <v>#N/A</v>
      </c>
      <c r="M178" s="36"/>
      <c r="N178" s="34" t="e">
        <f>IF($L178&lt;&gt;0,DATE(YEAR($L178),MONTH($L178)-#REF!,DAY($L178)-$M178),"")</f>
        <v>#N/A</v>
      </c>
      <c r="O178" s="33" t="e">
        <f t="shared" ca="1" si="5"/>
        <v>#N/A</v>
      </c>
      <c r="P178" s="34" t="e">
        <f>I178/H178*VLOOKUP(F176,'[1]Membership Level'!$A$3:$C$15,3,FALSE)+K178</f>
        <v>#DIV/0!</v>
      </c>
      <c r="Q178" s="36"/>
    </row>
    <row r="179" spans="3:17" x14ac:dyDescent="0.25">
      <c r="C179" s="36"/>
      <c r="D179" s="36"/>
      <c r="E179" s="54"/>
      <c r="F179" s="36"/>
      <c r="G179" s="36"/>
      <c r="H179" s="30">
        <v>0</v>
      </c>
      <c r="I179" s="30">
        <v>0</v>
      </c>
      <c r="J179" s="31"/>
      <c r="K179" s="43"/>
      <c r="L179" s="32" t="e">
        <f>DATE(YEAR(K179),MONTH(K179)+VLOOKUP($F177,'[1]Membership Level'!$A$3:$B$15,2,FALSE),DAY(K179))</f>
        <v>#N/A</v>
      </c>
      <c r="M179" s="36"/>
      <c r="N179" s="34" t="e">
        <f>IF($L179&lt;&gt;0,DATE(YEAR($L179),MONTH($L179)-#REF!,DAY($L179)-$M179),"")</f>
        <v>#N/A</v>
      </c>
      <c r="O179" s="33" t="e">
        <f t="shared" ca="1" si="5"/>
        <v>#N/A</v>
      </c>
      <c r="P179" s="34" t="e">
        <f>I179/H179*VLOOKUP(F177,'[1]Membership Level'!$A$3:$C$15,3,FALSE)+K179</f>
        <v>#DIV/0!</v>
      </c>
      <c r="Q179" s="36"/>
    </row>
    <row r="180" spans="3:17" x14ac:dyDescent="0.25">
      <c r="C180" s="36"/>
      <c r="D180" s="36"/>
      <c r="E180" s="54"/>
      <c r="F180" s="36"/>
      <c r="G180" s="36"/>
      <c r="H180" s="30">
        <v>0</v>
      </c>
      <c r="I180" s="30">
        <v>0</v>
      </c>
      <c r="J180" s="31"/>
      <c r="K180" s="43"/>
      <c r="L180" s="32" t="e">
        <f>DATE(YEAR(K180),MONTH(K180)+VLOOKUP($F178,'[1]Membership Level'!$A$3:$B$15,2,FALSE),DAY(K180))</f>
        <v>#N/A</v>
      </c>
      <c r="M180" s="36"/>
      <c r="N180" s="34" t="e">
        <f>IF($L180&lt;&gt;0,DATE(YEAR($L180),MONTH($L180)-#REF!,DAY($L180)-$M180),"")</f>
        <v>#N/A</v>
      </c>
      <c r="O180" s="33" t="e">
        <f t="shared" ca="1" si="5"/>
        <v>#N/A</v>
      </c>
      <c r="P180" s="34" t="e">
        <f>I180/H180*VLOOKUP(F178,'[1]Membership Level'!$A$3:$C$15,3,FALSE)+K180</f>
        <v>#DIV/0!</v>
      </c>
      <c r="Q180" s="36"/>
    </row>
    <row r="181" spans="3:17" x14ac:dyDescent="0.25">
      <c r="C181" s="36"/>
      <c r="D181" s="36"/>
      <c r="E181" s="54"/>
      <c r="F181" s="36"/>
      <c r="G181" s="36"/>
      <c r="H181" s="30">
        <v>0</v>
      </c>
      <c r="I181" s="30">
        <v>0</v>
      </c>
      <c r="J181" s="31"/>
      <c r="K181" s="43"/>
      <c r="L181" s="32" t="e">
        <f>DATE(YEAR(K181),MONTH(K181)+VLOOKUP($F179,'[1]Membership Level'!$A$3:$B$15,2,FALSE),DAY(K181))</f>
        <v>#N/A</v>
      </c>
      <c r="M181" s="36"/>
      <c r="N181" s="34" t="e">
        <f>IF($L181&lt;&gt;0,DATE(YEAR($L181),MONTH($L181)-#REF!,DAY($L181)-$M181),"")</f>
        <v>#N/A</v>
      </c>
      <c r="O181" s="33" t="e">
        <f t="shared" ca="1" si="5"/>
        <v>#N/A</v>
      </c>
      <c r="P181" s="34" t="e">
        <f>I181/H181*VLOOKUP(F179,'[1]Membership Level'!$A$3:$C$15,3,FALSE)+K181</f>
        <v>#DIV/0!</v>
      </c>
      <c r="Q181" s="36"/>
    </row>
    <row r="182" spans="3:17" x14ac:dyDescent="0.25">
      <c r="C182" s="36"/>
      <c r="D182" s="36"/>
      <c r="E182" s="54"/>
      <c r="F182" s="36"/>
      <c r="G182" s="36"/>
      <c r="H182" s="30">
        <v>0</v>
      </c>
      <c r="I182" s="30">
        <v>0</v>
      </c>
      <c r="J182" s="31"/>
      <c r="K182" s="43"/>
      <c r="L182" s="32" t="e">
        <f>DATE(YEAR(K182),MONTH(K182)+VLOOKUP($F180,'[1]Membership Level'!$A$3:$B$15,2,FALSE),DAY(K182))</f>
        <v>#N/A</v>
      </c>
      <c r="M182" s="36"/>
      <c r="N182" s="34" t="e">
        <f>IF($L182&lt;&gt;0,DATE(YEAR($L182),MONTH($L182)-#REF!,DAY($L182)-$M182),"")</f>
        <v>#N/A</v>
      </c>
      <c r="O182" s="33" t="e">
        <f t="shared" ca="1" si="5"/>
        <v>#N/A</v>
      </c>
      <c r="P182" s="34" t="e">
        <f>I182/H182*VLOOKUP(F180,'[1]Membership Level'!$A$3:$C$15,3,FALSE)+K182</f>
        <v>#DIV/0!</v>
      </c>
      <c r="Q182" s="36"/>
    </row>
    <row r="183" spans="3:17" x14ac:dyDescent="0.25">
      <c r="C183" s="36"/>
      <c r="D183" s="36"/>
      <c r="E183" s="54"/>
      <c r="F183" s="36"/>
      <c r="G183" s="36"/>
      <c r="H183" s="30">
        <v>0</v>
      </c>
      <c r="I183" s="30">
        <v>0</v>
      </c>
      <c r="J183" s="31"/>
      <c r="K183" s="43"/>
      <c r="L183" s="32" t="e">
        <f>DATE(YEAR(K183),MONTH(K183)+VLOOKUP($F181,'[1]Membership Level'!$A$3:$B$15,2,FALSE),DAY(K183))</f>
        <v>#N/A</v>
      </c>
      <c r="M183" s="36"/>
      <c r="N183" s="34" t="e">
        <f>IF($L183&lt;&gt;0,DATE(YEAR($L183),MONTH($L183)-#REF!,DAY($L183)-$M183),"")</f>
        <v>#N/A</v>
      </c>
      <c r="O183" s="33" t="e">
        <f t="shared" ca="1" si="5"/>
        <v>#N/A</v>
      </c>
      <c r="P183" s="34" t="e">
        <f>I183/H183*VLOOKUP(F181,'[1]Membership Level'!$A$3:$C$15,3,FALSE)+K183</f>
        <v>#DIV/0!</v>
      </c>
      <c r="Q183" s="36"/>
    </row>
    <row r="184" spans="3:17" x14ac:dyDescent="0.25">
      <c r="C184" s="36"/>
      <c r="D184" s="36"/>
      <c r="E184" s="54"/>
      <c r="F184" s="36"/>
      <c r="G184" s="36"/>
      <c r="H184" s="30">
        <v>0</v>
      </c>
      <c r="I184" s="30">
        <v>0</v>
      </c>
      <c r="J184" s="31"/>
      <c r="K184" s="43"/>
      <c r="L184" s="32" t="e">
        <f>DATE(YEAR(K184),MONTH(K184)+VLOOKUP($F182,'[1]Membership Level'!$A$3:$B$15,2,FALSE),DAY(K184))</f>
        <v>#N/A</v>
      </c>
      <c r="M184" s="36"/>
      <c r="N184" s="34" t="e">
        <f>IF($L184&lt;&gt;0,DATE(YEAR($L184),MONTH($L184)-#REF!,DAY($L184)-$M184),"")</f>
        <v>#N/A</v>
      </c>
      <c r="O184" s="33" t="e">
        <f t="shared" ca="1" si="5"/>
        <v>#N/A</v>
      </c>
      <c r="P184" s="34" t="e">
        <f>I184/H184*VLOOKUP(F182,'[1]Membership Level'!$A$3:$C$15,3,FALSE)+K184</f>
        <v>#DIV/0!</v>
      </c>
      <c r="Q184" s="36"/>
    </row>
    <row r="185" spans="3:17" x14ac:dyDescent="0.25">
      <c r="C185" s="36"/>
      <c r="D185" s="36"/>
      <c r="E185" s="54"/>
      <c r="F185" s="36"/>
      <c r="G185" s="36"/>
      <c r="H185" s="30">
        <v>0</v>
      </c>
      <c r="I185" s="30">
        <v>0</v>
      </c>
      <c r="J185" s="31"/>
      <c r="K185" s="43"/>
      <c r="L185" s="32" t="e">
        <f>DATE(YEAR(K185),MONTH(K185)+VLOOKUP($F183,'[1]Membership Level'!$A$3:$B$15,2,FALSE),DAY(K185))</f>
        <v>#N/A</v>
      </c>
      <c r="M185" s="36"/>
      <c r="N185" s="34" t="e">
        <f>IF($L185&lt;&gt;0,DATE(YEAR($L185),MONTH($L185)-#REF!,DAY($L185)-$M185),"")</f>
        <v>#N/A</v>
      </c>
      <c r="O185" s="33" t="e">
        <f t="shared" ca="1" si="5"/>
        <v>#N/A</v>
      </c>
      <c r="P185" s="34" t="e">
        <f>I185/H185*VLOOKUP(F183,'[1]Membership Level'!$A$3:$C$15,3,FALSE)+K185</f>
        <v>#DIV/0!</v>
      </c>
      <c r="Q185" s="36"/>
    </row>
    <row r="186" spans="3:17" x14ac:dyDescent="0.25">
      <c r="C186" s="36"/>
      <c r="D186" s="36"/>
      <c r="E186" s="54"/>
      <c r="F186" s="36"/>
      <c r="G186" s="36"/>
      <c r="H186" s="30">
        <v>0</v>
      </c>
      <c r="I186" s="30">
        <v>0</v>
      </c>
      <c r="J186" s="31"/>
      <c r="K186" s="43"/>
      <c r="L186" s="32" t="e">
        <f>DATE(YEAR(K186),MONTH(K186)+VLOOKUP($F184,'[1]Membership Level'!$A$3:$B$15,2,FALSE),DAY(K186))</f>
        <v>#N/A</v>
      </c>
      <c r="M186" s="36"/>
      <c r="N186" s="34" t="e">
        <f>IF($L186&lt;&gt;0,DATE(YEAR($L186),MONTH($L186)-#REF!,DAY($L186)-$M186),"")</f>
        <v>#N/A</v>
      </c>
      <c r="O186" s="33" t="e">
        <f t="shared" ca="1" si="5"/>
        <v>#N/A</v>
      </c>
      <c r="P186" s="34" t="e">
        <f>I186/H186*VLOOKUP(F184,'[1]Membership Level'!$A$3:$C$15,3,FALSE)+K186</f>
        <v>#DIV/0!</v>
      </c>
      <c r="Q186" s="36"/>
    </row>
    <row r="187" spans="3:17" x14ac:dyDescent="0.25">
      <c r="C187" s="36"/>
      <c r="D187" s="36"/>
      <c r="E187" s="54"/>
      <c r="F187" s="36"/>
      <c r="G187" s="36"/>
      <c r="H187" s="30">
        <v>0</v>
      </c>
      <c r="I187" s="30">
        <v>0</v>
      </c>
      <c r="J187" s="31"/>
      <c r="K187" s="43"/>
      <c r="L187" s="32" t="e">
        <f>DATE(YEAR(K187),MONTH(K187)+VLOOKUP($F185,'[1]Membership Level'!$A$3:$B$15,2,FALSE),DAY(K187))</f>
        <v>#N/A</v>
      </c>
      <c r="M187" s="36"/>
      <c r="N187" s="34" t="e">
        <f>IF($L187&lt;&gt;0,DATE(YEAR($L187),MONTH($L187)-#REF!,DAY($L187)-$M187),"")</f>
        <v>#N/A</v>
      </c>
      <c r="O187" s="33" t="e">
        <f t="shared" ca="1" si="5"/>
        <v>#N/A</v>
      </c>
      <c r="P187" s="34" t="e">
        <f>I187/H187*VLOOKUP(F185,'[1]Membership Level'!$A$3:$C$15,3,FALSE)+K187</f>
        <v>#DIV/0!</v>
      </c>
      <c r="Q187" s="36"/>
    </row>
    <row r="188" spans="3:17" x14ac:dyDescent="0.25">
      <c r="C188" s="36"/>
      <c r="D188" s="36"/>
      <c r="E188" s="54"/>
      <c r="F188" s="36"/>
      <c r="G188" s="36"/>
      <c r="H188" s="30">
        <v>0</v>
      </c>
      <c r="I188" s="30">
        <v>0</v>
      </c>
      <c r="J188" s="31"/>
      <c r="K188" s="43"/>
      <c r="L188" s="32" t="e">
        <f>DATE(YEAR(K188),MONTH(K188)+VLOOKUP($F186,'[1]Membership Level'!$A$3:$B$15,2,FALSE),DAY(K188))</f>
        <v>#N/A</v>
      </c>
      <c r="M188" s="36"/>
      <c r="N188" s="34" t="e">
        <f>IF($L188&lt;&gt;0,DATE(YEAR($L188),MONTH($L188)-#REF!,DAY($L188)-$M188),"")</f>
        <v>#N/A</v>
      </c>
      <c r="O188" s="33" t="e">
        <f t="shared" ca="1" si="5"/>
        <v>#N/A</v>
      </c>
      <c r="P188" s="34" t="e">
        <f>I188/H188*VLOOKUP(F186,'[1]Membership Level'!$A$3:$C$15,3,FALSE)+K188</f>
        <v>#DIV/0!</v>
      </c>
      <c r="Q188" s="36"/>
    </row>
    <row r="189" spans="3:17" x14ac:dyDescent="0.25">
      <c r="C189" s="36"/>
      <c r="D189" s="36"/>
      <c r="E189" s="54"/>
      <c r="F189" s="36"/>
      <c r="G189" s="36"/>
      <c r="H189" s="30">
        <v>0</v>
      </c>
      <c r="I189" s="30">
        <v>0</v>
      </c>
      <c r="J189" s="31"/>
      <c r="K189" s="43"/>
      <c r="L189" s="32" t="e">
        <f>DATE(YEAR(K189),MONTH(K189)+VLOOKUP($F187,'[1]Membership Level'!$A$3:$B$15,2,FALSE),DAY(K189))</f>
        <v>#N/A</v>
      </c>
      <c r="M189" s="36"/>
      <c r="N189" s="34" t="e">
        <f>IF($L189&lt;&gt;0,DATE(YEAR($L189),MONTH($L189)-#REF!,DAY($L189)-$M189),"")</f>
        <v>#N/A</v>
      </c>
      <c r="O189" s="33" t="e">
        <f t="shared" ref="O189:O252" ca="1" si="6">IF(DAYS360(NOW(), $L189) &gt;= 0, DAYS360(NOW(), $L189), "")</f>
        <v>#N/A</v>
      </c>
      <c r="P189" s="34" t="e">
        <f>I189/H189*VLOOKUP(F187,'[1]Membership Level'!$A$3:$C$15,3,FALSE)+K189</f>
        <v>#DIV/0!</v>
      </c>
      <c r="Q189" s="36"/>
    </row>
    <row r="190" spans="3:17" x14ac:dyDescent="0.25">
      <c r="C190" s="36"/>
      <c r="D190" s="36"/>
      <c r="E190" s="54"/>
      <c r="F190" s="36"/>
      <c r="G190" s="36"/>
      <c r="H190" s="30">
        <v>0</v>
      </c>
      <c r="I190" s="30">
        <v>0</v>
      </c>
      <c r="J190" s="31"/>
      <c r="K190" s="43"/>
      <c r="L190" s="32" t="e">
        <f>DATE(YEAR(K190),MONTH(K190)+VLOOKUP($F188,'[1]Membership Level'!$A$3:$B$15,2,FALSE),DAY(K190))</f>
        <v>#N/A</v>
      </c>
      <c r="M190" s="36"/>
      <c r="N190" s="34" t="e">
        <f>IF($L190&lt;&gt;0,DATE(YEAR($L190),MONTH($L190)-#REF!,DAY($L190)-$M190),"")</f>
        <v>#N/A</v>
      </c>
      <c r="O190" s="33" t="e">
        <f t="shared" ca="1" si="6"/>
        <v>#N/A</v>
      </c>
      <c r="P190" s="34" t="e">
        <f>I190/H190*VLOOKUP(F188,'[1]Membership Level'!$A$3:$C$15,3,FALSE)+K190</f>
        <v>#DIV/0!</v>
      </c>
      <c r="Q190" s="36"/>
    </row>
    <row r="191" spans="3:17" x14ac:dyDescent="0.25">
      <c r="C191" s="36"/>
      <c r="D191" s="36"/>
      <c r="E191" s="54"/>
      <c r="F191" s="33"/>
      <c r="G191" s="36"/>
      <c r="H191" s="30">
        <v>0</v>
      </c>
      <c r="I191" s="30">
        <v>0</v>
      </c>
      <c r="J191" s="31"/>
      <c r="K191" s="43"/>
      <c r="L191" s="32" t="e">
        <f>DATE(YEAR(K191),MONTH(K191)+VLOOKUP($F189,'[1]Membership Level'!$A$3:$B$15,2,FALSE),DAY(K191))</f>
        <v>#N/A</v>
      </c>
      <c r="M191" s="36"/>
      <c r="N191" s="34" t="e">
        <f>IF($L191&lt;&gt;0,DATE(YEAR($L191),MONTH($L191)-#REF!,DAY($L191)-$M191),"")</f>
        <v>#N/A</v>
      </c>
      <c r="O191" s="33" t="e">
        <f t="shared" ca="1" si="6"/>
        <v>#N/A</v>
      </c>
      <c r="P191" s="34" t="e">
        <f>I191/H191*VLOOKUP(F189,'[1]Membership Level'!$A$3:$C$15,3,FALSE)+K191</f>
        <v>#DIV/0!</v>
      </c>
      <c r="Q191" s="36"/>
    </row>
    <row r="192" spans="3:17" x14ac:dyDescent="0.25">
      <c r="C192" s="36"/>
      <c r="D192" s="36"/>
      <c r="E192" s="55"/>
      <c r="F192" s="36"/>
      <c r="G192" s="36"/>
      <c r="H192" s="30">
        <v>0</v>
      </c>
      <c r="I192" s="30">
        <v>0</v>
      </c>
      <c r="J192" s="31"/>
      <c r="K192" s="43"/>
      <c r="L192" s="32" t="e">
        <f>DATE(YEAR(K192),MONTH(K192)+VLOOKUP($F190,'[1]Membership Level'!$A$3:$B$15,2,FALSE),DAY(K192))</f>
        <v>#N/A</v>
      </c>
      <c r="M192" s="36"/>
      <c r="N192" s="34" t="e">
        <f>IF($L192&lt;&gt;0,DATE(YEAR($L192),MONTH($L192)-#REF!,DAY($L192)-$M192),"")</f>
        <v>#N/A</v>
      </c>
      <c r="O192" s="33" t="e">
        <f t="shared" ca="1" si="6"/>
        <v>#N/A</v>
      </c>
      <c r="P192" s="34" t="e">
        <f>I192/H192*VLOOKUP(F190,'[1]Membership Level'!$A$3:$C$15,3,FALSE)+K192</f>
        <v>#DIV/0!</v>
      </c>
      <c r="Q192" s="36"/>
    </row>
    <row r="193" spans="3:17" s="22" customFormat="1" x14ac:dyDescent="0.25">
      <c r="C193" s="33"/>
      <c r="D193" s="33"/>
      <c r="E193" s="54"/>
      <c r="F193" s="36"/>
      <c r="G193" s="33"/>
      <c r="H193" s="30">
        <v>0</v>
      </c>
      <c r="I193" s="30">
        <v>0</v>
      </c>
      <c r="J193" s="31"/>
      <c r="K193" s="32"/>
      <c r="L193" s="32" t="e">
        <f>DATE(YEAR(K193),MONTH(K193)+VLOOKUP($F191,'[1]Membership Level'!$A$3:$B$15,2,FALSE),DAY(K193))</f>
        <v>#N/A</v>
      </c>
      <c r="M193" s="33"/>
      <c r="N193" s="34" t="e">
        <f>IF($L193&lt;&gt;0,DATE(YEAR($L193),MONTH($L193)-#REF!,DAY($L193)-$M193),"")</f>
        <v>#N/A</v>
      </c>
      <c r="O193" s="33" t="e">
        <f t="shared" ca="1" si="6"/>
        <v>#N/A</v>
      </c>
      <c r="P193" s="34" t="e">
        <f>I193/H193*VLOOKUP(F191,'[1]Membership Level'!$A$3:$C$15,3,FALSE)+K193</f>
        <v>#DIV/0!</v>
      </c>
      <c r="Q193" s="33"/>
    </row>
    <row r="194" spans="3:17" x14ac:dyDescent="0.25">
      <c r="C194" s="36"/>
      <c r="D194" s="36"/>
      <c r="E194" s="54"/>
      <c r="F194" s="36"/>
      <c r="G194" s="36"/>
      <c r="H194" s="30">
        <v>0</v>
      </c>
      <c r="I194" s="30">
        <v>0</v>
      </c>
      <c r="J194" s="31"/>
      <c r="K194" s="43"/>
      <c r="L194" s="32" t="e">
        <f>DATE(YEAR(K194),MONTH(K194)+VLOOKUP($F192,'[1]Membership Level'!$A$3:$B$15,2,FALSE),DAY(K194))</f>
        <v>#N/A</v>
      </c>
      <c r="M194" s="36"/>
      <c r="N194" s="34" t="e">
        <f>IF($L194&lt;&gt;0,DATE(YEAR($L194),MONTH($L194)-#REF!,DAY($L194)-$M194),"")</f>
        <v>#N/A</v>
      </c>
      <c r="O194" s="33" t="e">
        <f t="shared" ca="1" si="6"/>
        <v>#N/A</v>
      </c>
      <c r="P194" s="34" t="e">
        <f>I194/H194*VLOOKUP(F192,'[1]Membership Level'!$A$3:$C$15,3,FALSE)+K194</f>
        <v>#DIV/0!</v>
      </c>
      <c r="Q194" s="36"/>
    </row>
    <row r="195" spans="3:17" x14ac:dyDescent="0.25">
      <c r="C195" s="36"/>
      <c r="D195" s="36"/>
      <c r="E195" s="54"/>
      <c r="F195" s="36"/>
      <c r="G195" s="36"/>
      <c r="H195" s="30">
        <v>0</v>
      </c>
      <c r="I195" s="30">
        <v>0</v>
      </c>
      <c r="J195" s="31"/>
      <c r="K195" s="43"/>
      <c r="L195" s="32" t="e">
        <f>DATE(YEAR(K195),MONTH(K195)+VLOOKUP($F193,'[1]Membership Level'!$A$3:$B$15,2,FALSE),DAY(K195))</f>
        <v>#N/A</v>
      </c>
      <c r="M195" s="36"/>
      <c r="N195" s="34" t="e">
        <f>IF($L195&lt;&gt;0,DATE(YEAR($L195),MONTH($L195)-#REF!,DAY($L195)-$M195),"")</f>
        <v>#N/A</v>
      </c>
      <c r="O195" s="33" t="e">
        <f t="shared" ca="1" si="6"/>
        <v>#N/A</v>
      </c>
      <c r="P195" s="34" t="e">
        <f>I195/H195*VLOOKUP(F193,'[1]Membership Level'!$A$3:$C$15,3,FALSE)+K195</f>
        <v>#DIV/0!</v>
      </c>
      <c r="Q195" s="36" t="s">
        <v>242</v>
      </c>
    </row>
    <row r="196" spans="3:17" x14ac:dyDescent="0.25">
      <c r="C196" s="36"/>
      <c r="D196" s="36"/>
      <c r="E196" s="54"/>
      <c r="F196" s="36"/>
      <c r="G196" s="36"/>
      <c r="H196" s="30">
        <v>0</v>
      </c>
      <c r="I196" s="30">
        <v>0</v>
      </c>
      <c r="J196" s="31"/>
      <c r="K196" s="43"/>
      <c r="L196" s="32" t="e">
        <f>DATE(YEAR(K196),MONTH(K196)+VLOOKUP($F194,'[1]Membership Level'!$A$3:$B$15,2,FALSE),DAY(K196))</f>
        <v>#N/A</v>
      </c>
      <c r="M196" s="36"/>
      <c r="N196" s="34" t="e">
        <f>IF($L196&lt;&gt;0,DATE(YEAR($L196),MONTH($L196)-#REF!,DAY($L196)-$M196),"")</f>
        <v>#N/A</v>
      </c>
      <c r="O196" s="33" t="e">
        <f t="shared" ca="1" si="6"/>
        <v>#N/A</v>
      </c>
      <c r="P196" s="34" t="e">
        <f>I196/H196*VLOOKUP(F194,'[1]Membership Level'!$A$3:$C$15,3,FALSE)+K196</f>
        <v>#DIV/0!</v>
      </c>
      <c r="Q196" s="36"/>
    </row>
    <row r="197" spans="3:17" x14ac:dyDescent="0.25">
      <c r="C197" s="36"/>
      <c r="D197" s="36"/>
      <c r="E197" s="54"/>
      <c r="F197" s="36"/>
      <c r="G197" s="36"/>
      <c r="H197" s="30">
        <v>0</v>
      </c>
      <c r="I197" s="30">
        <v>0</v>
      </c>
      <c r="J197" s="31"/>
      <c r="K197" s="43"/>
      <c r="L197" s="32" t="e">
        <f>DATE(YEAR(K197),MONTH(K197)+VLOOKUP($F195,'[1]Membership Level'!$A$3:$B$15,2,FALSE),DAY(K197))</f>
        <v>#N/A</v>
      </c>
      <c r="M197" s="36"/>
      <c r="N197" s="34" t="e">
        <f>IF($L197&lt;&gt;0,DATE(YEAR($L197),MONTH($L197)-#REF!,DAY($L197)-$M197),"")</f>
        <v>#N/A</v>
      </c>
      <c r="O197" s="33" t="e">
        <f t="shared" ca="1" si="6"/>
        <v>#N/A</v>
      </c>
      <c r="P197" s="34" t="e">
        <f>I197/H197*VLOOKUP(F195,'[1]Membership Level'!$A$3:$C$15,3,FALSE)+K197</f>
        <v>#DIV/0!</v>
      </c>
      <c r="Q197" s="36"/>
    </row>
    <row r="198" spans="3:17" x14ac:dyDescent="0.25">
      <c r="C198" s="36"/>
      <c r="D198" s="36"/>
      <c r="E198" s="54"/>
      <c r="F198" s="36"/>
      <c r="G198" s="36"/>
      <c r="H198" s="30">
        <v>0</v>
      </c>
      <c r="I198" s="30">
        <v>0</v>
      </c>
      <c r="J198" s="31"/>
      <c r="K198" s="43"/>
      <c r="L198" s="32" t="e">
        <f>DATE(YEAR(K198),MONTH(K198)+VLOOKUP($F196,'[1]Membership Level'!$A$3:$B$15,2,FALSE),DAY(K198))</f>
        <v>#N/A</v>
      </c>
      <c r="M198" s="36"/>
      <c r="N198" s="34" t="e">
        <f>IF($L198&lt;&gt;0,DATE(YEAR($L198),MONTH($L198)-#REF!,DAY($L198)-$M198),"")</f>
        <v>#N/A</v>
      </c>
      <c r="O198" s="33" t="e">
        <f t="shared" ca="1" si="6"/>
        <v>#N/A</v>
      </c>
      <c r="P198" s="34" t="e">
        <f>I198/H198*VLOOKUP(F196,'[1]Membership Level'!$A$3:$C$15,3,FALSE)+K198</f>
        <v>#DIV/0!</v>
      </c>
      <c r="Q198" s="36"/>
    </row>
    <row r="199" spans="3:17" x14ac:dyDescent="0.25">
      <c r="C199" s="36"/>
      <c r="D199" s="36"/>
      <c r="E199" s="54"/>
      <c r="F199" s="36"/>
      <c r="G199" s="36"/>
      <c r="H199" s="30">
        <v>0</v>
      </c>
      <c r="I199" s="30">
        <v>0</v>
      </c>
      <c r="J199" s="31"/>
      <c r="K199" s="43"/>
      <c r="L199" s="32" t="e">
        <f>DATE(YEAR(K199),MONTH(K199)+VLOOKUP($F197,'[1]Membership Level'!$A$3:$B$15,2,FALSE),DAY(K199))</f>
        <v>#N/A</v>
      </c>
      <c r="M199" s="36"/>
      <c r="N199" s="34" t="e">
        <f>IF($L199&lt;&gt;0,DATE(YEAR($L199),MONTH($L199)-#REF!,DAY($L199)-$M199),"")</f>
        <v>#N/A</v>
      </c>
      <c r="O199" s="33" t="e">
        <f t="shared" ca="1" si="6"/>
        <v>#N/A</v>
      </c>
      <c r="P199" s="34" t="e">
        <f>I199/H199*VLOOKUP(F197,'[1]Membership Level'!$A$3:$C$15,3,FALSE)+K199</f>
        <v>#DIV/0!</v>
      </c>
      <c r="Q199" s="36"/>
    </row>
    <row r="200" spans="3:17" x14ac:dyDescent="0.25">
      <c r="C200" s="36"/>
      <c r="D200" s="36"/>
      <c r="E200" s="54"/>
      <c r="F200" s="36"/>
      <c r="G200" s="36"/>
      <c r="H200" s="30">
        <v>0</v>
      </c>
      <c r="I200" s="30">
        <v>0</v>
      </c>
      <c r="J200" s="31"/>
      <c r="K200" s="43"/>
      <c r="L200" s="32" t="e">
        <f>DATE(YEAR(K200),MONTH(K200)+VLOOKUP($F198,'[1]Membership Level'!$A$3:$B$15,2,FALSE),DAY(K200))</f>
        <v>#N/A</v>
      </c>
      <c r="M200" s="36"/>
      <c r="N200" s="34" t="e">
        <f>IF($L200&lt;&gt;0,DATE(YEAR($L200),MONTH($L200)-#REF!,DAY($L200)-$M200),"")</f>
        <v>#N/A</v>
      </c>
      <c r="O200" s="33" t="e">
        <f t="shared" ca="1" si="6"/>
        <v>#N/A</v>
      </c>
      <c r="P200" s="34" t="e">
        <f>I200/H200*VLOOKUP(F198,'[1]Membership Level'!$A$3:$C$15,3,FALSE)+K200</f>
        <v>#DIV/0!</v>
      </c>
      <c r="Q200" s="36"/>
    </row>
    <row r="201" spans="3:17" s="26" customFormat="1" x14ac:dyDescent="0.25">
      <c r="C201" s="36"/>
      <c r="D201" s="36"/>
      <c r="E201" s="54"/>
      <c r="F201" s="36"/>
      <c r="G201" s="36"/>
      <c r="H201" s="30">
        <v>0</v>
      </c>
      <c r="I201" s="30">
        <v>0</v>
      </c>
      <c r="J201" s="31"/>
      <c r="K201" s="43"/>
      <c r="L201" s="32" t="e">
        <f>DATE(YEAR(K201),MONTH(K201)+VLOOKUP($F199,'[1]Membership Level'!$A$3:$B$15,2,FALSE),DAY(K201))</f>
        <v>#N/A</v>
      </c>
      <c r="M201" s="36"/>
      <c r="N201" s="34" t="e">
        <f>IF($L201&lt;&gt;0,DATE(YEAR($L201),MONTH($L201)-#REF!,DAY($L201)-$M201),"")</f>
        <v>#N/A</v>
      </c>
      <c r="O201" s="33" t="e">
        <f t="shared" ca="1" si="6"/>
        <v>#N/A</v>
      </c>
      <c r="P201" s="34" t="e">
        <f>I201/H201*VLOOKUP(F199,'[1]Membership Level'!$A$3:$C$15,3,FALSE)+K201</f>
        <v>#DIV/0!</v>
      </c>
      <c r="Q201" s="36"/>
    </row>
    <row r="202" spans="3:17" x14ac:dyDescent="0.25">
      <c r="C202" s="36"/>
      <c r="D202" s="36"/>
      <c r="E202" s="54"/>
      <c r="G202" s="36"/>
      <c r="H202" s="30">
        <v>0</v>
      </c>
      <c r="I202" s="30">
        <v>0</v>
      </c>
      <c r="J202" s="31"/>
      <c r="K202" s="43"/>
      <c r="L202" s="32" t="e">
        <f>DATE(YEAR(K202),MONTH(K202)+VLOOKUP($F200,'[1]Membership Level'!$A$3:$B$15,2,FALSE),DAY(K202))</f>
        <v>#N/A</v>
      </c>
      <c r="M202" s="36"/>
      <c r="N202" s="34" t="e">
        <f>IF($L202&lt;&gt;0,DATE(YEAR($L202),MONTH($L202)-#REF!,DAY($L202)-$M202),"")</f>
        <v>#N/A</v>
      </c>
      <c r="O202" s="33" t="e">
        <f t="shared" ca="1" si="6"/>
        <v>#N/A</v>
      </c>
      <c r="P202" s="34" t="e">
        <f>I202/H202*VLOOKUP(F200,'[1]Membership Level'!$A$3:$C$15,3,FALSE)+K202</f>
        <v>#DIV/0!</v>
      </c>
      <c r="Q202" s="36"/>
    </row>
    <row r="203" spans="3:17" x14ac:dyDescent="0.25">
      <c r="C203" s="36"/>
      <c r="D203" s="36"/>
      <c r="E203" s="57"/>
      <c r="F203" s="36"/>
      <c r="G203" s="36"/>
      <c r="H203" s="30">
        <v>0</v>
      </c>
      <c r="I203" s="30">
        <v>0</v>
      </c>
      <c r="J203" s="31"/>
      <c r="K203" s="43"/>
      <c r="L203" s="32" t="e">
        <f>DATE(YEAR(K203),MONTH(K203)+VLOOKUP($F201,'[1]Membership Level'!$A$3:$B$15,2,FALSE),DAY(K203))</f>
        <v>#N/A</v>
      </c>
      <c r="M203" s="36"/>
      <c r="N203" s="34" t="e">
        <f>IF($L203&lt;&gt;0,DATE(YEAR($L203),MONTH($L203)-#REF!,DAY($L203)-$M203),"")</f>
        <v>#N/A</v>
      </c>
      <c r="O203" s="33" t="e">
        <f t="shared" ca="1" si="6"/>
        <v>#N/A</v>
      </c>
      <c r="P203" s="34" t="e">
        <f>I203/H203*VLOOKUP(F201,'[1]Membership Level'!$A$3:$C$15,3,FALSE)+K203</f>
        <v>#DIV/0!</v>
      </c>
      <c r="Q203" s="36"/>
    </row>
    <row r="204" spans="3:17" x14ac:dyDescent="0.25">
      <c r="C204" s="58"/>
      <c r="E204" s="54"/>
      <c r="F204" s="36"/>
      <c r="H204" s="30">
        <v>0</v>
      </c>
      <c r="I204" s="30">
        <v>0</v>
      </c>
      <c r="J204" s="31"/>
      <c r="L204" s="32" t="e">
        <f>DATE(YEAR(K204),MONTH(K204)+VLOOKUP($F202,'[1]Membership Level'!$A$3:$B$15,2,FALSE),DAY(K204))</f>
        <v>#N/A</v>
      </c>
      <c r="N204" s="34" t="e">
        <f>IF($L204&lt;&gt;0,DATE(YEAR($L204),MONTH($L204)-#REF!,DAY($L204)-$M204),"")</f>
        <v>#N/A</v>
      </c>
      <c r="O204" s="33" t="e">
        <f t="shared" ca="1" si="6"/>
        <v>#N/A</v>
      </c>
      <c r="P204" s="34" t="e">
        <f>I204/H204*VLOOKUP(F202,'[1]Membership Level'!$A$3:$C$15,3,FALSE)+K204</f>
        <v>#DIV/0!</v>
      </c>
      <c r="Q204" s="36"/>
    </row>
    <row r="205" spans="3:17" x14ac:dyDescent="0.25">
      <c r="C205" s="36"/>
      <c r="D205" s="36"/>
      <c r="E205" s="54"/>
      <c r="F205" s="36"/>
      <c r="G205" s="36"/>
      <c r="H205" s="30">
        <v>0</v>
      </c>
      <c r="I205" s="30">
        <v>0</v>
      </c>
      <c r="J205" s="31"/>
      <c r="K205" s="43"/>
      <c r="L205" s="32" t="e">
        <f>DATE(YEAR(K205),MONTH(K205)+VLOOKUP($F203,'[1]Membership Level'!$A$3:$B$15,2,FALSE),DAY(K205))</f>
        <v>#N/A</v>
      </c>
      <c r="M205" s="36"/>
      <c r="N205" s="34" t="e">
        <f>IF($L205&lt;&gt;0,DATE(YEAR($L205),MONTH($L205)-#REF!,DAY($L205)-$M205),"")</f>
        <v>#N/A</v>
      </c>
      <c r="O205" s="33" t="e">
        <f t="shared" ca="1" si="6"/>
        <v>#N/A</v>
      </c>
      <c r="P205" s="34" t="e">
        <f>I205/H205*VLOOKUP(F203,'[1]Membership Level'!$A$3:$C$15,3,FALSE)+K205</f>
        <v>#DIV/0!</v>
      </c>
      <c r="Q205" s="36"/>
    </row>
    <row r="206" spans="3:17" x14ac:dyDescent="0.25">
      <c r="C206" s="36"/>
      <c r="D206" s="36"/>
      <c r="E206" s="54"/>
      <c r="F206" s="36"/>
      <c r="G206" s="36"/>
      <c r="H206" s="30">
        <v>0</v>
      </c>
      <c r="I206" s="30">
        <v>0</v>
      </c>
      <c r="J206" s="31"/>
      <c r="K206" s="43"/>
      <c r="L206" s="32" t="e">
        <f>DATE(YEAR(K206),MONTH(K206)+VLOOKUP($F204,'[1]Membership Level'!$A$3:$B$15,2,FALSE),DAY(K206))</f>
        <v>#N/A</v>
      </c>
      <c r="M206" s="36"/>
      <c r="N206" s="34" t="e">
        <f>IF($L206&lt;&gt;0,DATE(YEAR($L206),MONTH($L206)-#REF!,DAY($L206)-$M206),"")</f>
        <v>#N/A</v>
      </c>
      <c r="O206" s="33" t="e">
        <f t="shared" ca="1" si="6"/>
        <v>#N/A</v>
      </c>
      <c r="P206" s="34" t="e">
        <f>I206/H206*VLOOKUP(F204,'[1]Membership Level'!$A$3:$C$15,3,FALSE)+K206</f>
        <v>#DIV/0!</v>
      </c>
      <c r="Q206" s="36"/>
    </row>
    <row r="207" spans="3:17" x14ac:dyDescent="0.25">
      <c r="C207" s="36"/>
      <c r="D207" s="36"/>
      <c r="E207" s="54"/>
      <c r="F207" s="36"/>
      <c r="G207" s="36"/>
      <c r="H207" s="30">
        <v>0</v>
      </c>
      <c r="I207" s="30">
        <v>0</v>
      </c>
      <c r="J207" s="31"/>
      <c r="K207" s="43"/>
      <c r="L207" s="32" t="e">
        <f>DATE(YEAR(K207),MONTH(K207)+VLOOKUP($F205,'[1]Membership Level'!$A$3:$B$15,2,FALSE),DAY(K207))</f>
        <v>#N/A</v>
      </c>
      <c r="M207" s="36"/>
      <c r="N207" s="34" t="e">
        <f>IF($L207&lt;&gt;0,DATE(YEAR($L207),MONTH($L207)-#REF!,DAY($L207)-$M207),"")</f>
        <v>#N/A</v>
      </c>
      <c r="O207" s="33" t="e">
        <f t="shared" ca="1" si="6"/>
        <v>#N/A</v>
      </c>
      <c r="P207" s="34" t="e">
        <f>I207/H207*VLOOKUP(F205,'[1]Membership Level'!$A$3:$C$15,3,FALSE)+K207</f>
        <v>#DIV/0!</v>
      </c>
      <c r="Q207" s="36"/>
    </row>
    <row r="208" spans="3:17" x14ac:dyDescent="0.25">
      <c r="C208" s="36"/>
      <c r="D208" s="36"/>
      <c r="E208" s="54"/>
      <c r="F208" s="36"/>
      <c r="G208" s="36"/>
      <c r="H208" s="30">
        <v>0</v>
      </c>
      <c r="I208" s="30">
        <v>0</v>
      </c>
      <c r="J208" s="31"/>
      <c r="K208" s="43"/>
      <c r="L208" s="32" t="e">
        <f>DATE(YEAR(K208),MONTH(K208)+VLOOKUP($F206,'[1]Membership Level'!$A$3:$B$15,2,FALSE),DAY(K208))</f>
        <v>#N/A</v>
      </c>
      <c r="M208" s="36"/>
      <c r="N208" s="34" t="e">
        <f>IF($L208&lt;&gt;0,DATE(YEAR($L208),MONTH($L208)-#REF!,DAY($L208)-$M208),"")</f>
        <v>#N/A</v>
      </c>
      <c r="O208" s="33" t="e">
        <f t="shared" ca="1" si="6"/>
        <v>#N/A</v>
      </c>
      <c r="P208" s="34" t="e">
        <f>I208/H208*VLOOKUP(F206,'[1]Membership Level'!$A$3:$C$15,3,FALSE)+K208</f>
        <v>#DIV/0!</v>
      </c>
      <c r="Q208" s="36"/>
    </row>
    <row r="209" spans="3:17" x14ac:dyDescent="0.25">
      <c r="C209" s="36"/>
      <c r="D209" s="36"/>
      <c r="E209" s="54"/>
      <c r="F209" s="36"/>
      <c r="G209" s="36"/>
      <c r="H209" s="30">
        <v>0</v>
      </c>
      <c r="I209" s="30">
        <v>0</v>
      </c>
      <c r="J209" s="31"/>
      <c r="K209" s="43"/>
      <c r="L209" s="32" t="e">
        <f>DATE(YEAR(K209),MONTH(K209)+VLOOKUP($F207,'[1]Membership Level'!$A$3:$B$15,2,FALSE),DAY(K209))</f>
        <v>#N/A</v>
      </c>
      <c r="M209" s="36"/>
      <c r="N209" s="34" t="e">
        <f>IF($L209&lt;&gt;0,DATE(YEAR($L209),MONTH($L209)-#REF!,DAY($L209)-$M209),"")</f>
        <v>#N/A</v>
      </c>
      <c r="O209" s="33" t="e">
        <f t="shared" ca="1" si="6"/>
        <v>#N/A</v>
      </c>
      <c r="P209" s="34" t="e">
        <f>I209/H209*VLOOKUP(F207,'[1]Membership Level'!$A$3:$C$15,3,FALSE)+K209</f>
        <v>#DIV/0!</v>
      </c>
      <c r="Q209" s="36"/>
    </row>
    <row r="210" spans="3:17" x14ac:dyDescent="0.25">
      <c r="C210" s="36"/>
      <c r="D210" s="36"/>
      <c r="E210" s="54"/>
      <c r="F210" s="36"/>
      <c r="G210" s="36"/>
      <c r="H210" s="30">
        <v>0</v>
      </c>
      <c r="I210" s="30">
        <v>0</v>
      </c>
      <c r="J210" s="31"/>
      <c r="K210" s="43"/>
      <c r="L210" s="32" t="e">
        <f>DATE(YEAR(K210),MONTH(K210)+VLOOKUP($F208,'[1]Membership Level'!$A$3:$B$15,2,FALSE),DAY(K210))</f>
        <v>#N/A</v>
      </c>
      <c r="M210" s="36"/>
      <c r="N210" s="34" t="e">
        <f>IF($L210&lt;&gt;0,DATE(YEAR($L210),MONTH($L210)-#REF!,DAY($L210)-$M210),"")</f>
        <v>#N/A</v>
      </c>
      <c r="O210" s="33" t="e">
        <f t="shared" ca="1" si="6"/>
        <v>#N/A</v>
      </c>
      <c r="P210" s="34" t="e">
        <f>I210/H210*VLOOKUP(F208,'[1]Membership Level'!$A$3:$C$15,3,FALSE)+K210</f>
        <v>#DIV/0!</v>
      </c>
      <c r="Q210" s="35"/>
    </row>
    <row r="211" spans="3:17" x14ac:dyDescent="0.25">
      <c r="C211" s="36"/>
      <c r="D211" s="36"/>
      <c r="E211" s="54"/>
      <c r="F211" s="36"/>
      <c r="G211" s="36"/>
      <c r="H211" s="30">
        <v>0</v>
      </c>
      <c r="I211" s="30">
        <v>0</v>
      </c>
      <c r="J211" s="31"/>
      <c r="K211" s="43"/>
      <c r="L211" s="32" t="e">
        <f>DATE(YEAR(K211),MONTH(K211)+VLOOKUP($F209,'[1]Membership Level'!$A$3:$B$15,2,FALSE),DAY(K211))</f>
        <v>#N/A</v>
      </c>
      <c r="M211" s="36"/>
      <c r="N211" s="34" t="e">
        <f>IF($L211&lt;&gt;0,DATE(YEAR($L211),MONTH($L211)-#REF!,DAY($L211)-$M211),"")</f>
        <v>#N/A</v>
      </c>
      <c r="O211" s="33" t="e">
        <f t="shared" ca="1" si="6"/>
        <v>#N/A</v>
      </c>
      <c r="P211" s="34" t="e">
        <f>I211/H211*VLOOKUP(F209,'[1]Membership Level'!$A$3:$C$15,3,FALSE)+K211</f>
        <v>#DIV/0!</v>
      </c>
      <c r="Q211" s="36"/>
    </row>
    <row r="212" spans="3:17" x14ac:dyDescent="0.25">
      <c r="C212" s="36"/>
      <c r="D212" s="36"/>
      <c r="E212" s="54"/>
      <c r="F212" s="36"/>
      <c r="G212" s="36"/>
      <c r="H212" s="30">
        <v>0</v>
      </c>
      <c r="I212" s="30">
        <v>0</v>
      </c>
      <c r="J212" s="31"/>
      <c r="K212" s="43"/>
      <c r="L212" s="32" t="e">
        <f>DATE(YEAR(K212),MONTH(K212)+VLOOKUP($F210,'[1]Membership Level'!$A$3:$B$15,2,FALSE),DAY(K212))</f>
        <v>#N/A</v>
      </c>
      <c r="M212" s="36"/>
      <c r="N212" s="34" t="e">
        <f>IF($L212&lt;&gt;0,DATE(YEAR($L212),MONTH($L212)-#REF!,DAY($L212)-$M212),"")</f>
        <v>#N/A</v>
      </c>
      <c r="O212" s="33" t="e">
        <f t="shared" ca="1" si="6"/>
        <v>#N/A</v>
      </c>
      <c r="P212" s="34" t="e">
        <f>I212/H212*VLOOKUP(F210,'[1]Membership Level'!$A$3:$C$15,3,FALSE)+K212</f>
        <v>#DIV/0!</v>
      </c>
      <c r="Q212" s="36"/>
    </row>
    <row r="213" spans="3:17" x14ac:dyDescent="0.25">
      <c r="C213" s="36"/>
      <c r="D213" s="36"/>
      <c r="E213" s="54"/>
      <c r="F213" s="36"/>
      <c r="G213" s="36"/>
      <c r="H213" s="30">
        <v>0</v>
      </c>
      <c r="I213" s="30">
        <v>0</v>
      </c>
      <c r="J213" s="31"/>
      <c r="K213" s="43"/>
      <c r="L213" s="32" t="e">
        <f>DATE(YEAR(K213),MONTH(K213)+VLOOKUP($F211,'[1]Membership Level'!$A$3:$B$15,2,FALSE),DAY(K213))</f>
        <v>#N/A</v>
      </c>
      <c r="M213" s="36"/>
      <c r="N213" s="34" t="e">
        <f>IF($L213&lt;&gt;0,DATE(YEAR($L213),MONTH($L213)-#REF!,DAY($L213)-$M213),"")</f>
        <v>#N/A</v>
      </c>
      <c r="O213" s="33" t="e">
        <f t="shared" ca="1" si="6"/>
        <v>#N/A</v>
      </c>
      <c r="P213" s="34" t="e">
        <f>I213/H213*VLOOKUP(F211,'[1]Membership Level'!$A$3:$C$15,3,FALSE)+K213</f>
        <v>#DIV/0!</v>
      </c>
      <c r="Q213" s="36"/>
    </row>
    <row r="214" spans="3:17" x14ac:dyDescent="0.25">
      <c r="C214" s="36"/>
      <c r="D214" s="36"/>
      <c r="E214" s="54"/>
      <c r="F214" s="36"/>
      <c r="G214" s="36"/>
      <c r="H214" s="30">
        <v>0</v>
      </c>
      <c r="I214" s="30">
        <v>0</v>
      </c>
      <c r="J214" s="31"/>
      <c r="K214" s="43"/>
      <c r="L214" s="32" t="e">
        <f>DATE(YEAR(K214),MONTH(K214)+VLOOKUP($F212,'[1]Membership Level'!$A$3:$B$15,2,FALSE),DAY(K214))</f>
        <v>#N/A</v>
      </c>
      <c r="M214" s="36"/>
      <c r="N214" s="34" t="e">
        <f>IF($L214&lt;&gt;0,DATE(YEAR($L214),MONTH($L214)-#REF!,DAY($L214)-$M214),"")</f>
        <v>#N/A</v>
      </c>
      <c r="O214" s="33" t="e">
        <f t="shared" ca="1" si="6"/>
        <v>#N/A</v>
      </c>
      <c r="P214" s="34" t="e">
        <f>I214/H214*VLOOKUP(F212,'[1]Membership Level'!$A$3:$C$15,3,FALSE)+K214</f>
        <v>#DIV/0!</v>
      </c>
      <c r="Q214" s="36"/>
    </row>
    <row r="215" spans="3:17" s="26" customFormat="1" x14ac:dyDescent="0.25">
      <c r="C215" s="36"/>
      <c r="D215" s="36"/>
      <c r="E215" s="54"/>
      <c r="F215" s="36"/>
      <c r="G215" s="36"/>
      <c r="H215" s="30"/>
      <c r="I215" s="30">
        <v>0</v>
      </c>
      <c r="J215" s="31"/>
      <c r="K215" s="43"/>
      <c r="L215" s="32" t="e">
        <f>DATE(YEAR(K215),MONTH(K215)+VLOOKUP($F213,'[1]Membership Level'!$A$3:$B$15,2,FALSE),DAY(K215))</f>
        <v>#N/A</v>
      </c>
      <c r="M215" s="36"/>
      <c r="N215" s="34" t="e">
        <f>IF($L215&lt;&gt;0,DATE(YEAR($L215),MONTH($L215)-#REF!,DAY($L215)-$M215),"")</f>
        <v>#N/A</v>
      </c>
      <c r="O215" s="33" t="e">
        <f t="shared" ca="1" si="6"/>
        <v>#N/A</v>
      </c>
      <c r="P215" s="34" t="e">
        <f>I215/H215*VLOOKUP(F213,'[1]Membership Level'!$A$3:$C$15,3,FALSE)+K215</f>
        <v>#DIV/0!</v>
      </c>
      <c r="Q215" s="36"/>
    </row>
    <row r="216" spans="3:17" x14ac:dyDescent="0.25">
      <c r="C216" s="36"/>
      <c r="D216" s="36"/>
      <c r="E216" s="54"/>
      <c r="F216" s="36"/>
      <c r="G216" s="36"/>
      <c r="H216" s="30"/>
      <c r="I216" s="30">
        <v>0</v>
      </c>
      <c r="J216" s="31"/>
      <c r="K216" s="43"/>
      <c r="L216" s="32" t="e">
        <f>DATE(YEAR(K216),MONTH(K216)+VLOOKUP($F214,'[1]Membership Level'!$A$3:$B$15,2,FALSE),DAY(K216))</f>
        <v>#N/A</v>
      </c>
      <c r="M216" s="36"/>
      <c r="N216" s="34" t="e">
        <f>IF($L216&lt;&gt;0,DATE(YEAR($L216),MONTH($L216)-#REF!,DAY($L216)-$M216),"")</f>
        <v>#N/A</v>
      </c>
      <c r="O216" s="33" t="e">
        <f t="shared" ca="1" si="6"/>
        <v>#N/A</v>
      </c>
      <c r="P216" s="34" t="e">
        <f>I216/H216*VLOOKUP(F214,'[1]Membership Level'!$A$3:$C$15,3,FALSE)+K216</f>
        <v>#DIV/0!</v>
      </c>
      <c r="Q216" s="36"/>
    </row>
    <row r="217" spans="3:17" x14ac:dyDescent="0.25">
      <c r="C217" s="36"/>
      <c r="D217" s="36"/>
      <c r="E217" s="54"/>
      <c r="F217" s="36"/>
      <c r="G217" s="36"/>
      <c r="H217" s="30"/>
      <c r="I217" s="30">
        <v>0</v>
      </c>
      <c r="J217" s="31"/>
      <c r="K217" s="43"/>
      <c r="L217" s="32" t="e">
        <f>DATE(YEAR(K217),MONTH(K217)+VLOOKUP($F215,'[1]Membership Level'!$A$3:$B$15,2,FALSE),DAY(K217))</f>
        <v>#N/A</v>
      </c>
      <c r="M217" s="36"/>
      <c r="N217" s="34" t="e">
        <f>IF($L217&lt;&gt;0,DATE(YEAR($L217),MONTH($L217)-#REF!,DAY($L217)-$M217),"")</f>
        <v>#N/A</v>
      </c>
      <c r="O217" s="33" t="e">
        <f t="shared" ca="1" si="6"/>
        <v>#N/A</v>
      </c>
      <c r="P217" s="34" t="e">
        <f>I217/H217*VLOOKUP(F215,'[1]Membership Level'!$A$3:$C$15,3,FALSE)+K217</f>
        <v>#DIV/0!</v>
      </c>
      <c r="Q217" s="36"/>
    </row>
    <row r="218" spans="3:17" x14ac:dyDescent="0.25">
      <c r="C218" s="36"/>
      <c r="D218" s="36"/>
      <c r="E218" s="54"/>
      <c r="F218" s="36"/>
      <c r="G218" s="36"/>
      <c r="H218" s="30"/>
      <c r="I218" s="30">
        <v>0</v>
      </c>
      <c r="J218" s="31"/>
      <c r="K218" s="43"/>
      <c r="L218" s="32" t="e">
        <f>DATE(YEAR(K218),MONTH(K218)+VLOOKUP($F216,'[1]Membership Level'!$A$3:$B$15,2,FALSE),DAY(K218))</f>
        <v>#N/A</v>
      </c>
      <c r="M218" s="36"/>
      <c r="N218" s="34" t="e">
        <f>IF($L218&lt;&gt;0,DATE(YEAR($L218),MONTH($L218)-#REF!,DAY($L218)-$M218),"")</f>
        <v>#N/A</v>
      </c>
      <c r="O218" s="33" t="e">
        <f t="shared" ca="1" si="6"/>
        <v>#N/A</v>
      </c>
      <c r="P218" s="34" t="e">
        <f>I218/H218*VLOOKUP(F216,'[1]Membership Level'!$A$3:$C$15,3,FALSE)+K218</f>
        <v>#DIV/0!</v>
      </c>
      <c r="Q218" s="36"/>
    </row>
    <row r="219" spans="3:17" x14ac:dyDescent="0.25">
      <c r="C219" s="36"/>
      <c r="D219" s="36"/>
      <c r="E219" s="54"/>
      <c r="F219" s="36"/>
      <c r="G219" s="36"/>
      <c r="H219" s="30"/>
      <c r="I219" s="30">
        <v>0</v>
      </c>
      <c r="J219" s="31"/>
      <c r="K219" s="43"/>
      <c r="L219" s="32" t="e">
        <f>DATE(YEAR(K219),MONTH(K219)+VLOOKUP($F217,'[1]Membership Level'!$A$3:$B$15,2,FALSE),DAY(K219))</f>
        <v>#N/A</v>
      </c>
      <c r="M219" s="36"/>
      <c r="N219" s="34" t="e">
        <f>IF($L219&lt;&gt;0,DATE(YEAR($L219),MONTH($L219)-#REF!,DAY($L219)-$M219),"")</f>
        <v>#N/A</v>
      </c>
      <c r="O219" s="33" t="e">
        <f t="shared" ca="1" si="6"/>
        <v>#N/A</v>
      </c>
      <c r="P219" s="34" t="e">
        <f>I219/H219*VLOOKUP(F217,'[1]Membership Level'!$A$3:$C$15,3,FALSE)+K219</f>
        <v>#DIV/0!</v>
      </c>
      <c r="Q219" s="36"/>
    </row>
    <row r="220" spans="3:17" x14ac:dyDescent="0.25">
      <c r="C220" s="36"/>
      <c r="D220" s="36"/>
      <c r="E220" s="54"/>
      <c r="F220" s="36"/>
      <c r="G220" s="36"/>
      <c r="H220" s="30"/>
      <c r="I220" s="30">
        <v>0</v>
      </c>
      <c r="J220" s="31"/>
      <c r="K220" s="43"/>
      <c r="L220" s="32" t="e">
        <f>DATE(YEAR(K220),MONTH(K220)+VLOOKUP($F218,'[1]Membership Level'!$A$3:$B$15,2,FALSE),DAY(K220))</f>
        <v>#N/A</v>
      </c>
      <c r="M220" s="36"/>
      <c r="N220" s="34" t="e">
        <f>IF($L220&lt;&gt;0,DATE(YEAR($L220),MONTH($L220)-#REF!,DAY($L220)-$M220),"")</f>
        <v>#N/A</v>
      </c>
      <c r="O220" s="33" t="e">
        <f t="shared" ca="1" si="6"/>
        <v>#N/A</v>
      </c>
      <c r="P220" s="34" t="e">
        <f>I220/H220*VLOOKUP(F218,'[1]Membership Level'!$A$3:$C$15,3,FALSE)+K220</f>
        <v>#DIV/0!</v>
      </c>
      <c r="Q220" s="36"/>
    </row>
    <row r="221" spans="3:17" x14ac:dyDescent="0.25">
      <c r="C221" s="36"/>
      <c r="D221" s="36"/>
      <c r="E221" s="54"/>
      <c r="F221" s="36"/>
      <c r="G221" s="36"/>
      <c r="H221" s="30"/>
      <c r="I221" s="30">
        <v>0</v>
      </c>
      <c r="J221" s="31"/>
      <c r="K221" s="43"/>
      <c r="L221" s="32" t="e">
        <f>DATE(YEAR(K221),MONTH(K221)+VLOOKUP($F219,'[1]Membership Level'!$A$3:$B$15,2,FALSE),DAY(K221))</f>
        <v>#N/A</v>
      </c>
      <c r="M221" s="36"/>
      <c r="N221" s="34" t="e">
        <f>IF($L221&lt;&gt;0,DATE(YEAR($L221),MONTH($L221)-#REF!,DAY($L221)-$M221),"")</f>
        <v>#N/A</v>
      </c>
      <c r="O221" s="33" t="e">
        <f t="shared" ca="1" si="6"/>
        <v>#N/A</v>
      </c>
      <c r="P221" s="34" t="e">
        <f>I221/H221*VLOOKUP(F219,'[1]Membership Level'!$A$3:$C$15,3,FALSE)+K221</f>
        <v>#DIV/0!</v>
      </c>
      <c r="Q221" s="36"/>
    </row>
    <row r="222" spans="3:17" x14ac:dyDescent="0.25">
      <c r="C222" s="36"/>
      <c r="D222" s="36"/>
      <c r="E222" s="54"/>
      <c r="F222" s="36"/>
      <c r="G222" s="36"/>
      <c r="H222" s="30"/>
      <c r="I222" s="30">
        <v>0</v>
      </c>
      <c r="J222" s="31"/>
      <c r="K222" s="43"/>
      <c r="L222" s="32" t="e">
        <f>DATE(YEAR(K222),MONTH(K222)+VLOOKUP($F220,'[1]Membership Level'!$A$3:$B$15,2,FALSE),DAY(K222))</f>
        <v>#N/A</v>
      </c>
      <c r="M222" s="36"/>
      <c r="N222" s="34" t="e">
        <f>IF($L222&lt;&gt;0,DATE(YEAR($L222),MONTH($L222)-#REF!,DAY($L222)-$M222),"")</f>
        <v>#N/A</v>
      </c>
      <c r="O222" s="33" t="e">
        <f t="shared" ca="1" si="6"/>
        <v>#N/A</v>
      </c>
      <c r="P222" s="34" t="e">
        <f>I222/H222*VLOOKUP(F220,'[1]Membership Level'!$A$3:$C$15,3,FALSE)+K222</f>
        <v>#DIV/0!</v>
      </c>
      <c r="Q222" s="36"/>
    </row>
    <row r="223" spans="3:17" x14ac:dyDescent="0.25">
      <c r="C223" s="36"/>
      <c r="D223" s="36"/>
      <c r="E223" s="54"/>
      <c r="F223" s="36"/>
      <c r="G223" s="36"/>
      <c r="H223" s="30"/>
      <c r="I223" s="30">
        <v>0</v>
      </c>
      <c r="J223" s="31"/>
      <c r="K223" s="43"/>
      <c r="L223" s="32" t="e">
        <f>DATE(YEAR(K223),MONTH(K223)+VLOOKUP($F221,'[1]Membership Level'!$A$3:$B$15,2,FALSE),DAY(K223))</f>
        <v>#N/A</v>
      </c>
      <c r="M223" s="36"/>
      <c r="N223" s="34" t="e">
        <f>IF($L223&lt;&gt;0,DATE(YEAR($L223),MONTH($L223)-#REF!,DAY($L223)-$M223),"")</f>
        <v>#N/A</v>
      </c>
      <c r="O223" s="33" t="e">
        <f t="shared" ca="1" si="6"/>
        <v>#N/A</v>
      </c>
      <c r="P223" s="34" t="e">
        <f>I223/H223*VLOOKUP(F221,'[1]Membership Level'!$A$3:$C$15,3,FALSE)+K223</f>
        <v>#DIV/0!</v>
      </c>
      <c r="Q223" s="43"/>
    </row>
    <row r="224" spans="3:17" x14ac:dyDescent="0.25">
      <c r="C224" s="36"/>
      <c r="D224" s="36"/>
      <c r="E224" s="54"/>
      <c r="F224" s="36"/>
      <c r="G224" s="36"/>
      <c r="H224" s="30"/>
      <c r="I224" s="30">
        <v>0</v>
      </c>
      <c r="J224" s="31"/>
      <c r="K224" s="43"/>
      <c r="L224" s="32" t="e">
        <f>DATE(YEAR(K224),MONTH(K224)+VLOOKUP($F222,'[1]Membership Level'!$A$3:$B$15,2,FALSE),DAY(K224))</f>
        <v>#N/A</v>
      </c>
      <c r="M224" s="36"/>
      <c r="N224" s="34" t="e">
        <f>IF($L224&lt;&gt;0,DATE(YEAR($L224),MONTH($L224)-#REF!,DAY($L224)-$M224),"")</f>
        <v>#N/A</v>
      </c>
      <c r="O224" s="33" t="e">
        <f t="shared" ca="1" si="6"/>
        <v>#N/A</v>
      </c>
      <c r="P224" s="34" t="e">
        <f>I224/H224*VLOOKUP(F222,'[1]Membership Level'!$A$3:$C$15,3,FALSE)+K224</f>
        <v>#DIV/0!</v>
      </c>
      <c r="Q224" s="36"/>
    </row>
    <row r="225" spans="3:17" x14ac:dyDescent="0.25">
      <c r="C225" s="36"/>
      <c r="D225" s="36"/>
      <c r="E225" s="54"/>
      <c r="F225" s="36"/>
      <c r="G225" s="36"/>
      <c r="H225" s="30"/>
      <c r="I225" s="30">
        <v>0</v>
      </c>
      <c r="J225" s="31"/>
      <c r="K225" s="43"/>
      <c r="L225" s="32" t="e">
        <f>DATE(YEAR(K225),MONTH(K225)+VLOOKUP($F223,'[1]Membership Level'!$A$3:$B$15,2,FALSE),DAY(K225))</f>
        <v>#N/A</v>
      </c>
      <c r="M225" s="36"/>
      <c r="N225" s="34" t="e">
        <f>IF($L225&lt;&gt;0,DATE(YEAR($L225),MONTH($L225)-#REF!,DAY($L225)-$M225),"")</f>
        <v>#N/A</v>
      </c>
      <c r="O225" s="33" t="e">
        <f t="shared" ca="1" si="6"/>
        <v>#N/A</v>
      </c>
      <c r="P225" s="34" t="e">
        <f>I225/H225*VLOOKUP(F223,'[1]Membership Level'!$A$3:$C$15,3,FALSE)+K225</f>
        <v>#DIV/0!</v>
      </c>
      <c r="Q225" s="36"/>
    </row>
    <row r="226" spans="3:17" x14ac:dyDescent="0.25">
      <c r="C226" s="36"/>
      <c r="D226" s="36"/>
      <c r="E226" s="54"/>
      <c r="F226" s="36"/>
      <c r="G226" s="36"/>
      <c r="H226" s="30"/>
      <c r="I226" s="30">
        <v>0</v>
      </c>
      <c r="J226" s="31"/>
      <c r="K226" s="43"/>
      <c r="L226" s="32" t="e">
        <f>DATE(YEAR(K226),MONTH(K226)+VLOOKUP($F224,'[1]Membership Level'!$A$3:$B$15,2,FALSE),DAY(K226))</f>
        <v>#N/A</v>
      </c>
      <c r="M226" s="36"/>
      <c r="N226" s="34" t="e">
        <f>IF($L226&lt;&gt;0,DATE(YEAR($L226),MONTH($L226)-#REF!,DAY($L226)-$M226),"")</f>
        <v>#N/A</v>
      </c>
      <c r="O226" s="33" t="e">
        <f t="shared" ca="1" si="6"/>
        <v>#N/A</v>
      </c>
      <c r="P226" s="34" t="e">
        <f>I226/H226*VLOOKUP(F224,'[1]Membership Level'!$A$3:$C$15,3,FALSE)+K226</f>
        <v>#DIV/0!</v>
      </c>
      <c r="Q226" s="36"/>
    </row>
    <row r="227" spans="3:17" x14ac:dyDescent="0.25">
      <c r="C227" s="36"/>
      <c r="D227" s="36"/>
      <c r="E227" s="54"/>
      <c r="F227" s="36"/>
      <c r="G227" s="36"/>
      <c r="H227" s="30"/>
      <c r="I227" s="30">
        <v>0</v>
      </c>
      <c r="J227" s="31"/>
      <c r="K227" s="43"/>
      <c r="L227" s="32" t="e">
        <f>DATE(YEAR(K227),MONTH(K227)+VLOOKUP($F225,'[1]Membership Level'!$A$3:$B$15,2,FALSE),DAY(K227))</f>
        <v>#N/A</v>
      </c>
      <c r="M227" s="36"/>
      <c r="N227" s="34" t="e">
        <f>IF($L227&lt;&gt;0,DATE(YEAR($L227),MONTH($L227)-#REF!,DAY($L227)-$M227),"")</f>
        <v>#N/A</v>
      </c>
      <c r="O227" s="33" t="e">
        <f t="shared" ca="1" si="6"/>
        <v>#N/A</v>
      </c>
      <c r="P227" s="34" t="e">
        <f>I227/H227*VLOOKUP(F225,'[1]Membership Level'!$A$3:$C$15,3,FALSE)+K227</f>
        <v>#DIV/0!</v>
      </c>
      <c r="Q227" s="36"/>
    </row>
    <row r="228" spans="3:17" x14ac:dyDescent="0.25">
      <c r="C228" s="36"/>
      <c r="D228" s="36"/>
      <c r="E228" s="54"/>
      <c r="F228" s="36"/>
      <c r="G228" s="36"/>
      <c r="H228" s="30"/>
      <c r="I228" s="30">
        <v>0</v>
      </c>
      <c r="J228" s="31"/>
      <c r="K228" s="43"/>
      <c r="L228" s="32" t="e">
        <f>DATE(YEAR(K228),MONTH(K228)+VLOOKUP($F226,'[1]Membership Level'!$A$3:$B$15,2,FALSE),DAY(K228))</f>
        <v>#N/A</v>
      </c>
      <c r="M228" s="36"/>
      <c r="N228" s="34" t="e">
        <f>IF($L228&lt;&gt;0,DATE(YEAR($L228),MONTH($L228)-#REF!,DAY($L228)-$M228),"")</f>
        <v>#N/A</v>
      </c>
      <c r="O228" s="33" t="e">
        <f t="shared" ca="1" si="6"/>
        <v>#N/A</v>
      </c>
      <c r="P228" s="34" t="e">
        <f>I228/H228*VLOOKUP(F226,'[1]Membership Level'!$A$3:$C$15,3,FALSE)+K228</f>
        <v>#DIV/0!</v>
      </c>
      <c r="Q228" s="36"/>
    </row>
    <row r="229" spans="3:17" x14ac:dyDescent="0.25">
      <c r="C229" s="36"/>
      <c r="D229" s="36"/>
      <c r="E229" s="54"/>
      <c r="F229" s="36"/>
      <c r="G229" s="36"/>
      <c r="H229" s="30"/>
      <c r="I229" s="30">
        <v>0</v>
      </c>
      <c r="J229" s="31"/>
      <c r="K229" s="43"/>
      <c r="L229" s="32" t="e">
        <f>DATE(YEAR(K229),MONTH(K229)+VLOOKUP($F227,'[1]Membership Level'!$A$3:$B$15,2,FALSE),DAY(K229))</f>
        <v>#N/A</v>
      </c>
      <c r="M229" s="36"/>
      <c r="N229" s="34" t="e">
        <f>IF($L229&lt;&gt;0,DATE(YEAR($L229),MONTH($L229)-#REF!,DAY($L229)-$M229),"")</f>
        <v>#N/A</v>
      </c>
      <c r="O229" s="33" t="e">
        <f t="shared" ca="1" si="6"/>
        <v>#N/A</v>
      </c>
      <c r="P229" s="34" t="e">
        <f>I229/H229*VLOOKUP(F227,'[1]Membership Level'!$A$3:$C$15,3,FALSE)+K229</f>
        <v>#DIV/0!</v>
      </c>
      <c r="Q229" s="36"/>
    </row>
    <row r="230" spans="3:17" x14ac:dyDescent="0.25">
      <c r="C230" s="36"/>
      <c r="D230" s="36"/>
      <c r="E230" s="54"/>
      <c r="F230" s="36"/>
      <c r="G230" s="36"/>
      <c r="H230" s="30"/>
      <c r="I230" s="30">
        <v>0</v>
      </c>
      <c r="J230" s="31"/>
      <c r="K230" s="43"/>
      <c r="L230" s="32" t="e">
        <f>DATE(YEAR(K230),MONTH(K230)+VLOOKUP($F228,'[1]Membership Level'!$A$3:$B$15,2,FALSE),DAY(K230))</f>
        <v>#N/A</v>
      </c>
      <c r="M230" s="36"/>
      <c r="N230" s="34" t="e">
        <f>IF($L230&lt;&gt;0,DATE(YEAR($L230),MONTH($L230)-#REF!,DAY($L230)-$M230),"")</f>
        <v>#N/A</v>
      </c>
      <c r="O230" s="33" t="e">
        <f t="shared" ca="1" si="6"/>
        <v>#N/A</v>
      </c>
      <c r="P230" s="34" t="e">
        <f>I230/H230*VLOOKUP(F228,'[1]Membership Level'!$A$3:$C$15,3,FALSE)+K230</f>
        <v>#DIV/0!</v>
      </c>
      <c r="Q230" s="36"/>
    </row>
    <row r="231" spans="3:17" x14ac:dyDescent="0.25">
      <c r="C231" s="36"/>
      <c r="D231" s="36"/>
      <c r="E231" s="54"/>
      <c r="F231" s="36"/>
      <c r="G231" s="36"/>
      <c r="H231" s="30"/>
      <c r="I231" s="30">
        <v>0</v>
      </c>
      <c r="J231" s="31"/>
      <c r="K231" s="43"/>
      <c r="L231" s="32" t="e">
        <f>DATE(YEAR(K231),MONTH(K231)+VLOOKUP($F229,'[1]Membership Level'!$A$3:$B$15,2,FALSE),DAY(K231))</f>
        <v>#N/A</v>
      </c>
      <c r="M231" s="36"/>
      <c r="N231" s="34" t="e">
        <f>IF($L231&lt;&gt;0,DATE(YEAR($L231),MONTH($L231)-#REF!,DAY($L231)-$M231),"")</f>
        <v>#N/A</v>
      </c>
      <c r="O231" s="33" t="e">
        <f t="shared" ca="1" si="6"/>
        <v>#N/A</v>
      </c>
      <c r="P231" s="34" t="e">
        <f>I231/H231*VLOOKUP(F229,'[1]Membership Level'!$A$3:$C$15,3,FALSE)+K231</f>
        <v>#DIV/0!</v>
      </c>
      <c r="Q231" s="36"/>
    </row>
    <row r="232" spans="3:17" x14ac:dyDescent="0.25">
      <c r="C232" s="36"/>
      <c r="D232" s="36"/>
      <c r="E232" s="54"/>
      <c r="F232" s="45"/>
      <c r="G232" s="36"/>
      <c r="H232" s="30"/>
      <c r="I232" s="30">
        <v>0</v>
      </c>
      <c r="J232" s="31"/>
      <c r="K232" s="43"/>
      <c r="L232" s="32" t="e">
        <f>DATE(YEAR(K232),MONTH(K232)+VLOOKUP($F230,'[1]Membership Level'!$A$3:$B$15,2,FALSE),DAY(K232))</f>
        <v>#N/A</v>
      </c>
      <c r="M232" s="36"/>
      <c r="N232" s="34" t="e">
        <f>IF($L232&lt;&gt;0,DATE(YEAR($L232),MONTH($L232)-#REF!,DAY($L232)-$M232),"")</f>
        <v>#N/A</v>
      </c>
      <c r="O232" s="33" t="e">
        <f t="shared" ca="1" si="6"/>
        <v>#N/A</v>
      </c>
      <c r="P232" s="34" t="e">
        <f>I232/H232*VLOOKUP(F230,'[1]Membership Level'!$A$3:$C$15,3,FALSE)+K232</f>
        <v>#DIV/0!</v>
      </c>
      <c r="Q232" s="36"/>
    </row>
    <row r="233" spans="3:17" x14ac:dyDescent="0.25">
      <c r="C233" s="36"/>
      <c r="D233" s="36"/>
      <c r="E233" s="59"/>
      <c r="F233" s="36"/>
      <c r="G233" s="36"/>
      <c r="H233" s="30"/>
      <c r="I233" s="30">
        <v>0</v>
      </c>
      <c r="J233" s="31"/>
      <c r="K233" s="43"/>
      <c r="L233" s="32" t="e">
        <f>DATE(YEAR(K233),MONTH(K233)+VLOOKUP($F231,'[1]Membership Level'!$A$3:$B$15,2,FALSE),DAY(K233))</f>
        <v>#N/A</v>
      </c>
      <c r="M233" s="36"/>
      <c r="N233" s="34" t="e">
        <f>IF($L233&lt;&gt;0,DATE(YEAR($L233),MONTH($L233)-#REF!,DAY($L233)-$M233),"")</f>
        <v>#N/A</v>
      </c>
      <c r="O233" s="33" t="e">
        <f t="shared" ca="1" si="6"/>
        <v>#N/A</v>
      </c>
      <c r="P233" s="34" t="e">
        <f>I233/H233*VLOOKUP(F231,'[1]Membership Level'!$A$3:$C$15,3,FALSE)+K233</f>
        <v>#DIV/0!</v>
      </c>
      <c r="Q233" s="36"/>
    </row>
    <row r="234" spans="3:17" s="27" customFormat="1" x14ac:dyDescent="0.25">
      <c r="C234" s="45"/>
      <c r="D234" s="45"/>
      <c r="E234" s="54"/>
      <c r="F234" s="36"/>
      <c r="G234" s="45"/>
      <c r="H234" s="30"/>
      <c r="I234" s="30">
        <v>0</v>
      </c>
      <c r="J234" s="31"/>
      <c r="K234" s="60"/>
      <c r="L234" s="32" t="e">
        <f>DATE(YEAR(K234),MONTH(K234)+VLOOKUP($F232,'[1]Membership Level'!$A$3:$B$15,2,FALSE),DAY(K234))</f>
        <v>#N/A</v>
      </c>
      <c r="M234" s="36"/>
      <c r="N234" s="34" t="e">
        <f>IF($L234&lt;&gt;0,DATE(YEAR($L234),MONTH($L234)-#REF!,DAY($L234)-$M234),"")</f>
        <v>#N/A</v>
      </c>
      <c r="O234" s="33" t="e">
        <f t="shared" ca="1" si="6"/>
        <v>#N/A</v>
      </c>
      <c r="P234" s="34" t="e">
        <f>I234/H234*VLOOKUP(F232,'[1]Membership Level'!$A$3:$C$15,3,FALSE)+K234</f>
        <v>#DIV/0!</v>
      </c>
      <c r="Q234" s="45"/>
    </row>
    <row r="235" spans="3:17" x14ac:dyDescent="0.25">
      <c r="C235" s="36"/>
      <c r="D235" s="36"/>
      <c r="E235" s="54"/>
      <c r="F235" s="36"/>
      <c r="G235" s="36"/>
      <c r="H235" s="30"/>
      <c r="I235" s="30">
        <v>0</v>
      </c>
      <c r="J235" s="31"/>
      <c r="K235" s="43"/>
      <c r="L235" s="32" t="e">
        <f>DATE(YEAR(K235),MONTH(K235)+VLOOKUP($F233,'[1]Membership Level'!$A$3:$B$15,2,FALSE),DAY(K235))</f>
        <v>#N/A</v>
      </c>
      <c r="M235" s="36"/>
      <c r="N235" s="34" t="e">
        <f>IF($L235&lt;&gt;0,DATE(YEAR($L235),MONTH($L235)-#REF!,DAY($L235)-$M235),"")</f>
        <v>#N/A</v>
      </c>
      <c r="O235" s="33" t="e">
        <f t="shared" ca="1" si="6"/>
        <v>#N/A</v>
      </c>
      <c r="P235" s="34" t="e">
        <f>I235/H235*VLOOKUP(F233,'[1]Membership Level'!$A$3:$C$15,3,FALSE)+K235</f>
        <v>#DIV/0!</v>
      </c>
      <c r="Q235" s="36"/>
    </row>
    <row r="236" spans="3:17" x14ac:dyDescent="0.25">
      <c r="C236" s="36"/>
      <c r="D236" s="36"/>
      <c r="E236" s="54"/>
      <c r="F236" s="36"/>
      <c r="G236" s="36"/>
      <c r="H236" s="30"/>
      <c r="I236" s="30">
        <v>0</v>
      </c>
      <c r="J236" s="31"/>
      <c r="K236" s="43"/>
      <c r="L236" s="32" t="e">
        <f>DATE(YEAR(K236),MONTH(K236)+VLOOKUP($F234,'[1]Membership Level'!$A$3:$B$15,2,FALSE),DAY(K236))</f>
        <v>#N/A</v>
      </c>
      <c r="M236" s="36"/>
      <c r="N236" s="34" t="e">
        <f>IF($L236&lt;&gt;0,DATE(YEAR($L236),MONTH($L236)-#REF!,DAY($L236)-$M236),"")</f>
        <v>#N/A</v>
      </c>
      <c r="O236" s="33" t="e">
        <f t="shared" ca="1" si="6"/>
        <v>#N/A</v>
      </c>
      <c r="P236" s="34" t="e">
        <f>I236/H236*VLOOKUP(F234,'[1]Membership Level'!$A$3:$C$15,3,FALSE)+K236</f>
        <v>#DIV/0!</v>
      </c>
      <c r="Q236" s="36"/>
    </row>
    <row r="237" spans="3:17" x14ac:dyDescent="0.25">
      <c r="C237" s="36"/>
      <c r="D237" s="36"/>
      <c r="E237" s="54"/>
      <c r="F237" s="36"/>
      <c r="G237" s="36"/>
      <c r="H237" s="30"/>
      <c r="I237" s="30">
        <v>0</v>
      </c>
      <c r="J237" s="31"/>
      <c r="K237" s="43"/>
      <c r="L237" s="32" t="e">
        <f>DATE(YEAR(K237),MONTH(K237)+VLOOKUP($F235,'[1]Membership Level'!$A$3:$B$15,2,FALSE),DAY(K237))</f>
        <v>#N/A</v>
      </c>
      <c r="M237" s="36"/>
      <c r="N237" s="34" t="e">
        <f>IF($L237&lt;&gt;0,DATE(YEAR($L237),MONTH($L237)-#REF!,DAY($L237)-$M237),"")</f>
        <v>#N/A</v>
      </c>
      <c r="O237" s="33" t="e">
        <f t="shared" ca="1" si="6"/>
        <v>#N/A</v>
      </c>
      <c r="P237" s="34" t="e">
        <f>I237/H237*VLOOKUP(F235,'[1]Membership Level'!$A$3:$C$15,3,FALSE)+K237</f>
        <v>#DIV/0!</v>
      </c>
      <c r="Q237" s="36"/>
    </row>
    <row r="238" spans="3:17" x14ac:dyDescent="0.25">
      <c r="C238" s="36"/>
      <c r="D238" s="36"/>
      <c r="E238" s="54"/>
      <c r="F238" s="36"/>
      <c r="G238" s="36"/>
      <c r="H238" s="30"/>
      <c r="I238" s="30">
        <v>0</v>
      </c>
      <c r="J238" s="31"/>
      <c r="K238" s="43"/>
      <c r="L238" s="32" t="e">
        <f>DATE(YEAR(K238),MONTH(K238)+VLOOKUP($F236,'[1]Membership Level'!$A$3:$B$15,2,FALSE),DAY(K238))</f>
        <v>#N/A</v>
      </c>
      <c r="M238" s="36"/>
      <c r="N238" s="34" t="e">
        <f>IF($L238&lt;&gt;0,DATE(YEAR($L238),MONTH($L238)-#REF!,DAY($L238)-$M238),"")</f>
        <v>#N/A</v>
      </c>
      <c r="O238" s="33" t="e">
        <f t="shared" ca="1" si="6"/>
        <v>#N/A</v>
      </c>
      <c r="P238" s="34" t="e">
        <f>I238/H238*VLOOKUP(F236,'[1]Membership Level'!$A$3:$C$15,3,FALSE)+K238</f>
        <v>#DIV/0!</v>
      </c>
      <c r="Q238" s="36"/>
    </row>
    <row r="239" spans="3:17" x14ac:dyDescent="0.25">
      <c r="C239" s="36"/>
      <c r="D239" s="36"/>
      <c r="E239" s="54"/>
      <c r="F239" s="36"/>
      <c r="G239" s="36"/>
      <c r="H239" s="30"/>
      <c r="I239" s="30">
        <v>0</v>
      </c>
      <c r="J239" s="31"/>
      <c r="K239" s="43"/>
      <c r="L239" s="32" t="e">
        <f>DATE(YEAR(K239),MONTH(K239)+VLOOKUP($F237,'[1]Membership Level'!$A$3:$B$15,2,FALSE),DAY(K239))</f>
        <v>#N/A</v>
      </c>
      <c r="M239" s="36"/>
      <c r="N239" s="34" t="e">
        <f>IF($L239&lt;&gt;0,DATE(YEAR($L239),MONTH($L239)-#REF!,DAY($L239)-$M239),"")</f>
        <v>#N/A</v>
      </c>
      <c r="O239" s="33" t="e">
        <f t="shared" ca="1" si="6"/>
        <v>#N/A</v>
      </c>
      <c r="P239" s="34" t="e">
        <f>I239/H239*VLOOKUP(F237,'[1]Membership Level'!$A$3:$C$15,3,FALSE)+K239</f>
        <v>#DIV/0!</v>
      </c>
      <c r="Q239" s="36"/>
    </row>
    <row r="240" spans="3:17" x14ac:dyDescent="0.25">
      <c r="C240" s="36"/>
      <c r="D240" s="36"/>
      <c r="E240" s="54"/>
      <c r="F240" s="36"/>
      <c r="G240" s="36"/>
      <c r="H240" s="30"/>
      <c r="I240" s="30">
        <v>0</v>
      </c>
      <c r="J240" s="31"/>
      <c r="K240" s="43"/>
      <c r="L240" s="32" t="e">
        <f>DATE(YEAR(K240),MONTH(K240)+VLOOKUP($F238,'[1]Membership Level'!$A$3:$B$15,2,FALSE),DAY(K240))</f>
        <v>#N/A</v>
      </c>
      <c r="M240" s="36"/>
      <c r="N240" s="34" t="e">
        <f>IF($L240&lt;&gt;0,DATE(YEAR($L240),MONTH($L240)-#REF!,DAY($L240)-$M240),"")</f>
        <v>#N/A</v>
      </c>
      <c r="O240" s="33" t="e">
        <f t="shared" ca="1" si="6"/>
        <v>#N/A</v>
      </c>
      <c r="P240" s="34" t="e">
        <f>I240/H240*VLOOKUP(F238,'[1]Membership Level'!$A$3:$C$15,3,FALSE)+K240</f>
        <v>#DIV/0!</v>
      </c>
      <c r="Q240" s="36"/>
    </row>
    <row r="241" spans="3:17" x14ac:dyDescent="0.25">
      <c r="C241" s="36"/>
      <c r="D241" s="36"/>
      <c r="E241" s="54"/>
      <c r="F241" s="36"/>
      <c r="G241" s="36"/>
      <c r="H241" s="30"/>
      <c r="I241" s="30">
        <v>0</v>
      </c>
      <c r="J241" s="31"/>
      <c r="K241" s="43"/>
      <c r="L241" s="32" t="e">
        <f>DATE(YEAR(K241),MONTH(K241)+VLOOKUP($F239,'[1]Membership Level'!$A$3:$B$15,2,FALSE),DAY(K241))</f>
        <v>#N/A</v>
      </c>
      <c r="M241" s="36"/>
      <c r="N241" s="34" t="e">
        <f>IF($L241&lt;&gt;0,DATE(YEAR($L241),MONTH($L241)-#REF!,DAY($L241)-$M241),"")</f>
        <v>#N/A</v>
      </c>
      <c r="O241" s="33" t="e">
        <f t="shared" ca="1" si="6"/>
        <v>#N/A</v>
      </c>
      <c r="P241" s="34" t="e">
        <f>I241/H241*VLOOKUP(F239,'[1]Membership Level'!$A$3:$C$15,3,FALSE)+K241</f>
        <v>#DIV/0!</v>
      </c>
      <c r="Q241" s="35"/>
    </row>
    <row r="242" spans="3:17" x14ac:dyDescent="0.25">
      <c r="C242" s="36"/>
      <c r="D242" s="36"/>
      <c r="E242" s="54"/>
      <c r="F242" s="36"/>
      <c r="G242" s="36"/>
      <c r="H242" s="30"/>
      <c r="I242" s="30">
        <v>0</v>
      </c>
      <c r="J242" s="31"/>
      <c r="K242" s="43"/>
      <c r="L242" s="32" t="e">
        <f>DATE(YEAR(K242),MONTH(K242)+VLOOKUP($F240,'[1]Membership Level'!$A$3:$B$15,2,FALSE),DAY(K242))</f>
        <v>#N/A</v>
      </c>
      <c r="M242" s="36"/>
      <c r="N242" s="34" t="e">
        <f>IF($L242&lt;&gt;0,DATE(YEAR($L242),MONTH($L242)-#REF!,DAY($L242)-$M242),"")</f>
        <v>#N/A</v>
      </c>
      <c r="O242" s="33" t="e">
        <f t="shared" ca="1" si="6"/>
        <v>#N/A</v>
      </c>
      <c r="P242" s="34" t="e">
        <f>I242/H242*VLOOKUP(F240,'[1]Membership Level'!$A$3:$C$15,3,FALSE)+K242</f>
        <v>#DIV/0!</v>
      </c>
      <c r="Q242" s="36"/>
    </row>
    <row r="243" spans="3:17" x14ac:dyDescent="0.25">
      <c r="C243" s="36"/>
      <c r="D243" s="36"/>
      <c r="E243" s="54"/>
      <c r="F243" s="36"/>
      <c r="G243" s="36"/>
      <c r="H243" s="30"/>
      <c r="I243" s="30">
        <v>0</v>
      </c>
      <c r="J243" s="31"/>
      <c r="K243" s="43"/>
      <c r="L243" s="32" t="e">
        <f>DATE(YEAR(K243),MONTH(K243)+VLOOKUP($F241,'[1]Membership Level'!$A$3:$B$15,2,FALSE),DAY(K243))</f>
        <v>#N/A</v>
      </c>
      <c r="M243" s="36"/>
      <c r="N243" s="34" t="e">
        <f>IF($L243&lt;&gt;0,DATE(YEAR($L243),MONTH($L243)-#REF!,DAY($L243)-$M243),"")</f>
        <v>#N/A</v>
      </c>
      <c r="O243" s="33" t="e">
        <f t="shared" ca="1" si="6"/>
        <v>#N/A</v>
      </c>
      <c r="P243" s="34" t="e">
        <f>I243/H243*VLOOKUP(F241,'[1]Membership Level'!$A$3:$C$15,3,FALSE)+K243</f>
        <v>#DIV/0!</v>
      </c>
      <c r="Q243" s="36"/>
    </row>
    <row r="244" spans="3:17" x14ac:dyDescent="0.25">
      <c r="C244" s="36"/>
      <c r="D244" s="36"/>
      <c r="E244" s="54"/>
      <c r="F244" s="36"/>
      <c r="G244" s="36"/>
      <c r="H244" s="30"/>
      <c r="I244" s="30">
        <v>0</v>
      </c>
      <c r="J244" s="31"/>
      <c r="K244" s="43"/>
      <c r="L244" s="32" t="e">
        <f>DATE(YEAR(K244),MONTH(K244)+VLOOKUP($F242,'[1]Membership Level'!$A$3:$B$15,2,FALSE),DAY(K244))</f>
        <v>#N/A</v>
      </c>
      <c r="M244" s="36"/>
      <c r="N244" s="34" t="e">
        <f>IF($L244&lt;&gt;0,DATE(YEAR($L244),MONTH($L244)-#REF!,DAY($L244)-$M244),"")</f>
        <v>#N/A</v>
      </c>
      <c r="O244" s="33" t="e">
        <f t="shared" ca="1" si="6"/>
        <v>#N/A</v>
      </c>
      <c r="P244" s="34" t="e">
        <f>I244/H244*VLOOKUP(F242,'[1]Membership Level'!$A$3:$C$15,3,FALSE)+K244</f>
        <v>#DIV/0!</v>
      </c>
      <c r="Q244" s="36"/>
    </row>
    <row r="245" spans="3:17" x14ac:dyDescent="0.25">
      <c r="C245" s="36"/>
      <c r="D245" s="36"/>
      <c r="E245" s="54"/>
      <c r="F245" s="36"/>
      <c r="G245" s="36"/>
      <c r="H245" s="30"/>
      <c r="I245" s="30">
        <v>0</v>
      </c>
      <c r="J245" s="31"/>
      <c r="K245" s="43"/>
      <c r="L245" s="32" t="e">
        <f>DATE(YEAR(K245),MONTH(K245)+VLOOKUP($F243,'[1]Membership Level'!$A$3:$B$15,2,FALSE),DAY(K245))</f>
        <v>#N/A</v>
      </c>
      <c r="M245" s="36"/>
      <c r="N245" s="34" t="e">
        <f>IF($L245&lt;&gt;0,DATE(YEAR($L245),MONTH($L245)-#REF!,DAY($L245)-$M245),"")</f>
        <v>#N/A</v>
      </c>
      <c r="O245" s="33" t="e">
        <f t="shared" ca="1" si="6"/>
        <v>#N/A</v>
      </c>
      <c r="P245" s="34" t="e">
        <f>I245/H245*VLOOKUP(F243,'[1]Membership Level'!$A$3:$C$15,3,FALSE)+K245</f>
        <v>#DIV/0!</v>
      </c>
      <c r="Q245" s="36"/>
    </row>
    <row r="246" spans="3:17" x14ac:dyDescent="0.25">
      <c r="C246" s="36"/>
      <c r="D246" s="36"/>
      <c r="E246" s="54"/>
      <c r="F246" s="36"/>
      <c r="G246" s="36"/>
      <c r="H246" s="30"/>
      <c r="I246" s="30">
        <v>0</v>
      </c>
      <c r="J246" s="31"/>
      <c r="K246" s="43"/>
      <c r="L246" s="32" t="e">
        <f>DATE(YEAR(K246),MONTH(K246)+VLOOKUP($F244,'[1]Membership Level'!$A$3:$B$15,2,FALSE),DAY(K246))</f>
        <v>#N/A</v>
      </c>
      <c r="M246" s="36"/>
      <c r="N246" s="34" t="e">
        <f>IF($L246&lt;&gt;0,DATE(YEAR($L246),MONTH($L246)-#REF!,DAY($L246)-$M246),"")</f>
        <v>#N/A</v>
      </c>
      <c r="O246" s="33" t="e">
        <f t="shared" ca="1" si="6"/>
        <v>#N/A</v>
      </c>
      <c r="P246" s="34" t="e">
        <f>I246/H246*VLOOKUP(F244,'[1]Membership Level'!$A$3:$C$15,3,FALSE)+K246</f>
        <v>#DIV/0!</v>
      </c>
      <c r="Q246" s="36"/>
    </row>
    <row r="247" spans="3:17" x14ac:dyDescent="0.25">
      <c r="C247" s="36"/>
      <c r="D247" s="36"/>
      <c r="E247" s="54"/>
      <c r="F247" s="36"/>
      <c r="G247" s="36"/>
      <c r="H247" s="30"/>
      <c r="I247" s="30">
        <v>0</v>
      </c>
      <c r="J247" s="31"/>
      <c r="K247" s="43"/>
      <c r="L247" s="32" t="e">
        <f>DATE(YEAR(K247),MONTH(K247)+VLOOKUP($F245,'[1]Membership Level'!$A$3:$B$15,2,FALSE),DAY(K247))</f>
        <v>#N/A</v>
      </c>
      <c r="M247" s="36"/>
      <c r="N247" s="34" t="e">
        <f>IF($L247&lt;&gt;0,DATE(YEAR($L247),MONTH($L247)-#REF!,DAY($L247)-$M247),"")</f>
        <v>#N/A</v>
      </c>
      <c r="O247" s="33" t="e">
        <f t="shared" ca="1" si="6"/>
        <v>#N/A</v>
      </c>
      <c r="P247" s="34" t="e">
        <f>I247/H247*VLOOKUP(F245,'[1]Membership Level'!$A$3:$C$15,3,FALSE)+K247</f>
        <v>#DIV/0!</v>
      </c>
      <c r="Q247" s="36"/>
    </row>
    <row r="248" spans="3:17" x14ac:dyDescent="0.25">
      <c r="C248" s="36"/>
      <c r="D248" s="36"/>
      <c r="E248" s="54"/>
      <c r="F248" s="36"/>
      <c r="G248" s="36"/>
      <c r="H248" s="30"/>
      <c r="I248" s="30">
        <v>0</v>
      </c>
      <c r="J248" s="31"/>
      <c r="K248" s="43"/>
      <c r="L248" s="32" t="e">
        <f>DATE(YEAR(K248),MONTH(K248)+VLOOKUP($F246,'[1]Membership Level'!$A$3:$B$15,2,FALSE),DAY(K248))</f>
        <v>#N/A</v>
      </c>
      <c r="M248" s="36"/>
      <c r="N248" s="34" t="e">
        <f>IF($L248&lt;&gt;0,DATE(YEAR($L248),MONTH($L248)-#REF!,DAY($L248)-$M248),"")</f>
        <v>#N/A</v>
      </c>
      <c r="O248" s="33" t="e">
        <f t="shared" ca="1" si="6"/>
        <v>#N/A</v>
      </c>
      <c r="P248" s="34" t="e">
        <f>I248/H248*VLOOKUP(F246,'[1]Membership Level'!$A$3:$C$15,3,FALSE)+K248</f>
        <v>#DIV/0!</v>
      </c>
      <c r="Q248" s="36"/>
    </row>
    <row r="249" spans="3:17" x14ac:dyDescent="0.25">
      <c r="C249" s="36"/>
      <c r="D249" s="36"/>
      <c r="E249" s="54"/>
      <c r="F249" s="36"/>
      <c r="G249" s="36"/>
      <c r="H249" s="30"/>
      <c r="I249" s="30">
        <v>0</v>
      </c>
      <c r="J249" s="31"/>
      <c r="K249" s="43"/>
      <c r="L249" s="32" t="e">
        <f>DATE(YEAR(K249),MONTH(K249)+VLOOKUP($F247,'[1]Membership Level'!$A$3:$B$15,2,FALSE),DAY(K249))</f>
        <v>#N/A</v>
      </c>
      <c r="M249" s="36"/>
      <c r="N249" s="34" t="e">
        <f>IF($L249&lt;&gt;0,DATE(YEAR($L249),MONTH($L249)-#REF!,DAY($L249)-$M249),"")</f>
        <v>#N/A</v>
      </c>
      <c r="O249" s="33" t="e">
        <f t="shared" ca="1" si="6"/>
        <v>#N/A</v>
      </c>
      <c r="P249" s="34" t="e">
        <f>I249/H249*VLOOKUP(F247,'[1]Membership Level'!$A$3:$C$15,3,FALSE)+K249</f>
        <v>#DIV/0!</v>
      </c>
      <c r="Q249" s="36"/>
    </row>
    <row r="250" spans="3:17" s="26" customFormat="1" x14ac:dyDescent="0.25">
      <c r="C250" s="36"/>
      <c r="D250" s="36"/>
      <c r="E250" s="54"/>
      <c r="F250" s="36"/>
      <c r="G250" s="36"/>
      <c r="H250" s="30"/>
      <c r="I250" s="30">
        <v>0</v>
      </c>
      <c r="J250" s="31"/>
      <c r="K250" s="43"/>
      <c r="L250" s="32" t="e">
        <f>DATE(YEAR(K250),MONTH(K250)+VLOOKUP($F248,'[1]Membership Level'!$A$3:$B$15,2,FALSE),DAY(K250))</f>
        <v>#N/A</v>
      </c>
      <c r="M250" s="36"/>
      <c r="N250" s="34" t="e">
        <f>IF($L250&lt;&gt;0,DATE(YEAR($L250),MONTH($L250)-#REF!,DAY($L250)-$M250),"")</f>
        <v>#N/A</v>
      </c>
      <c r="O250" s="33" t="e">
        <f t="shared" ca="1" si="6"/>
        <v>#N/A</v>
      </c>
      <c r="P250" s="34" t="e">
        <f>I250/H250*VLOOKUP(F248,'[1]Membership Level'!$A$3:$C$15,3,FALSE)+K250</f>
        <v>#DIV/0!</v>
      </c>
      <c r="Q250" s="36"/>
    </row>
    <row r="251" spans="3:17" x14ac:dyDescent="0.25">
      <c r="C251" s="36"/>
      <c r="D251" s="36"/>
      <c r="E251" s="54"/>
      <c r="F251" s="36"/>
      <c r="G251" s="36"/>
      <c r="H251" s="30"/>
      <c r="I251" s="30">
        <v>0</v>
      </c>
      <c r="J251" s="31"/>
      <c r="K251" s="43"/>
      <c r="L251" s="32" t="e">
        <f>DATE(YEAR(K251),MONTH(K251)+VLOOKUP($F249,'[1]Membership Level'!$A$3:$B$15,2,FALSE),DAY(K251))</f>
        <v>#N/A</v>
      </c>
      <c r="M251" s="36"/>
      <c r="N251" s="34" t="e">
        <f>IF($L251&lt;&gt;0,DATE(YEAR($L251),MONTH($L251)-#REF!,DAY($L251)-$M251),"")</f>
        <v>#N/A</v>
      </c>
      <c r="O251" s="33" t="e">
        <f t="shared" ca="1" si="6"/>
        <v>#N/A</v>
      </c>
      <c r="P251" s="34" t="e">
        <f>I251/H251*VLOOKUP(F249,'[1]Membership Level'!$A$3:$C$15,3,FALSE)+K251</f>
        <v>#DIV/0!</v>
      </c>
      <c r="Q251" s="36"/>
    </row>
    <row r="252" spans="3:17" x14ac:dyDescent="0.25">
      <c r="C252" s="36"/>
      <c r="D252" s="36"/>
      <c r="E252" s="54"/>
      <c r="F252" s="36"/>
      <c r="G252" s="36"/>
      <c r="H252" s="30"/>
      <c r="I252" s="30">
        <v>0</v>
      </c>
      <c r="J252" s="31"/>
      <c r="K252" s="43"/>
      <c r="L252" s="32" t="e">
        <f>DATE(YEAR(K252),MONTH(K252)+VLOOKUP($F250,'[1]Membership Level'!$A$3:$B$15,2,FALSE),DAY(K252))</f>
        <v>#N/A</v>
      </c>
      <c r="M252" s="36"/>
      <c r="N252" s="34" t="e">
        <f>IF($L252&lt;&gt;0,DATE(YEAR($L252),MONTH($L252)-#REF!,DAY($L252)-$M252),"")</f>
        <v>#N/A</v>
      </c>
      <c r="O252" s="33" t="e">
        <f t="shared" ca="1" si="6"/>
        <v>#N/A</v>
      </c>
      <c r="P252" s="34" t="e">
        <f>I252/H252*VLOOKUP(F250,'[1]Membership Level'!$A$3:$C$15,3,FALSE)+K252</f>
        <v>#DIV/0!</v>
      </c>
      <c r="Q252" s="36"/>
    </row>
    <row r="253" spans="3:17" s="22" customFormat="1" x14ac:dyDescent="0.25">
      <c r="C253" s="36"/>
      <c r="D253" s="36"/>
      <c r="E253" s="54"/>
      <c r="F253" s="36"/>
      <c r="G253" s="36"/>
      <c r="H253" s="30"/>
      <c r="I253" s="30">
        <v>0</v>
      </c>
      <c r="J253" s="31"/>
      <c r="K253" s="43"/>
      <c r="L253" s="32" t="e">
        <f>DATE(YEAR(K253),MONTH(K253)+VLOOKUP($F251,'[1]Membership Level'!$A$3:$B$15,2,FALSE),DAY(K253))</f>
        <v>#N/A</v>
      </c>
      <c r="M253" s="36"/>
      <c r="N253" s="34" t="e">
        <f>IF($L253&lt;&gt;0,DATE(YEAR($L253),MONTH($L253)-#REF!,DAY($L253)-$M253),"")</f>
        <v>#N/A</v>
      </c>
      <c r="O253" s="33" t="e">
        <f t="shared" ref="O253:O316" ca="1" si="7">IF(DAYS360(NOW(), $L253) &gt;= 0, DAYS360(NOW(), $L253), "")</f>
        <v>#N/A</v>
      </c>
      <c r="P253" s="34" t="e">
        <f>I253/H253*VLOOKUP(F251,'[1]Membership Level'!$A$3:$C$15,3,FALSE)+K253</f>
        <v>#DIV/0!</v>
      </c>
      <c r="Q253" s="36"/>
    </row>
    <row r="254" spans="3:17" s="61" customFormat="1" x14ac:dyDescent="0.25">
      <c r="C254" s="36"/>
      <c r="D254" s="36"/>
      <c r="E254" s="54"/>
      <c r="F254" s="36"/>
      <c r="G254" s="36"/>
      <c r="H254" s="30"/>
      <c r="I254" s="30">
        <v>0</v>
      </c>
      <c r="J254" s="31"/>
      <c r="K254" s="43"/>
      <c r="L254" s="32" t="e">
        <f>DATE(YEAR(K254),MONTH(K254)+VLOOKUP($F252,'[1]Membership Level'!$A$3:$B$15,2,FALSE),DAY(K254))</f>
        <v>#N/A</v>
      </c>
      <c r="M254" s="36"/>
      <c r="N254" s="34" t="e">
        <f>IF($L254&lt;&gt;0,DATE(YEAR($L254),MONTH($L254)-#REF!,DAY($L254)-$M254),"")</f>
        <v>#N/A</v>
      </c>
      <c r="O254" s="33" t="e">
        <f t="shared" ca="1" si="7"/>
        <v>#N/A</v>
      </c>
      <c r="P254" s="34" t="e">
        <f>I254/H254*VLOOKUP(F252,'[1]Membership Level'!$A$3:$C$15,3,FALSE)+K254</f>
        <v>#DIV/0!</v>
      </c>
      <c r="Q254" s="35"/>
    </row>
    <row r="255" spans="3:17" s="62" customFormat="1" x14ac:dyDescent="0.25">
      <c r="C255" s="36"/>
      <c r="D255" s="36"/>
      <c r="E255" s="54"/>
      <c r="F255" s="36"/>
      <c r="G255" s="36"/>
      <c r="H255" s="30"/>
      <c r="I255" s="30">
        <v>0</v>
      </c>
      <c r="J255" s="31"/>
      <c r="K255" s="43"/>
      <c r="L255" s="32" t="e">
        <f>DATE(YEAR(K255),MONTH(K255)+VLOOKUP($F253,'[1]Membership Level'!$A$3:$B$15,2,FALSE),DAY(K255))</f>
        <v>#N/A</v>
      </c>
      <c r="M255" s="36"/>
      <c r="N255" s="34" t="e">
        <f>IF($L255&lt;&gt;0,DATE(YEAR($L255),MONTH($L255)-#REF!,DAY($L255)-$M255),"")</f>
        <v>#N/A</v>
      </c>
      <c r="O255" s="33" t="e">
        <f t="shared" ca="1" si="7"/>
        <v>#N/A</v>
      </c>
      <c r="P255" s="34" t="e">
        <f>I255/H255*VLOOKUP(F253,'[1]Membership Level'!$A$3:$C$15,3,FALSE)+K255</f>
        <v>#DIV/0!</v>
      </c>
      <c r="Q255" s="36"/>
    </row>
    <row r="256" spans="3:17" x14ac:dyDescent="0.25">
      <c r="C256" s="36"/>
      <c r="D256" s="36"/>
      <c r="E256" s="54"/>
      <c r="F256" s="36"/>
      <c r="G256" s="36"/>
      <c r="H256" s="30"/>
      <c r="I256" s="30">
        <v>0</v>
      </c>
      <c r="J256" s="31"/>
      <c r="K256" s="43"/>
      <c r="L256" s="32" t="e">
        <f>DATE(YEAR(K256),MONTH(K256)+VLOOKUP($F254,'[1]Membership Level'!$A$3:$B$15,2,FALSE),DAY(K256))</f>
        <v>#N/A</v>
      </c>
      <c r="M256" s="36"/>
      <c r="N256" s="34" t="e">
        <f>IF($L256&lt;&gt;0,DATE(YEAR($L256),MONTH($L256)-#REF!,DAY($L256)-$M256),"")</f>
        <v>#N/A</v>
      </c>
      <c r="O256" s="33" t="e">
        <f t="shared" ca="1" si="7"/>
        <v>#N/A</v>
      </c>
      <c r="P256" s="34" t="e">
        <f>I256/H256*VLOOKUP(F254,'[1]Membership Level'!$A$3:$C$15,3,FALSE)+K256</f>
        <v>#DIV/0!</v>
      </c>
      <c r="Q256" s="36"/>
    </row>
    <row r="257" spans="3:17" x14ac:dyDescent="0.25">
      <c r="C257" s="36"/>
      <c r="D257" s="36"/>
      <c r="E257" s="54"/>
      <c r="F257" s="36"/>
      <c r="G257" s="36"/>
      <c r="H257" s="30"/>
      <c r="I257" s="30">
        <v>0</v>
      </c>
      <c r="J257" s="31"/>
      <c r="K257" s="43"/>
      <c r="L257" s="32" t="e">
        <f>DATE(YEAR(K257),MONTH(K257)+VLOOKUP($F255,'[1]Membership Level'!$A$3:$B$15,2,FALSE),DAY(K257))</f>
        <v>#N/A</v>
      </c>
      <c r="M257" s="36"/>
      <c r="N257" s="34" t="e">
        <f>IF($L257&lt;&gt;0,DATE(YEAR($L257),MONTH($L257)-#REF!,DAY($L257)-$M257),"")</f>
        <v>#N/A</v>
      </c>
      <c r="O257" s="33" t="e">
        <f t="shared" ca="1" si="7"/>
        <v>#N/A</v>
      </c>
      <c r="P257" s="34" t="e">
        <f>I257/H257*VLOOKUP(F255,'[1]Membership Level'!$A$3:$C$15,3,FALSE)+K257</f>
        <v>#DIV/0!</v>
      </c>
      <c r="Q257" s="36"/>
    </row>
    <row r="258" spans="3:17" x14ac:dyDescent="0.25">
      <c r="C258" s="36"/>
      <c r="D258" s="36"/>
      <c r="E258" s="54"/>
      <c r="F258" s="36"/>
      <c r="G258" s="36"/>
      <c r="H258" s="30"/>
      <c r="I258" s="30">
        <v>0</v>
      </c>
      <c r="J258" s="31"/>
      <c r="K258" s="43"/>
      <c r="L258" s="32" t="e">
        <f>DATE(YEAR(K258),MONTH(K258)+VLOOKUP($F256,'[1]Membership Level'!$A$3:$B$15,2,FALSE),DAY(K258))</f>
        <v>#N/A</v>
      </c>
      <c r="M258" s="36"/>
      <c r="N258" s="34" t="e">
        <f>IF($L258&lt;&gt;0,DATE(YEAR($L258),MONTH($L258)-#REF!,DAY($L258)-$M258),"")</f>
        <v>#N/A</v>
      </c>
      <c r="O258" s="33" t="e">
        <f t="shared" ca="1" si="7"/>
        <v>#N/A</v>
      </c>
      <c r="P258" s="34" t="e">
        <f>I258/H258*VLOOKUP(F256,'[1]Membership Level'!$A$3:$C$15,3,FALSE)+K258</f>
        <v>#DIV/0!</v>
      </c>
      <c r="Q258" s="36"/>
    </row>
    <row r="259" spans="3:17" x14ac:dyDescent="0.25">
      <c r="C259" s="36"/>
      <c r="D259" s="36"/>
      <c r="E259" s="54"/>
      <c r="F259" s="36"/>
      <c r="G259" s="36"/>
      <c r="H259" s="30"/>
      <c r="I259" s="30">
        <v>0</v>
      </c>
      <c r="J259" s="31"/>
      <c r="K259" s="43"/>
      <c r="L259" s="32" t="e">
        <f>DATE(YEAR(K259),MONTH(K259)+VLOOKUP($F257,'[1]Membership Level'!$A$3:$B$15,2,FALSE),DAY(K259))</f>
        <v>#N/A</v>
      </c>
      <c r="M259" s="36"/>
      <c r="N259" s="34" t="e">
        <f>IF($L259&lt;&gt;0,DATE(YEAR($L259),MONTH($L259)-#REF!,DAY($L259)-$M259),"")</f>
        <v>#N/A</v>
      </c>
      <c r="O259" s="33" t="e">
        <f t="shared" ca="1" si="7"/>
        <v>#N/A</v>
      </c>
      <c r="P259" s="34" t="e">
        <f>I259/H259*VLOOKUP(F257,'[1]Membership Level'!$A$3:$C$15,3,FALSE)+K259</f>
        <v>#DIV/0!</v>
      </c>
      <c r="Q259" s="36"/>
    </row>
    <row r="260" spans="3:17" x14ac:dyDescent="0.25">
      <c r="C260" s="36"/>
      <c r="D260" s="36"/>
      <c r="E260" s="54"/>
      <c r="F260" s="36"/>
      <c r="G260" s="36"/>
      <c r="H260" s="30"/>
      <c r="I260" s="30">
        <v>0</v>
      </c>
      <c r="J260" s="31"/>
      <c r="K260" s="43"/>
      <c r="L260" s="32" t="e">
        <f>DATE(YEAR(K260),MONTH(K260)+VLOOKUP($F258,'[1]Membership Level'!$A$3:$B$15,2,FALSE),DAY(K260))</f>
        <v>#N/A</v>
      </c>
      <c r="M260" s="36"/>
      <c r="N260" s="34" t="e">
        <f>IF($L260&lt;&gt;0,DATE(YEAR($L260),MONTH($L260)-#REF!,DAY($L260)-$M260),"")</f>
        <v>#N/A</v>
      </c>
      <c r="O260" s="33" t="e">
        <f t="shared" ca="1" si="7"/>
        <v>#N/A</v>
      </c>
      <c r="P260" s="34" t="e">
        <f>I260/H260*VLOOKUP(F258,'[1]Membership Level'!$A$3:$C$15,3,FALSE)+K260</f>
        <v>#DIV/0!</v>
      </c>
      <c r="Q260" s="36"/>
    </row>
    <row r="261" spans="3:17" x14ac:dyDescent="0.25">
      <c r="C261" s="36"/>
      <c r="D261" s="36"/>
      <c r="E261" s="54"/>
      <c r="F261" s="36"/>
      <c r="G261" s="36"/>
      <c r="H261" s="30"/>
      <c r="I261" s="30">
        <v>0</v>
      </c>
      <c r="J261" s="31"/>
      <c r="K261" s="43"/>
      <c r="L261" s="32" t="e">
        <f>DATE(YEAR(K261),MONTH(K261)+VLOOKUP($F259,'[1]Membership Level'!$A$3:$B$15,2,FALSE),DAY(K261))</f>
        <v>#N/A</v>
      </c>
      <c r="M261" s="36"/>
      <c r="N261" s="34" t="e">
        <f>IF($L261&lt;&gt;0,DATE(YEAR($L261),MONTH($L261)-#REF!,DAY($L261)-$M261),"")</f>
        <v>#N/A</v>
      </c>
      <c r="O261" s="33" t="e">
        <f t="shared" ca="1" si="7"/>
        <v>#N/A</v>
      </c>
      <c r="P261" s="34" t="e">
        <f>I261/H261*VLOOKUP(F259,'[1]Membership Level'!$A$3:$C$15,3,FALSE)+K261</f>
        <v>#DIV/0!</v>
      </c>
      <c r="Q261" s="36"/>
    </row>
    <row r="262" spans="3:17" x14ac:dyDescent="0.25">
      <c r="C262" s="36"/>
      <c r="D262" s="36"/>
      <c r="E262" s="54"/>
      <c r="F262" s="36"/>
      <c r="G262" s="36"/>
      <c r="H262" s="30"/>
      <c r="I262" s="30">
        <v>0</v>
      </c>
      <c r="J262" s="31"/>
      <c r="K262" s="43"/>
      <c r="L262" s="32" t="e">
        <f>DATE(YEAR(K262),MONTH(K262)+VLOOKUP($F260,'[1]Membership Level'!$A$3:$B$15,2,FALSE),DAY(K262))</f>
        <v>#N/A</v>
      </c>
      <c r="M262" s="36"/>
      <c r="N262" s="34" t="e">
        <f>IF($L262&lt;&gt;0,DATE(YEAR($L262),MONTH($L262)-#REF!,DAY($L262)-$M262),"")</f>
        <v>#N/A</v>
      </c>
      <c r="O262" s="33" t="e">
        <f t="shared" ca="1" si="7"/>
        <v>#N/A</v>
      </c>
      <c r="P262" s="34" t="e">
        <f>I262/H262*VLOOKUP(F260,'[1]Membership Level'!$A$3:$C$15,3,FALSE)+K262</f>
        <v>#DIV/0!</v>
      </c>
      <c r="Q262" s="36"/>
    </row>
    <row r="263" spans="3:17" x14ac:dyDescent="0.25">
      <c r="C263" s="36"/>
      <c r="D263" s="36"/>
      <c r="E263" s="54"/>
      <c r="F263" s="36"/>
      <c r="G263" s="36"/>
      <c r="H263" s="30"/>
      <c r="I263" s="30">
        <v>0</v>
      </c>
      <c r="J263" s="31"/>
      <c r="K263" s="43"/>
      <c r="L263" s="32" t="e">
        <f>DATE(YEAR(K263),MONTH(K263)+VLOOKUP($F261,'[1]Membership Level'!$A$3:$B$15,2,FALSE),DAY(K263))</f>
        <v>#N/A</v>
      </c>
      <c r="M263" s="36"/>
      <c r="N263" s="34" t="e">
        <f>IF($L263&lt;&gt;0,DATE(YEAR($L263),MONTH($L263)-#REF!,DAY($L263)-$M263),"")</f>
        <v>#N/A</v>
      </c>
      <c r="O263" s="33" t="e">
        <f t="shared" ca="1" si="7"/>
        <v>#N/A</v>
      </c>
      <c r="P263" s="34" t="e">
        <f>I263/H263*VLOOKUP(F261,'[1]Membership Level'!$A$3:$C$15,3,FALSE)+K263</f>
        <v>#DIV/0!</v>
      </c>
      <c r="Q263" s="36"/>
    </row>
    <row r="264" spans="3:17" x14ac:dyDescent="0.25">
      <c r="C264" s="36"/>
      <c r="D264" s="36"/>
      <c r="E264" s="54"/>
      <c r="F264" s="36"/>
      <c r="G264" s="36"/>
      <c r="H264" s="30"/>
      <c r="I264" s="30">
        <v>0</v>
      </c>
      <c r="J264" s="31"/>
      <c r="K264" s="43"/>
      <c r="L264" s="32" t="e">
        <f>DATE(YEAR(K264),MONTH(K264)+VLOOKUP($F262,'[1]Membership Level'!$A$3:$B$15,2,FALSE),DAY(K264))</f>
        <v>#N/A</v>
      </c>
      <c r="M264" s="36"/>
      <c r="N264" s="34" t="e">
        <f>IF($L264&lt;&gt;0,DATE(YEAR($L264),MONTH($L264)-#REF!,DAY($L264)-$M264),"")</f>
        <v>#N/A</v>
      </c>
      <c r="O264" s="33" t="e">
        <f t="shared" ca="1" si="7"/>
        <v>#N/A</v>
      </c>
      <c r="P264" s="34" t="e">
        <f>I264/H264*VLOOKUP(F262,'[1]Membership Level'!$A$3:$C$15,3,FALSE)+K264</f>
        <v>#DIV/0!</v>
      </c>
      <c r="Q264" s="36"/>
    </row>
    <row r="265" spans="3:17" x14ac:dyDescent="0.25">
      <c r="C265" s="36"/>
      <c r="D265" s="36"/>
      <c r="E265" s="54"/>
      <c r="F265" s="36"/>
      <c r="G265" s="36"/>
      <c r="H265" s="30"/>
      <c r="I265" s="30">
        <v>0</v>
      </c>
      <c r="J265" s="31"/>
      <c r="K265" s="43"/>
      <c r="L265" s="32" t="e">
        <f>DATE(YEAR(K265),MONTH(K265)+VLOOKUP($F263,'[1]Membership Level'!$A$3:$B$15,2,FALSE),DAY(K265))</f>
        <v>#N/A</v>
      </c>
      <c r="M265" s="36"/>
      <c r="N265" s="34" t="e">
        <f>IF($L265&lt;&gt;0,DATE(YEAR($L265),MONTH($L265)-#REF!,DAY($L265)-$M265),"")</f>
        <v>#N/A</v>
      </c>
      <c r="O265" s="33" t="e">
        <f t="shared" ca="1" si="7"/>
        <v>#N/A</v>
      </c>
      <c r="P265" s="34" t="e">
        <f>I265/H265*VLOOKUP(F263,'[1]Membership Level'!$A$3:$C$15,3,FALSE)+K265</f>
        <v>#DIV/0!</v>
      </c>
      <c r="Q265" s="36"/>
    </row>
    <row r="266" spans="3:17" x14ac:dyDescent="0.25">
      <c r="C266" s="36"/>
      <c r="D266" s="36"/>
      <c r="E266" s="54"/>
      <c r="F266" s="36"/>
      <c r="G266" s="36"/>
      <c r="H266" s="30"/>
      <c r="I266" s="30">
        <v>0</v>
      </c>
      <c r="J266" s="31"/>
      <c r="K266" s="43"/>
      <c r="L266" s="32" t="e">
        <f>DATE(YEAR(K266),MONTH(K266)+VLOOKUP($F264,'[1]Membership Level'!$A$3:$B$15,2,FALSE),DAY(K266))</f>
        <v>#N/A</v>
      </c>
      <c r="M266" s="36"/>
      <c r="N266" s="34" t="e">
        <f>IF($L266&lt;&gt;0,DATE(YEAR($L266),MONTH($L266)-#REF!,DAY($L266)-$M266),"")</f>
        <v>#N/A</v>
      </c>
      <c r="O266" s="33" t="e">
        <f t="shared" ca="1" si="7"/>
        <v>#N/A</v>
      </c>
      <c r="P266" s="34" t="e">
        <f>I266/H266*VLOOKUP(F264,'[1]Membership Level'!$A$3:$C$15,3,FALSE)+K266</f>
        <v>#DIV/0!</v>
      </c>
      <c r="Q266" s="36"/>
    </row>
    <row r="267" spans="3:17" x14ac:dyDescent="0.25">
      <c r="C267" s="36"/>
      <c r="D267" s="36"/>
      <c r="E267" s="54"/>
      <c r="F267" s="36"/>
      <c r="G267" s="36"/>
      <c r="H267" s="30"/>
      <c r="I267" s="30">
        <v>0</v>
      </c>
      <c r="J267" s="31"/>
      <c r="K267" s="43"/>
      <c r="L267" s="32" t="e">
        <f>DATE(YEAR(K267),MONTH(K267)+VLOOKUP($F265,'[1]Membership Level'!$A$3:$B$15,2,FALSE),DAY(K267))</f>
        <v>#N/A</v>
      </c>
      <c r="M267" s="36"/>
      <c r="N267" s="34" t="e">
        <f>IF($L267&lt;&gt;0,DATE(YEAR($L267),MONTH($L267)-#REF!,DAY($L267)-$M267),"")</f>
        <v>#N/A</v>
      </c>
      <c r="O267" s="33" t="e">
        <f t="shared" ca="1" si="7"/>
        <v>#N/A</v>
      </c>
      <c r="P267" s="34" t="e">
        <f>I267/H267*VLOOKUP(F265,'[1]Membership Level'!$A$3:$C$15,3,FALSE)+K267</f>
        <v>#DIV/0!</v>
      </c>
      <c r="Q267" s="36"/>
    </row>
    <row r="268" spans="3:17" x14ac:dyDescent="0.25">
      <c r="C268" s="36"/>
      <c r="D268" s="36"/>
      <c r="E268" s="54"/>
      <c r="F268" s="36"/>
      <c r="G268" s="36"/>
      <c r="H268" s="30"/>
      <c r="I268" s="30">
        <v>0</v>
      </c>
      <c r="J268" s="31"/>
      <c r="K268" s="43"/>
      <c r="L268" s="32" t="e">
        <f>DATE(YEAR(K268),MONTH(K268)+VLOOKUP($F266,'[1]Membership Level'!$A$3:$B$15,2,FALSE),DAY(K268))</f>
        <v>#N/A</v>
      </c>
      <c r="M268" s="36"/>
      <c r="N268" s="34" t="e">
        <f>IF($L268&lt;&gt;0,DATE(YEAR($L268),MONTH($L268)-#REF!,DAY($L268)-$M268),"")</f>
        <v>#N/A</v>
      </c>
      <c r="O268" s="33" t="e">
        <f t="shared" ca="1" si="7"/>
        <v>#N/A</v>
      </c>
      <c r="P268" s="34" t="e">
        <f>I268/H268*VLOOKUP(F266,'[1]Membership Level'!$A$3:$C$15,3,FALSE)+K268</f>
        <v>#DIV/0!</v>
      </c>
      <c r="Q268" s="36"/>
    </row>
    <row r="269" spans="3:17" x14ac:dyDescent="0.25">
      <c r="C269" s="36"/>
      <c r="D269" s="36"/>
      <c r="E269" s="54"/>
      <c r="F269" s="36"/>
      <c r="G269" s="36"/>
      <c r="H269" s="30"/>
      <c r="I269" s="30">
        <v>0</v>
      </c>
      <c r="J269" s="31"/>
      <c r="K269" s="43"/>
      <c r="L269" s="32" t="e">
        <f>DATE(YEAR(K269),MONTH(K269)+VLOOKUP($F267,'[1]Membership Level'!$A$3:$B$15,2,FALSE),DAY(K269))</f>
        <v>#N/A</v>
      </c>
      <c r="M269" s="36"/>
      <c r="N269" s="34" t="e">
        <f>IF($L269&lt;&gt;0,DATE(YEAR($L269),MONTH($L269)-#REF!,DAY($L269)-$M269),"")</f>
        <v>#N/A</v>
      </c>
      <c r="O269" s="33" t="e">
        <f t="shared" ca="1" si="7"/>
        <v>#N/A</v>
      </c>
      <c r="P269" s="34" t="e">
        <f>I269/H269*VLOOKUP(F267,'[1]Membership Level'!$A$3:$C$15,3,FALSE)+K269</f>
        <v>#DIV/0!</v>
      </c>
      <c r="Q269" s="36"/>
    </row>
    <row r="270" spans="3:17" x14ac:dyDescent="0.25">
      <c r="C270" s="36"/>
      <c r="D270" s="36"/>
      <c r="E270" s="54"/>
      <c r="F270" s="36"/>
      <c r="G270" s="36"/>
      <c r="H270" s="30"/>
      <c r="I270" s="30">
        <v>0</v>
      </c>
      <c r="J270" s="31"/>
      <c r="K270" s="43"/>
      <c r="L270" s="32" t="e">
        <f>DATE(YEAR(K270),MONTH(K270)+VLOOKUP($F268,'[1]Membership Level'!$A$3:$B$15,2,FALSE),DAY(K270))</f>
        <v>#N/A</v>
      </c>
      <c r="M270" s="36"/>
      <c r="N270" s="34" t="e">
        <f>IF($L270&lt;&gt;0,DATE(YEAR($L270),MONTH($L270)-#REF!,DAY($L270)-$M270),"")</f>
        <v>#N/A</v>
      </c>
      <c r="O270" s="33" t="e">
        <f t="shared" ca="1" si="7"/>
        <v>#N/A</v>
      </c>
      <c r="P270" s="34" t="e">
        <f>I270/H270*VLOOKUP(F268,'[1]Membership Level'!$A$3:$C$15,3,FALSE)+K270</f>
        <v>#DIV/0!</v>
      </c>
      <c r="Q270" s="36"/>
    </row>
    <row r="271" spans="3:17" x14ac:dyDescent="0.25">
      <c r="C271" s="36"/>
      <c r="D271" s="36"/>
      <c r="E271" s="54"/>
      <c r="F271" s="36"/>
      <c r="G271" s="36"/>
      <c r="H271" s="30"/>
      <c r="I271" s="30">
        <v>0</v>
      </c>
      <c r="J271" s="31"/>
      <c r="K271" s="43"/>
      <c r="L271" s="32" t="e">
        <f>DATE(YEAR(K271),MONTH(K271)+VLOOKUP($F269,'[1]Membership Level'!$A$3:$B$15,2,FALSE),DAY(K271))</f>
        <v>#N/A</v>
      </c>
      <c r="M271" s="36"/>
      <c r="N271" s="34" t="e">
        <f>IF($L271&lt;&gt;0,DATE(YEAR($L271),MONTH($L271)-#REF!,DAY($L271)-$M271),"")</f>
        <v>#N/A</v>
      </c>
      <c r="O271" s="33" t="e">
        <f t="shared" ca="1" si="7"/>
        <v>#N/A</v>
      </c>
      <c r="P271" s="34" t="e">
        <f>I271/H271*VLOOKUP(F269,'[1]Membership Level'!$A$3:$C$15,3,FALSE)+K271</f>
        <v>#DIV/0!</v>
      </c>
      <c r="Q271" s="36"/>
    </row>
    <row r="272" spans="3:17" x14ac:dyDescent="0.25">
      <c r="C272" s="36"/>
      <c r="D272" s="36"/>
      <c r="E272" s="54"/>
      <c r="F272" s="36"/>
      <c r="G272" s="36"/>
      <c r="H272" s="30"/>
      <c r="I272" s="30">
        <v>0</v>
      </c>
      <c r="J272" s="31"/>
      <c r="K272" s="43"/>
      <c r="L272" s="32" t="e">
        <f>DATE(YEAR(K272),MONTH(K272)+VLOOKUP($F270,'[1]Membership Level'!$A$3:$B$15,2,FALSE),DAY(K272))</f>
        <v>#N/A</v>
      </c>
      <c r="M272" s="36"/>
      <c r="N272" s="34" t="e">
        <f>IF($L272&lt;&gt;0,DATE(YEAR($L272),MONTH($L272)-#REF!,DAY($L272)-$M272),"")</f>
        <v>#N/A</v>
      </c>
      <c r="O272" s="33" t="e">
        <f t="shared" ca="1" si="7"/>
        <v>#N/A</v>
      </c>
      <c r="P272" s="34" t="e">
        <f>I272/H272*VLOOKUP(F270,'[1]Membership Level'!$A$3:$C$15,3,FALSE)+K272</f>
        <v>#DIV/0!</v>
      </c>
      <c r="Q272" s="36"/>
    </row>
    <row r="273" spans="3:17" x14ac:dyDescent="0.25">
      <c r="C273" s="36"/>
      <c r="D273" s="36"/>
      <c r="E273" s="54"/>
      <c r="F273" s="36"/>
      <c r="G273" s="36"/>
      <c r="H273" s="30"/>
      <c r="I273" s="30">
        <v>0</v>
      </c>
      <c r="J273" s="31"/>
      <c r="K273" s="43"/>
      <c r="L273" s="32" t="e">
        <f>DATE(YEAR(K273),MONTH(K273)+VLOOKUP($F271,'[1]Membership Level'!$A$3:$B$15,2,FALSE),DAY(K273))</f>
        <v>#N/A</v>
      </c>
      <c r="M273" s="36"/>
      <c r="N273" s="34" t="e">
        <f>IF($L273&lt;&gt;0,DATE(YEAR($L273),MONTH($L273)-#REF!,DAY($L273)-$M273),"")</f>
        <v>#N/A</v>
      </c>
      <c r="O273" s="33" t="e">
        <f t="shared" ca="1" si="7"/>
        <v>#N/A</v>
      </c>
      <c r="P273" s="34" t="e">
        <f>I273/H273*VLOOKUP(F271,'[1]Membership Level'!$A$3:$C$15,3,FALSE)+K273</f>
        <v>#DIV/0!</v>
      </c>
      <c r="Q273" s="36"/>
    </row>
    <row r="274" spans="3:17" x14ac:dyDescent="0.25">
      <c r="C274" s="36"/>
      <c r="D274" s="36"/>
      <c r="E274" s="54"/>
      <c r="F274" s="36"/>
      <c r="G274" s="36"/>
      <c r="H274" s="30"/>
      <c r="I274" s="30">
        <v>0</v>
      </c>
      <c r="J274" s="31"/>
      <c r="K274" s="43"/>
      <c r="L274" s="32" t="e">
        <f>DATE(YEAR(K274),MONTH(K274)+VLOOKUP($F272,'[1]Membership Level'!$A$3:$B$15,2,FALSE),DAY(K274))</f>
        <v>#N/A</v>
      </c>
      <c r="M274" s="36"/>
      <c r="N274" s="34" t="e">
        <f>IF($L274&lt;&gt;0,DATE(YEAR($L274),MONTH($L274)-#REF!,DAY($L274)-$M274),"")</f>
        <v>#N/A</v>
      </c>
      <c r="O274" s="33" t="e">
        <f t="shared" ca="1" si="7"/>
        <v>#N/A</v>
      </c>
      <c r="P274" s="34" t="e">
        <f>I274/H274*VLOOKUP(F272,'[1]Membership Level'!$A$3:$C$15,3,FALSE)+K274</f>
        <v>#DIV/0!</v>
      </c>
      <c r="Q274" s="36"/>
    </row>
    <row r="275" spans="3:17" x14ac:dyDescent="0.25">
      <c r="C275" s="36"/>
      <c r="D275" s="36"/>
      <c r="E275" s="54"/>
      <c r="F275" s="36"/>
      <c r="G275" s="36"/>
      <c r="H275" s="30"/>
      <c r="I275" s="30">
        <v>0</v>
      </c>
      <c r="J275" s="31"/>
      <c r="K275" s="43"/>
      <c r="L275" s="32" t="e">
        <f>DATE(YEAR(K275),MONTH(K275)+VLOOKUP($F273,'[1]Membership Level'!$A$3:$B$15,2,FALSE),DAY(K275))</f>
        <v>#N/A</v>
      </c>
      <c r="M275" s="36"/>
      <c r="N275" s="34" t="e">
        <f>IF($L275&lt;&gt;0,DATE(YEAR($L275),MONTH($L275)-#REF!,DAY($L275)-$M275),"")</f>
        <v>#N/A</v>
      </c>
      <c r="O275" s="33" t="e">
        <f t="shared" ca="1" si="7"/>
        <v>#N/A</v>
      </c>
      <c r="P275" s="34" t="e">
        <f>I275/H275*VLOOKUP(F273,'[1]Membership Level'!$A$3:$C$15,3,FALSE)+K275</f>
        <v>#DIV/0!</v>
      </c>
      <c r="Q275" s="36"/>
    </row>
    <row r="276" spans="3:17" x14ac:dyDescent="0.25">
      <c r="C276" s="36"/>
      <c r="D276" s="36"/>
      <c r="E276" s="54"/>
      <c r="F276" s="36"/>
      <c r="G276" s="36"/>
      <c r="H276" s="30"/>
      <c r="I276" s="30">
        <v>0</v>
      </c>
      <c r="J276" s="31"/>
      <c r="K276" s="43"/>
      <c r="L276" s="32" t="e">
        <f>DATE(YEAR(K276),MONTH(K276)+VLOOKUP($F274,'[1]Membership Level'!$A$3:$B$15,2,FALSE),DAY(K276))</f>
        <v>#N/A</v>
      </c>
      <c r="M276" s="36"/>
      <c r="N276" s="34" t="e">
        <f>IF($L276&lt;&gt;0,DATE(YEAR($L276),MONTH($L276)-#REF!,DAY($L276)-$M276),"")</f>
        <v>#N/A</v>
      </c>
      <c r="O276" s="33" t="e">
        <f t="shared" ca="1" si="7"/>
        <v>#N/A</v>
      </c>
      <c r="P276" s="34" t="e">
        <f>I276/H276*VLOOKUP(F274,'[1]Membership Level'!$A$3:$C$15,3,FALSE)+K276</f>
        <v>#DIV/0!</v>
      </c>
      <c r="Q276" s="36"/>
    </row>
    <row r="277" spans="3:17" x14ac:dyDescent="0.25">
      <c r="C277" s="36"/>
      <c r="D277" s="36"/>
      <c r="E277" s="54"/>
      <c r="F277" s="36"/>
      <c r="G277" s="36"/>
      <c r="H277" s="30"/>
      <c r="I277" s="30">
        <v>0</v>
      </c>
      <c r="J277" s="31"/>
      <c r="K277" s="43"/>
      <c r="L277" s="32" t="e">
        <f>DATE(YEAR(K277),MONTH(K277)+VLOOKUP($F275,'[1]Membership Level'!$A$3:$B$15,2,FALSE),DAY(K277))</f>
        <v>#N/A</v>
      </c>
      <c r="M277" s="36"/>
      <c r="N277" s="34" t="e">
        <f>IF($L277&lt;&gt;0,DATE(YEAR($L277),MONTH($L277)-#REF!,DAY($L277)-$M277),"")</f>
        <v>#N/A</v>
      </c>
      <c r="O277" s="33" t="e">
        <f t="shared" ca="1" si="7"/>
        <v>#N/A</v>
      </c>
      <c r="P277" s="34" t="e">
        <f>I277/H277*VLOOKUP(F275,'[1]Membership Level'!$A$3:$C$15,3,FALSE)+K277</f>
        <v>#DIV/0!</v>
      </c>
      <c r="Q277" s="36"/>
    </row>
    <row r="278" spans="3:17" x14ac:dyDescent="0.25">
      <c r="C278" s="36"/>
      <c r="D278" s="36"/>
      <c r="E278" s="54"/>
      <c r="F278" s="36"/>
      <c r="G278" s="36"/>
      <c r="H278" s="30"/>
      <c r="I278" s="30">
        <v>0</v>
      </c>
      <c r="J278" s="31"/>
      <c r="K278" s="43"/>
      <c r="L278" s="32" t="e">
        <f>DATE(YEAR(K278),MONTH(K278)+VLOOKUP($F276,'[1]Membership Level'!$A$3:$B$15,2,FALSE),DAY(K278))</f>
        <v>#N/A</v>
      </c>
      <c r="M278" s="36"/>
      <c r="N278" s="34" t="e">
        <f>IF($L278&lt;&gt;0,DATE(YEAR($L278),MONTH($L278)-#REF!,DAY($L278)-$M278),"")</f>
        <v>#N/A</v>
      </c>
      <c r="O278" s="33" t="e">
        <f t="shared" ca="1" si="7"/>
        <v>#N/A</v>
      </c>
      <c r="P278" s="34" t="e">
        <f>I278/H278*VLOOKUP(F276,'[1]Membership Level'!$A$3:$C$15,3,FALSE)+K278</f>
        <v>#DIV/0!</v>
      </c>
      <c r="Q278" s="36"/>
    </row>
    <row r="279" spans="3:17" x14ac:dyDescent="0.25">
      <c r="C279" s="36"/>
      <c r="D279" s="36"/>
      <c r="E279" s="54"/>
      <c r="F279" s="36"/>
      <c r="G279" s="36"/>
      <c r="H279" s="30"/>
      <c r="I279" s="30">
        <v>0</v>
      </c>
      <c r="J279" s="31"/>
      <c r="K279" s="43"/>
      <c r="L279" s="32" t="e">
        <f>DATE(YEAR(K279),MONTH(K279)+VLOOKUP($F277,'[1]Membership Level'!$A$3:$B$15,2,FALSE),DAY(K279))</f>
        <v>#N/A</v>
      </c>
      <c r="M279" s="36"/>
      <c r="N279" s="34" t="e">
        <f>IF($L279&lt;&gt;0,DATE(YEAR($L279),MONTH($L279)-#REF!,DAY($L279)-$M279),"")</f>
        <v>#N/A</v>
      </c>
      <c r="O279" s="33" t="e">
        <f t="shared" ca="1" si="7"/>
        <v>#N/A</v>
      </c>
      <c r="P279" s="34" t="e">
        <f>I279/H279*VLOOKUP(F277,'[1]Membership Level'!$A$3:$C$15,3,FALSE)+K279</f>
        <v>#DIV/0!</v>
      </c>
      <c r="Q279" s="36"/>
    </row>
    <row r="280" spans="3:17" x14ac:dyDescent="0.25">
      <c r="C280" s="36"/>
      <c r="D280" s="36"/>
      <c r="E280" s="54"/>
      <c r="F280" s="36"/>
      <c r="G280" s="36"/>
      <c r="H280" s="30"/>
      <c r="I280" s="30">
        <v>0</v>
      </c>
      <c r="J280" s="31"/>
      <c r="K280" s="43"/>
      <c r="L280" s="32" t="e">
        <f>DATE(YEAR(K280),MONTH(K280)+VLOOKUP($F278,'[1]Membership Level'!$A$3:$B$15,2,FALSE),DAY(K280))</f>
        <v>#N/A</v>
      </c>
      <c r="M280" s="36"/>
      <c r="N280" s="34" t="e">
        <f>IF($L280&lt;&gt;0,DATE(YEAR($L280),MONTH($L280)-#REF!,DAY($L280)-$M280),"")</f>
        <v>#N/A</v>
      </c>
      <c r="O280" s="33" t="e">
        <f t="shared" ca="1" si="7"/>
        <v>#N/A</v>
      </c>
      <c r="P280" s="34" t="e">
        <f>I280/H280*VLOOKUP(F278,'[1]Membership Level'!$A$3:$C$15,3,FALSE)+K280</f>
        <v>#DIV/0!</v>
      </c>
      <c r="Q280" s="36"/>
    </row>
    <row r="281" spans="3:17" x14ac:dyDescent="0.25">
      <c r="C281" s="36"/>
      <c r="D281" s="36"/>
      <c r="E281" s="54"/>
      <c r="F281" s="36"/>
      <c r="G281" s="36"/>
      <c r="H281" s="30"/>
      <c r="I281" s="30">
        <v>0</v>
      </c>
      <c r="J281" s="31"/>
      <c r="K281" s="43"/>
      <c r="L281" s="32" t="e">
        <f>DATE(YEAR(K281),MONTH(K281)+VLOOKUP($F279,'[1]Membership Level'!$A$3:$B$15,2,FALSE),DAY(K281))</f>
        <v>#N/A</v>
      </c>
      <c r="M281" s="36"/>
      <c r="N281" s="34" t="e">
        <f>IF($L281&lt;&gt;0,DATE(YEAR($L281),MONTH($L281)-#REF!,DAY($L281)-$M281),"")</f>
        <v>#N/A</v>
      </c>
      <c r="O281" s="33" t="e">
        <f t="shared" ca="1" si="7"/>
        <v>#N/A</v>
      </c>
      <c r="P281" s="34" t="e">
        <f>I281/H281*VLOOKUP(F279,'[1]Membership Level'!$A$3:$C$15,3,FALSE)+K281</f>
        <v>#DIV/0!</v>
      </c>
      <c r="Q281" s="36"/>
    </row>
    <row r="282" spans="3:17" s="63" customFormat="1" x14ac:dyDescent="0.25">
      <c r="C282" s="36"/>
      <c r="D282" s="36"/>
      <c r="E282" s="54"/>
      <c r="F282" s="36"/>
      <c r="G282" s="36"/>
      <c r="H282" s="30"/>
      <c r="I282" s="30">
        <v>0</v>
      </c>
      <c r="J282" s="31"/>
      <c r="K282" s="43"/>
      <c r="L282" s="32" t="e">
        <f>DATE(YEAR(K282),MONTH(K282)+VLOOKUP($F280,'[1]Membership Level'!$A$3:$B$15,2,FALSE),DAY(K282))</f>
        <v>#N/A</v>
      </c>
      <c r="M282" s="36"/>
      <c r="N282" s="34" t="e">
        <f>IF($L282&lt;&gt;0,DATE(YEAR($L282),MONTH($L282)-#REF!,DAY($L282)-$M282),"")</f>
        <v>#N/A</v>
      </c>
      <c r="O282" s="33" t="e">
        <f t="shared" ca="1" si="7"/>
        <v>#N/A</v>
      </c>
      <c r="P282" s="34" t="e">
        <f>I282/H282*VLOOKUP(F280,'[1]Membership Level'!$A$3:$C$15,3,FALSE)+K282</f>
        <v>#DIV/0!</v>
      </c>
      <c r="Q282" s="36"/>
    </row>
    <row r="283" spans="3:17" x14ac:dyDescent="0.25">
      <c r="C283" s="36"/>
      <c r="D283" s="36"/>
      <c r="E283" s="54"/>
      <c r="F283" s="36"/>
      <c r="G283" s="36"/>
      <c r="H283" s="30"/>
      <c r="I283" s="30">
        <v>0</v>
      </c>
      <c r="J283" s="31"/>
      <c r="K283" s="43"/>
      <c r="L283" s="32" t="e">
        <f>DATE(YEAR(K283),MONTH(K283)+VLOOKUP($F281,'[1]Membership Level'!$A$3:$B$15,2,FALSE),DAY(K283))</f>
        <v>#N/A</v>
      </c>
      <c r="M283" s="36"/>
      <c r="N283" s="34" t="e">
        <f>IF($L283&lt;&gt;0,DATE(YEAR($L283),MONTH($L283)-#REF!,DAY($L283)-$M283),"")</f>
        <v>#N/A</v>
      </c>
      <c r="O283" s="33" t="e">
        <f t="shared" ca="1" si="7"/>
        <v>#N/A</v>
      </c>
      <c r="P283" s="34" t="e">
        <f>I283/H283*VLOOKUP(F281,'[1]Membership Level'!$A$3:$C$15,3,FALSE)+K283</f>
        <v>#DIV/0!</v>
      </c>
      <c r="Q283" s="36"/>
    </row>
    <row r="284" spans="3:17" x14ac:dyDescent="0.25">
      <c r="C284" s="36"/>
      <c r="D284" s="36"/>
      <c r="E284" s="54"/>
      <c r="F284" s="36"/>
      <c r="G284" s="36"/>
      <c r="H284" s="30"/>
      <c r="I284" s="30">
        <v>0</v>
      </c>
      <c r="J284" s="31"/>
      <c r="K284" s="43"/>
      <c r="L284" s="32" t="e">
        <f>DATE(YEAR(K284),MONTH(K284)+VLOOKUP($F282,'[1]Membership Level'!$A$3:$B$15,2,FALSE),DAY(K284))</f>
        <v>#N/A</v>
      </c>
      <c r="M284" s="36"/>
      <c r="N284" s="34" t="e">
        <f>IF($L284&lt;&gt;0,DATE(YEAR($L284),MONTH($L284)-#REF!,DAY($L284)-$M284),"")</f>
        <v>#N/A</v>
      </c>
      <c r="O284" s="33" t="e">
        <f t="shared" ca="1" si="7"/>
        <v>#N/A</v>
      </c>
      <c r="P284" s="34" t="e">
        <f>I284/H284*VLOOKUP(F282,'[1]Membership Level'!$A$3:$C$15,3,FALSE)+K284</f>
        <v>#DIV/0!</v>
      </c>
      <c r="Q284" s="36"/>
    </row>
    <row r="285" spans="3:17" x14ac:dyDescent="0.25">
      <c r="C285" s="36"/>
      <c r="D285" s="36"/>
      <c r="E285" s="54"/>
      <c r="F285" s="45"/>
      <c r="G285" s="36"/>
      <c r="H285" s="30"/>
      <c r="I285" s="30">
        <v>0</v>
      </c>
      <c r="J285" s="31"/>
      <c r="K285" s="43"/>
      <c r="L285" s="32" t="e">
        <f>DATE(YEAR(K285),MONTH(K285)+VLOOKUP($F283,'[1]Membership Level'!$A$3:$B$15,2,FALSE),DAY(K285))</f>
        <v>#N/A</v>
      </c>
      <c r="M285" s="36"/>
      <c r="N285" s="34" t="e">
        <f>IF($L285&lt;&gt;0,DATE(YEAR($L285),MONTH($L285)-#REF!,DAY($L285)-$M285),"")</f>
        <v>#N/A</v>
      </c>
      <c r="O285" s="33" t="e">
        <f t="shared" ca="1" si="7"/>
        <v>#N/A</v>
      </c>
      <c r="P285" s="34" t="e">
        <f>I285/H285*VLOOKUP(F283,'[1]Membership Level'!$A$3:$C$15,3,FALSE)+K285</f>
        <v>#DIV/0!</v>
      </c>
      <c r="Q285" s="36"/>
    </row>
    <row r="286" spans="3:17" x14ac:dyDescent="0.25">
      <c r="C286" s="36"/>
      <c r="D286" s="36"/>
      <c r="E286" s="59"/>
      <c r="F286" s="36"/>
      <c r="G286" s="36"/>
      <c r="H286" s="30"/>
      <c r="I286" s="30">
        <v>0</v>
      </c>
      <c r="J286" s="31"/>
      <c r="K286" s="43"/>
      <c r="L286" s="32" t="e">
        <f>DATE(YEAR(K286),MONTH(K286)+VLOOKUP($F284,'[1]Membership Level'!$A$3:$B$15,2,FALSE),DAY(K286))</f>
        <v>#N/A</v>
      </c>
      <c r="M286" s="36"/>
      <c r="N286" s="34" t="e">
        <f>IF($L286&lt;&gt;0,DATE(YEAR($L286),MONTH($L286)-#REF!,DAY($L286)-$M286),"")</f>
        <v>#N/A</v>
      </c>
      <c r="O286" s="33" t="e">
        <f t="shared" ca="1" si="7"/>
        <v>#N/A</v>
      </c>
      <c r="P286" s="34" t="e">
        <f>I286/H286*VLOOKUP(F284,'[1]Membership Level'!$A$3:$C$15,3,FALSE)+K286</f>
        <v>#DIV/0!</v>
      </c>
      <c r="Q286" s="36"/>
    </row>
    <row r="287" spans="3:17" s="27" customFormat="1" x14ac:dyDescent="0.25">
      <c r="C287" s="45"/>
      <c r="D287" s="45"/>
      <c r="E287" s="54"/>
      <c r="F287" s="36"/>
      <c r="G287" s="45"/>
      <c r="H287" s="64"/>
      <c r="I287" s="30">
        <v>0</v>
      </c>
      <c r="J287" s="65"/>
      <c r="K287" s="60"/>
      <c r="L287" s="60" t="e">
        <f>DATE(YEAR(K287),MONTH(K287)+VLOOKUP($F285,'[1]Membership Level'!$A$3:$B$15,2,FALSE),DAY(K287))</f>
        <v>#N/A</v>
      </c>
      <c r="M287" s="36"/>
      <c r="N287" s="46" t="e">
        <f>IF($L287&lt;&gt;0,DATE(YEAR($L287),MONTH($L287)-#REF!,DAY($L287)-$M287),"")</f>
        <v>#N/A</v>
      </c>
      <c r="O287" s="45" t="e">
        <f t="shared" ca="1" si="7"/>
        <v>#N/A</v>
      </c>
      <c r="P287" s="46" t="e">
        <f>I287/H287*VLOOKUP(F285,'[1]Membership Level'!$A$3:$C$15,3,FALSE)+K287</f>
        <v>#DIV/0!</v>
      </c>
      <c r="Q287" s="45"/>
    </row>
    <row r="288" spans="3:17" x14ac:dyDescent="0.25">
      <c r="C288" s="36"/>
      <c r="D288" s="36"/>
      <c r="E288" s="54"/>
      <c r="F288" s="36"/>
      <c r="G288" s="36"/>
      <c r="H288" s="30"/>
      <c r="I288" s="30">
        <v>0</v>
      </c>
      <c r="J288" s="31"/>
      <c r="K288" s="43"/>
      <c r="L288" s="32" t="e">
        <f>DATE(YEAR(K288),MONTH(K288)+VLOOKUP($F286,'[1]Membership Level'!$A$3:$B$15,2,FALSE),DAY(K288))</f>
        <v>#N/A</v>
      </c>
      <c r="M288" s="36"/>
      <c r="N288" s="34" t="e">
        <f>IF($L288&lt;&gt;0,DATE(YEAR($L288),MONTH($L288)-#REF!,DAY($L288)-$M288),"")</f>
        <v>#N/A</v>
      </c>
      <c r="O288" s="33" t="e">
        <f t="shared" ca="1" si="7"/>
        <v>#N/A</v>
      </c>
      <c r="P288" s="34" t="e">
        <f>I288/H288*VLOOKUP(F286,'[1]Membership Level'!$A$3:$C$15,3,FALSE)+K288</f>
        <v>#DIV/0!</v>
      </c>
      <c r="Q288" s="36"/>
    </row>
    <row r="289" spans="3:17" s="26" customFormat="1" x14ac:dyDescent="0.25">
      <c r="C289" s="36"/>
      <c r="D289" s="36"/>
      <c r="E289" s="54"/>
      <c r="F289" s="36"/>
      <c r="G289" s="36"/>
      <c r="H289" s="30"/>
      <c r="I289" s="30">
        <v>0</v>
      </c>
      <c r="J289" s="31"/>
      <c r="K289" s="43"/>
      <c r="L289" s="32" t="e">
        <f>DATE(YEAR(K289),MONTH(K289)+VLOOKUP($F287,'[1]Membership Level'!$A$3:$B$15,2,FALSE),DAY(K289))</f>
        <v>#N/A</v>
      </c>
      <c r="M289" s="36"/>
      <c r="N289" s="34" t="e">
        <f>IF($L289&lt;&gt;0,DATE(YEAR($L289),MONTH($L289)-#REF!,DAY($L289)-$M289),"")</f>
        <v>#N/A</v>
      </c>
      <c r="O289" s="33" t="e">
        <f t="shared" ca="1" si="7"/>
        <v>#N/A</v>
      </c>
      <c r="P289" s="34" t="e">
        <f>I289/H289*VLOOKUP(F287,'[1]Membership Level'!$A$3:$C$15,3,FALSE)+K289</f>
        <v>#DIV/0!</v>
      </c>
      <c r="Q289" s="36"/>
    </row>
    <row r="290" spans="3:17" s="26" customFormat="1" x14ac:dyDescent="0.25">
      <c r="C290" s="36"/>
      <c r="D290" s="36"/>
      <c r="E290" s="54"/>
      <c r="F290" s="36"/>
      <c r="G290" s="36"/>
      <c r="H290" s="30"/>
      <c r="I290" s="30">
        <v>0</v>
      </c>
      <c r="J290" s="31"/>
      <c r="K290" s="43"/>
      <c r="L290" s="32" t="e">
        <f>DATE(YEAR(K290),MONTH(K290)+VLOOKUP($F288,'[1]Membership Level'!$A$3:$B$15,2,FALSE),DAY(K290))</f>
        <v>#N/A</v>
      </c>
      <c r="M290" s="36"/>
      <c r="N290" s="34" t="e">
        <f>IF($L290&lt;&gt;0,DATE(YEAR($L290),MONTH($L290)-#REF!,DAY($L290)-$M290),"")</f>
        <v>#N/A</v>
      </c>
      <c r="O290" s="33" t="e">
        <f t="shared" ca="1" si="7"/>
        <v>#N/A</v>
      </c>
      <c r="P290" s="34" t="e">
        <f>I290/H290*VLOOKUP(F288,'[1]Membership Level'!$A$3:$C$15,3,FALSE)+K290</f>
        <v>#DIV/0!</v>
      </c>
      <c r="Q290" s="36"/>
    </row>
    <row r="291" spans="3:17" x14ac:dyDescent="0.25">
      <c r="C291" s="36"/>
      <c r="D291" s="36"/>
      <c r="E291" s="54"/>
      <c r="F291" s="36"/>
      <c r="G291" s="36"/>
      <c r="H291" s="30"/>
      <c r="I291" s="30">
        <v>0</v>
      </c>
      <c r="J291" s="31"/>
      <c r="K291" s="43"/>
      <c r="L291" s="32" t="e">
        <f>DATE(YEAR(K291),MONTH(K291)+VLOOKUP($F289,'[1]Membership Level'!$A$3:$B$15,2,FALSE),DAY(K291))</f>
        <v>#N/A</v>
      </c>
      <c r="M291" s="36"/>
      <c r="N291" s="34" t="e">
        <f>IF($L291&lt;&gt;0,DATE(YEAR($L291),MONTH($L291)-#REF!,DAY($L291)-$M291),"")</f>
        <v>#N/A</v>
      </c>
      <c r="O291" s="33" t="e">
        <f t="shared" ca="1" si="7"/>
        <v>#N/A</v>
      </c>
      <c r="P291" s="34" t="e">
        <f>I291/H291*VLOOKUP(F289,'[1]Membership Level'!$A$3:$C$15,3,FALSE)+K291</f>
        <v>#DIV/0!</v>
      </c>
      <c r="Q291" s="36"/>
    </row>
    <row r="292" spans="3:17" x14ac:dyDescent="0.25">
      <c r="C292" s="36"/>
      <c r="D292" s="36"/>
      <c r="E292" s="54"/>
      <c r="F292" s="36"/>
      <c r="G292" s="36"/>
      <c r="H292" s="30"/>
      <c r="I292" s="30">
        <v>0</v>
      </c>
      <c r="J292" s="31"/>
      <c r="K292" s="43"/>
      <c r="L292" s="32" t="e">
        <f>DATE(YEAR(K292),MONTH(K292)+VLOOKUP($F290,'[1]Membership Level'!$A$3:$B$15,2,FALSE),DAY(K292))</f>
        <v>#N/A</v>
      </c>
      <c r="M292" s="36"/>
      <c r="N292" s="34" t="e">
        <f>IF($L292&lt;&gt;0,DATE(YEAR($L292),MONTH($L292)-#REF!,DAY($L292)-$M292),"")</f>
        <v>#N/A</v>
      </c>
      <c r="O292" s="33" t="e">
        <f t="shared" ca="1" si="7"/>
        <v>#N/A</v>
      </c>
      <c r="P292" s="34" t="e">
        <f>I292/H292*VLOOKUP(F290,'[1]Membership Level'!$A$3:$C$15,3,FALSE)+K292</f>
        <v>#DIV/0!</v>
      </c>
      <c r="Q292" s="36"/>
    </row>
    <row r="293" spans="3:17" x14ac:dyDescent="0.25">
      <c r="C293" s="36"/>
      <c r="D293" s="36"/>
      <c r="E293" s="54"/>
      <c r="F293" s="36"/>
      <c r="G293" s="36"/>
      <c r="H293" s="30"/>
      <c r="I293" s="30">
        <v>0</v>
      </c>
      <c r="J293" s="31"/>
      <c r="K293" s="43"/>
      <c r="L293" s="32" t="e">
        <f>DATE(YEAR(K293),MONTH(K293)+VLOOKUP($F291,'[1]Membership Level'!$A$3:$B$15,2,FALSE),DAY(K293))</f>
        <v>#N/A</v>
      </c>
      <c r="M293" s="36"/>
      <c r="N293" s="34" t="e">
        <f>IF($L293&lt;&gt;0,DATE(YEAR($L293),MONTH($L293)-#REF!,DAY($L293)-$M293),"")</f>
        <v>#N/A</v>
      </c>
      <c r="O293" s="33" t="e">
        <f t="shared" ca="1" si="7"/>
        <v>#N/A</v>
      </c>
      <c r="P293" s="34" t="e">
        <f>I293/H293*VLOOKUP(F291,'[1]Membership Level'!$A$3:$C$15,3,FALSE)+K293</f>
        <v>#DIV/0!</v>
      </c>
      <c r="Q293" s="36"/>
    </row>
    <row r="294" spans="3:17" x14ac:dyDescent="0.25">
      <c r="C294" s="36"/>
      <c r="D294" s="36"/>
      <c r="E294" s="54"/>
      <c r="F294" s="36"/>
      <c r="G294" s="36"/>
      <c r="H294" s="30"/>
      <c r="I294" s="30">
        <v>0</v>
      </c>
      <c r="J294" s="31"/>
      <c r="K294" s="43"/>
      <c r="L294" s="32" t="e">
        <f>DATE(YEAR(K294),MONTH(K294)+VLOOKUP($F292,'[1]Membership Level'!$A$3:$B$15,2,FALSE),DAY(K294))</f>
        <v>#N/A</v>
      </c>
      <c r="M294" s="36"/>
      <c r="N294" s="34" t="e">
        <f>IF($L294&lt;&gt;0,DATE(YEAR($L294),MONTH($L294)-#REF!,DAY($L294)-$M294),"")</f>
        <v>#N/A</v>
      </c>
      <c r="O294" s="33" t="e">
        <f t="shared" ca="1" si="7"/>
        <v>#N/A</v>
      </c>
      <c r="P294" s="34" t="e">
        <f>I294/H294*VLOOKUP(F292,'[1]Membership Level'!$A$3:$C$15,3,FALSE)+K294</f>
        <v>#DIV/0!</v>
      </c>
      <c r="Q294" s="36"/>
    </row>
    <row r="295" spans="3:17" s="26" customFormat="1" x14ac:dyDescent="0.25">
      <c r="C295" s="36"/>
      <c r="D295" s="36"/>
      <c r="E295" s="54"/>
      <c r="F295" s="36"/>
      <c r="G295" s="36"/>
      <c r="H295" s="30"/>
      <c r="I295" s="30">
        <v>0</v>
      </c>
      <c r="J295" s="31"/>
      <c r="K295" s="43"/>
      <c r="L295" s="32" t="e">
        <f>DATE(YEAR(K295),MONTH(K295)+VLOOKUP($F293,'[1]Membership Level'!$A$3:$B$15,2,FALSE),DAY(K295))</f>
        <v>#N/A</v>
      </c>
      <c r="M295" s="36"/>
      <c r="N295" s="34" t="e">
        <f>IF($L295&lt;&gt;0,DATE(YEAR($L295),MONTH($L295)-#REF!,DAY($L295)-$M295),"")</f>
        <v>#N/A</v>
      </c>
      <c r="O295" s="33" t="e">
        <f t="shared" ca="1" si="7"/>
        <v>#N/A</v>
      </c>
      <c r="P295" s="34" t="e">
        <f>I295/H295*VLOOKUP(F293,'[1]Membership Level'!$A$3:$C$15,3,FALSE)+K295</f>
        <v>#DIV/0!</v>
      </c>
      <c r="Q295" s="36"/>
    </row>
    <row r="296" spans="3:17" x14ac:dyDescent="0.25">
      <c r="C296" s="36"/>
      <c r="D296" s="36"/>
      <c r="E296" s="54"/>
      <c r="F296" s="36"/>
      <c r="G296" s="36"/>
      <c r="H296" s="30"/>
      <c r="I296" s="30">
        <v>0</v>
      </c>
      <c r="J296" s="31"/>
      <c r="K296" s="43"/>
      <c r="L296" s="32" t="e">
        <f>DATE(YEAR(K296),MONTH(K296)+VLOOKUP($F294,'[1]Membership Level'!$A$3:$B$15,2,FALSE),DAY(K296))</f>
        <v>#N/A</v>
      </c>
      <c r="M296" s="36"/>
      <c r="N296" s="34" t="e">
        <f>IF($L296&lt;&gt;0,DATE(YEAR($L296),MONTH($L296)-#REF!,DAY($L296)-$M296),"")</f>
        <v>#N/A</v>
      </c>
      <c r="O296" s="33" t="e">
        <f t="shared" ca="1" si="7"/>
        <v>#N/A</v>
      </c>
      <c r="P296" s="34" t="e">
        <f>I296/H296*VLOOKUP(F294,'[1]Membership Level'!$A$3:$C$15,3,FALSE)+K296</f>
        <v>#DIV/0!</v>
      </c>
      <c r="Q296" s="36"/>
    </row>
    <row r="297" spans="3:17" s="26" customFormat="1" x14ac:dyDescent="0.25">
      <c r="C297" s="36"/>
      <c r="D297" s="36"/>
      <c r="E297" s="54"/>
      <c r="F297" s="36"/>
      <c r="G297" s="36"/>
      <c r="H297" s="30"/>
      <c r="I297" s="30">
        <v>0</v>
      </c>
      <c r="J297" s="31"/>
      <c r="K297" s="43"/>
      <c r="L297" s="32" t="e">
        <f>DATE(YEAR(K297),MONTH(K297)+VLOOKUP($F295,'[1]Membership Level'!$A$3:$B$15,2,FALSE),DAY(K297))</f>
        <v>#N/A</v>
      </c>
      <c r="M297" s="36"/>
      <c r="N297" s="34" t="e">
        <f>IF($L297&lt;&gt;0,DATE(YEAR($L297),MONTH($L297)-#REF!,DAY($L297)-$M297),"")</f>
        <v>#N/A</v>
      </c>
      <c r="O297" s="33" t="e">
        <f t="shared" ca="1" si="7"/>
        <v>#N/A</v>
      </c>
      <c r="P297" s="34" t="e">
        <f>I297/H297*VLOOKUP(F295,'[1]Membership Level'!$A$3:$C$15,3,FALSE)+K297</f>
        <v>#DIV/0!</v>
      </c>
      <c r="Q297" s="36"/>
    </row>
    <row r="298" spans="3:17" x14ac:dyDescent="0.25">
      <c r="C298" s="36"/>
      <c r="D298" s="36"/>
      <c r="E298" s="54"/>
      <c r="F298" s="36"/>
      <c r="G298" s="36"/>
      <c r="H298" s="30"/>
      <c r="I298" s="30">
        <v>0</v>
      </c>
      <c r="J298" s="31"/>
      <c r="K298" s="43"/>
      <c r="L298" s="32" t="e">
        <f>DATE(YEAR(K298),MONTH(K298)+VLOOKUP($F296,'[1]Membership Level'!$A$3:$B$15,2,FALSE),DAY(K298))</f>
        <v>#N/A</v>
      </c>
      <c r="M298" s="36"/>
      <c r="N298" s="34" t="e">
        <f>IF($L298&lt;&gt;0,DATE(YEAR($L298),MONTH($L298)-#REF!,DAY($L298)-$M298),"")</f>
        <v>#N/A</v>
      </c>
      <c r="O298" s="33" t="e">
        <f t="shared" ca="1" si="7"/>
        <v>#N/A</v>
      </c>
      <c r="P298" s="34" t="e">
        <f>I298/H298*VLOOKUP(F296,'[1]Membership Level'!$A$3:$C$15,3,FALSE)+K298</f>
        <v>#DIV/0!</v>
      </c>
      <c r="Q298" s="36"/>
    </row>
    <row r="299" spans="3:17" x14ac:dyDescent="0.25">
      <c r="C299" s="36"/>
      <c r="D299" s="36"/>
      <c r="E299" s="54"/>
      <c r="F299" s="36"/>
      <c r="G299" s="36"/>
      <c r="H299" s="30"/>
      <c r="I299" s="30">
        <v>0</v>
      </c>
      <c r="J299" s="31"/>
      <c r="K299" s="43"/>
      <c r="L299" s="32" t="e">
        <f>DATE(YEAR(K299),MONTH(K299)+VLOOKUP($F297,'[1]Membership Level'!$A$3:$B$15,2,FALSE),DAY(K299))</f>
        <v>#N/A</v>
      </c>
      <c r="M299" s="36"/>
      <c r="N299" s="34" t="e">
        <f>IF($L299&lt;&gt;0,DATE(YEAR($L299),MONTH($L299)-#REF!,DAY($L299)-$M299),"")</f>
        <v>#N/A</v>
      </c>
      <c r="O299" s="33" t="e">
        <f t="shared" ca="1" si="7"/>
        <v>#N/A</v>
      </c>
      <c r="P299" s="34" t="e">
        <f>I299/H299*VLOOKUP(F297,'[1]Membership Level'!$A$3:$C$15,3,FALSE)+K299</f>
        <v>#DIV/0!</v>
      </c>
      <c r="Q299" s="36"/>
    </row>
    <row r="300" spans="3:17" x14ac:dyDescent="0.25">
      <c r="C300" s="36"/>
      <c r="D300" s="36"/>
      <c r="E300" s="54"/>
      <c r="F300" s="36"/>
      <c r="G300" s="36"/>
      <c r="H300" s="30"/>
      <c r="I300" s="30">
        <v>0</v>
      </c>
      <c r="J300" s="31"/>
      <c r="K300" s="43"/>
      <c r="L300" s="32" t="e">
        <f>DATE(YEAR(K300),MONTH(K300)+VLOOKUP($F298,'[1]Membership Level'!$A$3:$B$15,2,FALSE),DAY(K300))</f>
        <v>#N/A</v>
      </c>
      <c r="M300" s="36"/>
      <c r="N300" s="34" t="e">
        <f>IF($L300&lt;&gt;0,DATE(YEAR($L300),MONTH($L300)-#REF!,DAY($L300)-$M300),"")</f>
        <v>#N/A</v>
      </c>
      <c r="O300" s="33" t="e">
        <f t="shared" ca="1" si="7"/>
        <v>#N/A</v>
      </c>
      <c r="P300" s="34" t="e">
        <f>I300/H300*VLOOKUP(F298,'[1]Membership Level'!$A$3:$C$15,3,FALSE)+K300</f>
        <v>#DIV/0!</v>
      </c>
      <c r="Q300" s="36"/>
    </row>
    <row r="301" spans="3:17" x14ac:dyDescent="0.25">
      <c r="C301" s="36"/>
      <c r="D301" s="36"/>
      <c r="E301" s="54"/>
      <c r="F301" s="36"/>
      <c r="G301" s="36"/>
      <c r="H301" s="30"/>
      <c r="I301" s="30">
        <v>0</v>
      </c>
      <c r="J301" s="31"/>
      <c r="K301" s="43"/>
      <c r="L301" s="32" t="e">
        <f>DATE(YEAR(K301),MONTH(K301)+VLOOKUP($F299,'[1]Membership Level'!$A$3:$B$15,2,FALSE),DAY(K301))</f>
        <v>#N/A</v>
      </c>
      <c r="M301" s="36"/>
      <c r="N301" s="34" t="e">
        <f>IF($L301&lt;&gt;0,DATE(YEAR($L301),MONTH($L301)-#REF!,DAY($L301)-$M301),"")</f>
        <v>#N/A</v>
      </c>
      <c r="O301" s="33" t="e">
        <f t="shared" ca="1" si="7"/>
        <v>#N/A</v>
      </c>
      <c r="P301" s="34" t="e">
        <f>I301/H301*VLOOKUP(F299,'[1]Membership Level'!$A$3:$C$15,3,FALSE)+K301</f>
        <v>#DIV/0!</v>
      </c>
      <c r="Q301" s="36"/>
    </row>
    <row r="302" spans="3:17" x14ac:dyDescent="0.25">
      <c r="C302" s="36"/>
      <c r="D302" s="36"/>
      <c r="E302" s="54"/>
      <c r="F302" s="36"/>
      <c r="G302" s="36"/>
      <c r="H302" s="30"/>
      <c r="I302" s="30">
        <v>0</v>
      </c>
      <c r="J302" s="31"/>
      <c r="K302" s="43"/>
      <c r="L302" s="32" t="e">
        <f>DATE(YEAR(K302),MONTH(K302)+VLOOKUP($F300,'[1]Membership Level'!$A$3:$B$15,2,FALSE),DAY(K302))</f>
        <v>#N/A</v>
      </c>
      <c r="M302" s="36"/>
      <c r="N302" s="34" t="e">
        <f>IF($L302&lt;&gt;0,DATE(YEAR($L302),MONTH($L302)-#REF!,DAY($L302)-$M302),"")</f>
        <v>#N/A</v>
      </c>
      <c r="O302" s="33" t="e">
        <f t="shared" ca="1" si="7"/>
        <v>#N/A</v>
      </c>
      <c r="P302" s="34" t="e">
        <f>I302/H302*VLOOKUP(F300,'[1]Membership Level'!$A$3:$C$15,3,FALSE)+K302</f>
        <v>#DIV/0!</v>
      </c>
      <c r="Q302" s="36"/>
    </row>
    <row r="303" spans="3:17" x14ac:dyDescent="0.25">
      <c r="C303" s="36"/>
      <c r="D303" s="36"/>
      <c r="E303" s="54"/>
      <c r="F303" s="36"/>
      <c r="G303" s="36"/>
      <c r="H303" s="30"/>
      <c r="I303" s="30">
        <v>0</v>
      </c>
      <c r="J303" s="31"/>
      <c r="K303" s="43"/>
      <c r="L303" s="32" t="e">
        <f>DATE(YEAR(K303),MONTH(K303)+VLOOKUP($F301,'[1]Membership Level'!$A$3:$B$15,2,FALSE),DAY(K303))</f>
        <v>#N/A</v>
      </c>
      <c r="M303" s="36"/>
      <c r="N303" s="34" t="e">
        <f>IF($L303&lt;&gt;0,DATE(YEAR($L303),MONTH($L303)-#REF!,DAY($L303)-$M303),"")</f>
        <v>#N/A</v>
      </c>
      <c r="O303" s="33" t="e">
        <f t="shared" ca="1" si="7"/>
        <v>#N/A</v>
      </c>
      <c r="P303" s="34" t="e">
        <f>I303/H303*VLOOKUP(F301,'[1]Membership Level'!$A$3:$C$15,3,FALSE)+K303</f>
        <v>#DIV/0!</v>
      </c>
      <c r="Q303" s="36"/>
    </row>
    <row r="304" spans="3:17" x14ac:dyDescent="0.25">
      <c r="C304" s="36"/>
      <c r="D304" s="36"/>
      <c r="E304" s="54"/>
      <c r="F304" s="36"/>
      <c r="G304" s="36"/>
      <c r="H304" s="30"/>
      <c r="I304" s="30">
        <v>0</v>
      </c>
      <c r="J304" s="31"/>
      <c r="K304" s="43"/>
      <c r="L304" s="32" t="e">
        <f>DATE(YEAR(K304),MONTH(K304)+VLOOKUP($F302,'[1]Membership Level'!$A$3:$B$15,2,FALSE),DAY(K304))</f>
        <v>#N/A</v>
      </c>
      <c r="M304" s="36"/>
      <c r="N304" s="34" t="e">
        <f>IF($L304&lt;&gt;0,DATE(YEAR($L304),MONTH($L304)-#REF!,DAY($L304)-$M304),"")</f>
        <v>#N/A</v>
      </c>
      <c r="O304" s="33" t="e">
        <f t="shared" ca="1" si="7"/>
        <v>#N/A</v>
      </c>
      <c r="P304" s="34" t="e">
        <f>I304/H304*VLOOKUP(F302,'[1]Membership Level'!$A$3:$C$15,3,FALSE)+K304</f>
        <v>#DIV/0!</v>
      </c>
      <c r="Q304" s="36"/>
    </row>
    <row r="305" spans="3:17" s="26" customFormat="1" x14ac:dyDescent="0.25">
      <c r="C305" s="36"/>
      <c r="D305" s="36"/>
      <c r="E305" s="54"/>
      <c r="F305" s="36"/>
      <c r="G305" s="36"/>
      <c r="H305" s="30"/>
      <c r="I305" s="30">
        <v>0</v>
      </c>
      <c r="J305" s="31"/>
      <c r="K305" s="43"/>
      <c r="L305" s="32" t="e">
        <f>DATE(YEAR(K305),MONTH(K305)+VLOOKUP($F303,'[1]Membership Level'!$A$3:$B$15,2,FALSE),DAY(K305))</f>
        <v>#N/A</v>
      </c>
      <c r="M305" s="36"/>
      <c r="N305" s="34" t="e">
        <f>IF($L305&lt;&gt;0,DATE(YEAR($L305),MONTH($L305)-#REF!,DAY($L305)-$M305),"")</f>
        <v>#N/A</v>
      </c>
      <c r="O305" s="33" t="e">
        <f t="shared" ca="1" si="7"/>
        <v>#N/A</v>
      </c>
      <c r="P305" s="34" t="e">
        <f>I305/H305*VLOOKUP(F303,'[1]Membership Level'!$A$3:$C$15,3,FALSE)+K305</f>
        <v>#DIV/0!</v>
      </c>
      <c r="Q305" s="36"/>
    </row>
    <row r="306" spans="3:17" x14ac:dyDescent="0.25">
      <c r="C306" s="36"/>
      <c r="D306" s="36"/>
      <c r="E306" s="54"/>
      <c r="F306" s="36"/>
      <c r="G306" s="36"/>
      <c r="H306" s="30"/>
      <c r="I306" s="30">
        <v>0</v>
      </c>
      <c r="J306" s="31"/>
      <c r="K306" s="43"/>
      <c r="L306" s="32" t="e">
        <f>DATE(YEAR(K306),MONTH(K306)+VLOOKUP($F304,'[1]Membership Level'!$A$3:$B$15,2,FALSE),DAY(K306))</f>
        <v>#N/A</v>
      </c>
      <c r="M306" s="36"/>
      <c r="N306" s="34" t="e">
        <f>IF($L306&lt;&gt;0,DATE(YEAR($L306),MONTH($L306)-#REF!,DAY($L306)-$M306),"")</f>
        <v>#N/A</v>
      </c>
      <c r="O306" s="33" t="e">
        <f t="shared" ca="1" si="7"/>
        <v>#N/A</v>
      </c>
      <c r="P306" s="34" t="e">
        <f>I306/H306*VLOOKUP(F304,'[1]Membership Level'!$A$3:$C$15,3,FALSE)+K306</f>
        <v>#DIV/0!</v>
      </c>
      <c r="Q306" s="36"/>
    </row>
    <row r="307" spans="3:17" x14ac:dyDescent="0.25">
      <c r="C307" s="36"/>
      <c r="D307" s="36"/>
      <c r="E307" s="54"/>
      <c r="F307" s="36"/>
      <c r="G307" s="36"/>
      <c r="H307" s="30"/>
      <c r="I307" s="30">
        <v>0</v>
      </c>
      <c r="J307" s="31"/>
      <c r="K307" s="43"/>
      <c r="L307" s="32" t="e">
        <f>DATE(YEAR(K307),MONTH(K307)+VLOOKUP($F305,'[1]Membership Level'!$A$3:$B$15,2,FALSE),DAY(K307))</f>
        <v>#N/A</v>
      </c>
      <c r="M307" s="36"/>
      <c r="N307" s="34" t="e">
        <f>IF($L307&lt;&gt;0,DATE(YEAR($L307),MONTH($L307)-#REF!,DAY($L307)-$M307),"")</f>
        <v>#N/A</v>
      </c>
      <c r="O307" s="33" t="e">
        <f t="shared" ca="1" si="7"/>
        <v>#N/A</v>
      </c>
      <c r="P307" s="34" t="e">
        <f>I307/H307*VLOOKUP(F305,'[1]Membership Level'!$A$3:$C$15,3,FALSE)+K307</f>
        <v>#DIV/0!</v>
      </c>
      <c r="Q307" s="36"/>
    </row>
    <row r="308" spans="3:17" x14ac:dyDescent="0.25">
      <c r="C308" s="36"/>
      <c r="D308" s="36"/>
      <c r="E308" s="54"/>
      <c r="F308" s="36"/>
      <c r="G308" s="36"/>
      <c r="H308" s="30"/>
      <c r="I308" s="30">
        <v>0</v>
      </c>
      <c r="J308" s="31"/>
      <c r="K308" s="43"/>
      <c r="L308" s="32" t="e">
        <f>DATE(YEAR(K308),MONTH(K308)+VLOOKUP($F306,'[1]Membership Level'!$A$3:$B$15,2,FALSE),DAY(K308))</f>
        <v>#N/A</v>
      </c>
      <c r="M308" s="36"/>
      <c r="N308" s="34" t="e">
        <f>IF($L308&lt;&gt;0,DATE(YEAR($L308),MONTH($L308)-#REF!,DAY($L308)-$M308),"")</f>
        <v>#N/A</v>
      </c>
      <c r="O308" s="33" t="e">
        <f t="shared" ca="1" si="7"/>
        <v>#N/A</v>
      </c>
      <c r="P308" s="34" t="e">
        <f>I308/H308*VLOOKUP(F306,'[1]Membership Level'!$A$3:$C$15,3,FALSE)+K308</f>
        <v>#DIV/0!</v>
      </c>
      <c r="Q308" s="36"/>
    </row>
    <row r="309" spans="3:17" x14ac:dyDescent="0.25">
      <c r="C309" s="36"/>
      <c r="D309" s="36"/>
      <c r="E309" s="54"/>
      <c r="F309" s="36"/>
      <c r="G309" s="36"/>
      <c r="H309" s="30"/>
      <c r="I309" s="30">
        <v>0</v>
      </c>
      <c r="J309" s="31"/>
      <c r="K309" s="43"/>
      <c r="L309" s="32" t="e">
        <f>DATE(YEAR(K309),MONTH(K309)+VLOOKUP($F307,'[1]Membership Level'!$A$3:$B$15,2,FALSE),DAY(K309))</f>
        <v>#N/A</v>
      </c>
      <c r="M309" s="36"/>
      <c r="N309" s="34" t="e">
        <f>IF($L309&lt;&gt;0,DATE(YEAR($L309),MONTH($L309)-#REF!,DAY($L309)-$M309),"")</f>
        <v>#N/A</v>
      </c>
      <c r="O309" s="33" t="e">
        <f t="shared" ca="1" si="7"/>
        <v>#N/A</v>
      </c>
      <c r="P309" s="34" t="e">
        <f>I309/H309*VLOOKUP(F307,'[1]Membership Level'!$A$3:$C$15,3,FALSE)+K309</f>
        <v>#DIV/0!</v>
      </c>
      <c r="Q309" s="36"/>
    </row>
    <row r="310" spans="3:17" x14ac:dyDescent="0.25">
      <c r="C310" s="36"/>
      <c r="D310" s="36"/>
      <c r="E310" s="54"/>
      <c r="F310" s="36"/>
      <c r="G310" s="36"/>
      <c r="H310" s="30"/>
      <c r="I310" s="30">
        <v>0</v>
      </c>
      <c r="J310" s="31"/>
      <c r="K310" s="43"/>
      <c r="L310" s="32" t="e">
        <f>DATE(YEAR(K310),MONTH(K310)+VLOOKUP($F308,'[1]Membership Level'!$A$3:$B$15,2,FALSE),DAY(K310))</f>
        <v>#N/A</v>
      </c>
      <c r="M310" s="36"/>
      <c r="N310" s="34" t="e">
        <f>IF($L310&lt;&gt;0,DATE(YEAR($L310),MONTH($L310)-#REF!,DAY($L310)-$M310),"")</f>
        <v>#N/A</v>
      </c>
      <c r="O310" s="33" t="e">
        <f t="shared" ca="1" si="7"/>
        <v>#N/A</v>
      </c>
      <c r="P310" s="34" t="e">
        <f>I310/H310*VLOOKUP(F308,'[1]Membership Level'!$A$3:$C$15,3,FALSE)+K310</f>
        <v>#DIV/0!</v>
      </c>
      <c r="Q310" s="36"/>
    </row>
    <row r="311" spans="3:17" x14ac:dyDescent="0.25">
      <c r="C311" s="36"/>
      <c r="D311" s="36"/>
      <c r="E311" s="54"/>
      <c r="F311" s="45"/>
      <c r="G311" s="36"/>
      <c r="H311" s="30"/>
      <c r="I311" s="30">
        <v>0</v>
      </c>
      <c r="J311" s="31"/>
      <c r="K311" s="43"/>
      <c r="L311" s="32" t="e">
        <f>DATE(YEAR(K311),MONTH(K311)+VLOOKUP($F309,'[1]Membership Level'!$A$3:$B$15,2,FALSE),DAY(K311))</f>
        <v>#N/A</v>
      </c>
      <c r="M311" s="36"/>
      <c r="N311" s="34" t="e">
        <f>IF($L311&lt;&gt;0,DATE(YEAR($L311),MONTH($L311)-#REF!,DAY($L311)-$M311),"")</f>
        <v>#N/A</v>
      </c>
      <c r="O311" s="33" t="e">
        <f t="shared" ca="1" si="7"/>
        <v>#N/A</v>
      </c>
      <c r="P311" s="34" t="e">
        <f>I311/H311*VLOOKUP(F309,'[1]Membership Level'!$A$3:$C$15,3,FALSE)+K311</f>
        <v>#DIV/0!</v>
      </c>
      <c r="Q311" s="36"/>
    </row>
    <row r="312" spans="3:17" x14ac:dyDescent="0.25">
      <c r="C312" s="36"/>
      <c r="D312" s="36"/>
      <c r="E312" s="59"/>
      <c r="F312" s="45"/>
      <c r="G312" s="36"/>
      <c r="H312" s="30"/>
      <c r="I312" s="30">
        <v>0</v>
      </c>
      <c r="J312" s="31"/>
      <c r="K312" s="43"/>
      <c r="L312" s="32" t="e">
        <f>DATE(YEAR(K312),MONTH(K312)+VLOOKUP($F310,'[1]Membership Level'!$A$3:$B$15,2,FALSE),DAY(K312))</f>
        <v>#N/A</v>
      </c>
      <c r="M312" s="36"/>
      <c r="N312" s="34" t="e">
        <f>IF($L312&lt;&gt;0,DATE(YEAR($L312),MONTH($L312)-#REF!,DAY($L312)-$M312),"")</f>
        <v>#N/A</v>
      </c>
      <c r="O312" s="33" t="e">
        <f t="shared" ca="1" si="7"/>
        <v>#N/A</v>
      </c>
      <c r="P312" s="34" t="e">
        <f>I312/H312*VLOOKUP(F310,'[1]Membership Level'!$A$3:$C$15,3,FALSE)+K312</f>
        <v>#DIV/0!</v>
      </c>
      <c r="Q312" s="36"/>
    </row>
    <row r="313" spans="3:17" s="27" customFormat="1" x14ac:dyDescent="0.25">
      <c r="C313" s="45"/>
      <c r="D313" s="45"/>
      <c r="E313" s="59"/>
      <c r="F313" s="36"/>
      <c r="G313" s="45"/>
      <c r="H313" s="64"/>
      <c r="I313" s="30">
        <v>0</v>
      </c>
      <c r="J313" s="65"/>
      <c r="K313" s="60"/>
      <c r="L313" s="60" t="e">
        <f>DATE(YEAR(K313),MONTH(K313)+VLOOKUP($F311,'[1]Membership Level'!$A$3:$B$15,2,FALSE),DAY(K313))</f>
        <v>#N/A</v>
      </c>
      <c r="M313" s="36"/>
      <c r="N313" s="46" t="e">
        <f>IF($L313&lt;&gt;0,DATE(YEAR($L313),MONTH($L313)-#REF!,DAY($L313)-$M313),"")</f>
        <v>#N/A</v>
      </c>
      <c r="O313" s="45" t="e">
        <f t="shared" ca="1" si="7"/>
        <v>#N/A</v>
      </c>
      <c r="P313" s="46" t="e">
        <f>I313/H313*VLOOKUP(F311,'[1]Membership Level'!$A$3:$C$15,3,FALSE)+K313</f>
        <v>#DIV/0!</v>
      </c>
      <c r="Q313" s="45"/>
    </row>
    <row r="314" spans="3:17" s="27" customFormat="1" x14ac:dyDescent="0.25">
      <c r="C314" s="45"/>
      <c r="D314" s="45"/>
      <c r="E314" s="54"/>
      <c r="F314" s="36"/>
      <c r="G314" s="45"/>
      <c r="H314" s="64"/>
      <c r="I314" s="30">
        <v>0</v>
      </c>
      <c r="J314" s="65"/>
      <c r="K314" s="60"/>
      <c r="L314" s="60" t="e">
        <f>DATE(YEAR(K314),MONTH(K314)+VLOOKUP($F312,'[1]Membership Level'!$A$3:$B$15,2,FALSE),DAY(K314))</f>
        <v>#N/A</v>
      </c>
      <c r="M314" s="36"/>
      <c r="N314" s="46" t="e">
        <f>IF($L314&lt;&gt;0,DATE(YEAR($L314),MONTH($L314)-#REF!,DAY($L314)-$M314),"")</f>
        <v>#N/A</v>
      </c>
      <c r="O314" s="45" t="e">
        <f t="shared" ca="1" si="7"/>
        <v>#N/A</v>
      </c>
      <c r="P314" s="46" t="e">
        <f>I314/H314*VLOOKUP(F312,'[1]Membership Level'!$A$3:$C$15,3,FALSE)+K314</f>
        <v>#DIV/0!</v>
      </c>
      <c r="Q314" s="45"/>
    </row>
    <row r="315" spans="3:17" x14ac:dyDescent="0.25">
      <c r="C315" s="36"/>
      <c r="D315" s="36"/>
      <c r="E315" s="54"/>
      <c r="F315" s="36"/>
      <c r="G315" s="36"/>
      <c r="H315" s="30"/>
      <c r="I315" s="30">
        <v>0</v>
      </c>
      <c r="J315" s="31"/>
      <c r="K315" s="43"/>
      <c r="L315" s="32" t="e">
        <f>DATE(YEAR(K315),MONTH(K315)+VLOOKUP($F313,'[1]Membership Level'!$A$3:$B$15,2,FALSE),DAY(K315))</f>
        <v>#N/A</v>
      </c>
      <c r="M315" s="36"/>
      <c r="N315" s="34" t="e">
        <f>IF($L315&lt;&gt;0,DATE(YEAR($L315),MONTH($L315)-#REF!,DAY($L315)-$M315),"")</f>
        <v>#N/A</v>
      </c>
      <c r="O315" s="33" t="e">
        <f t="shared" ca="1" si="7"/>
        <v>#N/A</v>
      </c>
      <c r="P315" s="34" t="e">
        <f>I315/H315*VLOOKUP(F313,'[1]Membership Level'!$A$3:$C$15,3,FALSE)+K315</f>
        <v>#DIV/0!</v>
      </c>
      <c r="Q315" s="36"/>
    </row>
    <row r="316" spans="3:17" x14ac:dyDescent="0.25">
      <c r="C316" s="36"/>
      <c r="D316" s="36"/>
      <c r="E316" s="54"/>
      <c r="F316" s="36"/>
      <c r="G316" s="36"/>
      <c r="H316" s="30"/>
      <c r="I316" s="30">
        <v>0</v>
      </c>
      <c r="J316" s="31"/>
      <c r="K316" s="43"/>
      <c r="L316" s="32" t="e">
        <f>DATE(YEAR(K316),MONTH(K316)+VLOOKUP($F314,'[1]Membership Level'!$A$3:$B$15,2,FALSE),DAY(K316))</f>
        <v>#N/A</v>
      </c>
      <c r="M316" s="36"/>
      <c r="N316" s="34" t="e">
        <f>IF($L316&lt;&gt;0,DATE(YEAR($L316),MONTH($L316)-#REF!,DAY($L316)-$M316),"")</f>
        <v>#N/A</v>
      </c>
      <c r="O316" s="33" t="e">
        <f t="shared" ca="1" si="7"/>
        <v>#N/A</v>
      </c>
      <c r="P316" s="34" t="e">
        <f>I316/H316*VLOOKUP(F314,'[1]Membership Level'!$A$3:$C$15,3,FALSE)+K316</f>
        <v>#DIV/0!</v>
      </c>
      <c r="Q316" s="36"/>
    </row>
    <row r="317" spans="3:17" x14ac:dyDescent="0.25">
      <c r="C317" s="36"/>
      <c r="D317" s="36"/>
      <c r="E317" s="54"/>
      <c r="F317" s="36"/>
      <c r="G317" s="36"/>
      <c r="H317" s="30"/>
      <c r="I317" s="30">
        <v>0</v>
      </c>
      <c r="J317" s="31"/>
      <c r="K317" s="43"/>
      <c r="L317" s="32" t="e">
        <f>DATE(YEAR(K317),MONTH(K317)+VLOOKUP($F315,'[1]Membership Level'!$A$3:$B$15,2,FALSE),DAY(K317))</f>
        <v>#N/A</v>
      </c>
      <c r="M317" s="36"/>
      <c r="N317" s="34" t="e">
        <f>IF($L317&lt;&gt;0,DATE(YEAR($L317),MONTH($L317)-#REF!,DAY($L317)-$M317),"")</f>
        <v>#N/A</v>
      </c>
      <c r="O317" s="33" t="e">
        <f t="shared" ref="O317:O380" ca="1" si="8">IF(DAYS360(NOW(), $L317) &gt;= 0, DAYS360(NOW(), $L317), "")</f>
        <v>#N/A</v>
      </c>
      <c r="P317" s="34" t="e">
        <f>I317/H317*VLOOKUP(F315,'[1]Membership Level'!$A$3:$C$15,3,FALSE)+K317</f>
        <v>#DIV/0!</v>
      </c>
      <c r="Q317" s="36"/>
    </row>
    <row r="318" spans="3:17" x14ac:dyDescent="0.25">
      <c r="C318" s="36"/>
      <c r="D318" s="36"/>
      <c r="E318" s="54"/>
      <c r="F318" s="36"/>
      <c r="G318" s="36"/>
      <c r="H318" s="30"/>
      <c r="I318" s="30">
        <v>0</v>
      </c>
      <c r="J318" s="31"/>
      <c r="K318" s="43"/>
      <c r="L318" s="32" t="e">
        <f>DATE(YEAR(K318),MONTH(K318)+VLOOKUP($F316,'[1]Membership Level'!$A$3:$B$15,2,FALSE),DAY(K318))</f>
        <v>#N/A</v>
      </c>
      <c r="M318" s="36"/>
      <c r="N318" s="34" t="e">
        <f>IF($L318&lt;&gt;0,DATE(YEAR($L318),MONTH($L318)-#REF!,DAY($L318)-$M318),"")</f>
        <v>#N/A</v>
      </c>
      <c r="O318" s="33" t="e">
        <f t="shared" ca="1" si="8"/>
        <v>#N/A</v>
      </c>
      <c r="P318" s="34" t="e">
        <f>I318/H318*VLOOKUP(F316,'[1]Membership Level'!$A$3:$C$15,3,FALSE)+K318</f>
        <v>#DIV/0!</v>
      </c>
      <c r="Q318" s="36"/>
    </row>
    <row r="319" spans="3:17" x14ac:dyDescent="0.25">
      <c r="C319" s="36"/>
      <c r="D319" s="36"/>
      <c r="E319" s="54"/>
      <c r="F319" s="45"/>
      <c r="G319" s="36"/>
      <c r="H319" s="30"/>
      <c r="I319" s="30">
        <v>0</v>
      </c>
      <c r="J319" s="31"/>
      <c r="K319" s="43"/>
      <c r="L319" s="32" t="e">
        <f>DATE(YEAR(K319),MONTH(K319)+VLOOKUP($F317,'[1]Membership Level'!$A$3:$B$15,2,FALSE),DAY(K319))</f>
        <v>#N/A</v>
      </c>
      <c r="M319" s="36"/>
      <c r="N319" s="34" t="e">
        <f>IF($L319&lt;&gt;0,DATE(YEAR($L319),MONTH($L319)-#REF!,DAY($L319)-$M319),"")</f>
        <v>#N/A</v>
      </c>
      <c r="O319" s="33" t="e">
        <f t="shared" ca="1" si="8"/>
        <v>#N/A</v>
      </c>
      <c r="P319" s="34" t="e">
        <f>I319/H319*VLOOKUP(F317,'[1]Membership Level'!$A$3:$C$15,3,FALSE)+K319</f>
        <v>#DIV/0!</v>
      </c>
      <c r="Q319" s="36"/>
    </row>
    <row r="320" spans="3:17" x14ac:dyDescent="0.25">
      <c r="C320" s="36"/>
      <c r="D320" s="36"/>
      <c r="E320" s="59"/>
      <c r="F320" s="45"/>
      <c r="G320" s="36"/>
      <c r="H320" s="30"/>
      <c r="I320" s="30">
        <v>0</v>
      </c>
      <c r="J320" s="31"/>
      <c r="K320" s="43"/>
      <c r="L320" s="32" t="e">
        <f>DATE(YEAR(K320),MONTH(K320)+VLOOKUP($F318,'[1]Membership Level'!$A$3:$B$15,2,FALSE),DAY(K320))</f>
        <v>#N/A</v>
      </c>
      <c r="M320" s="36"/>
      <c r="N320" s="34" t="e">
        <f>IF($L320&lt;&gt;0,DATE(YEAR($L320),MONTH($L320)-#REF!,DAY($L320)-$M320),"")</f>
        <v>#N/A</v>
      </c>
      <c r="O320" s="33" t="e">
        <f t="shared" ca="1" si="8"/>
        <v>#N/A</v>
      </c>
      <c r="P320" s="34" t="e">
        <f>I320/H320*VLOOKUP(F318,'[1]Membership Level'!$A$3:$C$15,3,FALSE)+K320</f>
        <v>#DIV/0!</v>
      </c>
      <c r="Q320" s="36"/>
    </row>
    <row r="321" spans="3:17" x14ac:dyDescent="0.25">
      <c r="C321" s="45"/>
      <c r="D321" s="45"/>
      <c r="E321" s="59"/>
      <c r="F321" s="36"/>
      <c r="G321" s="45"/>
      <c r="H321" s="64"/>
      <c r="I321" s="30">
        <v>0</v>
      </c>
      <c r="J321" s="65"/>
      <c r="K321" s="60"/>
      <c r="L321" s="60" t="e">
        <f>DATE(YEAR(K321),MONTH(K321)+VLOOKUP($F319,'[1]Membership Level'!$A$3:$B$15,2,FALSE),DAY(K321))</f>
        <v>#N/A</v>
      </c>
      <c r="M321" s="36"/>
      <c r="N321" s="34" t="e">
        <f>IF($L321&lt;&gt;0,DATE(YEAR($L321),MONTH($L321)-#REF!,DAY($L321)-$M321),"")</f>
        <v>#N/A</v>
      </c>
      <c r="O321" s="33" t="e">
        <f t="shared" ca="1" si="8"/>
        <v>#N/A</v>
      </c>
      <c r="P321" s="34" t="e">
        <f>I321/H321*VLOOKUP(F319,'[1]Membership Level'!$A$3:$C$15,3,FALSE)+K321</f>
        <v>#DIV/0!</v>
      </c>
      <c r="Q321" s="36"/>
    </row>
    <row r="322" spans="3:17" x14ac:dyDescent="0.25">
      <c r="C322" s="45"/>
      <c r="D322" s="45"/>
      <c r="E322" s="54"/>
      <c r="F322" s="36"/>
      <c r="G322" s="45"/>
      <c r="H322" s="64"/>
      <c r="I322" s="30">
        <v>0</v>
      </c>
      <c r="J322" s="65"/>
      <c r="K322" s="60"/>
      <c r="L322" s="60" t="e">
        <f>DATE(YEAR(K322),MONTH(K322)+VLOOKUP($F320,'[1]Membership Level'!$A$3:$B$15,2,FALSE),DAY(K322))</f>
        <v>#N/A</v>
      </c>
      <c r="M322" s="36"/>
      <c r="N322" s="34" t="e">
        <f>IF($L322&lt;&gt;0,DATE(YEAR($L322),MONTH($L322)-#REF!,DAY($L322)-$M322),"")</f>
        <v>#N/A</v>
      </c>
      <c r="O322" s="33" t="e">
        <f t="shared" ca="1" si="8"/>
        <v>#N/A</v>
      </c>
      <c r="P322" s="34" t="e">
        <f>I322/H322*VLOOKUP(F320,'[1]Membership Level'!$A$3:$C$15,3,FALSE)+K322</f>
        <v>#DIV/0!</v>
      </c>
      <c r="Q322" s="36"/>
    </row>
    <row r="323" spans="3:17" x14ac:dyDescent="0.25">
      <c r="C323" s="36"/>
      <c r="D323" s="36"/>
      <c r="E323" s="54"/>
      <c r="F323" s="45"/>
      <c r="G323" s="36"/>
      <c r="H323" s="30"/>
      <c r="I323" s="30">
        <v>0</v>
      </c>
      <c r="J323" s="31"/>
      <c r="K323" s="43"/>
      <c r="L323" s="32" t="e">
        <f>DATE(YEAR(K323),MONTH(K323)+VLOOKUP($F321,'[1]Membership Level'!$A$3:$B$15,2,FALSE),DAY(K323))</f>
        <v>#N/A</v>
      </c>
      <c r="M323" s="36"/>
      <c r="N323" s="34" t="e">
        <f>IF($L323&lt;&gt;0,DATE(YEAR($L323),MONTH($L323)-#REF!,DAY($L323)-$M323),"")</f>
        <v>#N/A</v>
      </c>
      <c r="O323" s="33" t="e">
        <f t="shared" ca="1" si="8"/>
        <v>#N/A</v>
      </c>
      <c r="P323" s="34" t="e">
        <f>I323/H323*VLOOKUP(F321,'[1]Membership Level'!$A$3:$C$15,3,FALSE)+K323</f>
        <v>#DIV/0!</v>
      </c>
      <c r="Q323" s="36"/>
    </row>
    <row r="324" spans="3:17" x14ac:dyDescent="0.25">
      <c r="C324" s="36"/>
      <c r="D324" s="36"/>
      <c r="E324" s="59"/>
      <c r="F324" s="36"/>
      <c r="G324" s="36"/>
      <c r="H324" s="30"/>
      <c r="I324" s="30">
        <v>0</v>
      </c>
      <c r="J324" s="31"/>
      <c r="K324" s="43"/>
      <c r="L324" s="32" t="e">
        <f>DATE(YEAR(K324),MONTH(K324)+VLOOKUP($F322,'[1]Membership Level'!$A$3:$B$15,2,FALSE),DAY(K324))</f>
        <v>#N/A</v>
      </c>
      <c r="M324" s="36"/>
      <c r="N324" s="34" t="e">
        <f>IF($L324&lt;&gt;0,DATE(YEAR($L324),MONTH($L324)-#REF!,DAY($L324)-$M324),"")</f>
        <v>#N/A</v>
      </c>
      <c r="O324" s="33" t="e">
        <f t="shared" ca="1" si="8"/>
        <v>#N/A</v>
      </c>
      <c r="P324" s="34" t="e">
        <f>I324/H324*VLOOKUP(F322,'[1]Membership Level'!$A$3:$C$15,3,FALSE)+K324</f>
        <v>#DIV/0!</v>
      </c>
      <c r="Q324" s="36"/>
    </row>
    <row r="325" spans="3:17" s="27" customFormat="1" x14ac:dyDescent="0.25">
      <c r="C325" s="45"/>
      <c r="D325" s="45"/>
      <c r="E325" s="54"/>
      <c r="F325" s="36"/>
      <c r="G325" s="45"/>
      <c r="H325" s="64"/>
      <c r="I325" s="30">
        <v>0</v>
      </c>
      <c r="J325" s="65"/>
      <c r="K325" s="60"/>
      <c r="L325" s="60" t="e">
        <f>DATE(YEAR(K325),MONTH(K325)+VLOOKUP($F323,'[1]Membership Level'!$A$3:$B$15,2,FALSE),DAY(K325))</f>
        <v>#N/A</v>
      </c>
      <c r="M325" s="36"/>
      <c r="N325" s="46" t="e">
        <f>IF($L325&lt;&gt;0,DATE(YEAR($L325),MONTH($L325)-#REF!,DAY($L325)-$M325),"")</f>
        <v>#N/A</v>
      </c>
      <c r="O325" s="45" t="e">
        <f t="shared" ca="1" si="8"/>
        <v>#N/A</v>
      </c>
      <c r="P325" s="46" t="e">
        <f>I325/H325*VLOOKUP(F323,'[1]Membership Level'!$A$3:$C$15,3,FALSE)+K325</f>
        <v>#DIV/0!</v>
      </c>
      <c r="Q325" s="45" t="s">
        <v>242</v>
      </c>
    </row>
    <row r="326" spans="3:17" x14ac:dyDescent="0.25">
      <c r="C326" s="36"/>
      <c r="D326" s="36"/>
      <c r="E326" s="54"/>
      <c r="F326" s="36"/>
      <c r="G326" s="36"/>
      <c r="H326" s="30"/>
      <c r="I326" s="30">
        <v>0</v>
      </c>
      <c r="J326" s="31"/>
      <c r="K326" s="43"/>
      <c r="L326" s="32" t="e">
        <f>DATE(YEAR(K326),MONTH(K326)+VLOOKUP($F324,'[1]Membership Level'!$A$3:$B$15,2,FALSE),DAY(K326))</f>
        <v>#N/A</v>
      </c>
      <c r="M326" s="36"/>
      <c r="N326" s="34" t="e">
        <f>IF($L326&lt;&gt;0,DATE(YEAR($L326),MONTH($L326)-#REF!,DAY($L326)-$M326),"")</f>
        <v>#N/A</v>
      </c>
      <c r="O326" s="33" t="e">
        <f t="shared" ca="1" si="8"/>
        <v>#N/A</v>
      </c>
      <c r="P326" s="34" t="e">
        <f>I326/H326*VLOOKUP(F324,'[1]Membership Level'!$A$3:$C$15,3,FALSE)+K326</f>
        <v>#DIV/0!</v>
      </c>
      <c r="Q326" s="36"/>
    </row>
    <row r="327" spans="3:17" x14ac:dyDescent="0.25">
      <c r="C327" s="36"/>
      <c r="D327" s="36"/>
      <c r="E327" s="54"/>
      <c r="F327" s="36"/>
      <c r="G327" s="36"/>
      <c r="H327" s="30"/>
      <c r="I327" s="30">
        <v>0</v>
      </c>
      <c r="J327" s="31"/>
      <c r="K327" s="43"/>
      <c r="L327" s="32" t="e">
        <f>DATE(YEAR(K327),MONTH(K327)+VLOOKUP($F325,'[1]Membership Level'!$A$3:$B$15,2,FALSE),DAY(K327))</f>
        <v>#N/A</v>
      </c>
      <c r="M327" s="36"/>
      <c r="N327" s="34" t="e">
        <f>IF($L327&lt;&gt;0,DATE(YEAR($L327),MONTH($L327)-#REF!,DAY($L327)-$M327),"")</f>
        <v>#N/A</v>
      </c>
      <c r="O327" s="33" t="e">
        <f t="shared" ca="1" si="8"/>
        <v>#N/A</v>
      </c>
      <c r="P327" s="34" t="e">
        <f>I327/H327*VLOOKUP(F325,'[1]Membership Level'!$A$3:$C$15,3,FALSE)+K327</f>
        <v>#DIV/0!</v>
      </c>
      <c r="Q327" s="36"/>
    </row>
    <row r="328" spans="3:17" x14ac:dyDescent="0.25">
      <c r="C328" s="36"/>
      <c r="D328" s="36"/>
      <c r="E328" s="54"/>
      <c r="F328" s="36"/>
      <c r="G328" s="36"/>
      <c r="H328" s="30"/>
      <c r="I328" s="30">
        <v>0</v>
      </c>
      <c r="J328" s="31"/>
      <c r="K328" s="43"/>
      <c r="L328" s="32" t="e">
        <f>DATE(YEAR(K328),MONTH(K328)+VLOOKUP($F326,'[1]Membership Level'!$A$3:$B$15,2,FALSE),DAY(K328))</f>
        <v>#N/A</v>
      </c>
      <c r="M328" s="36"/>
      <c r="N328" s="34" t="e">
        <f>IF($L328&lt;&gt;0,DATE(YEAR($L328),MONTH($L328)-#REF!,DAY($L328)-$M328),"")</f>
        <v>#N/A</v>
      </c>
      <c r="O328" s="33" t="e">
        <f t="shared" ca="1" si="8"/>
        <v>#N/A</v>
      </c>
      <c r="P328" s="34" t="e">
        <f>I328/H328*VLOOKUP(F326,'[1]Membership Level'!$A$3:$C$15,3,FALSE)+K328</f>
        <v>#DIV/0!</v>
      </c>
      <c r="Q328" s="36"/>
    </row>
    <row r="329" spans="3:17" x14ac:dyDescent="0.25">
      <c r="C329" s="36"/>
      <c r="D329" s="36"/>
      <c r="E329" s="54"/>
      <c r="F329" s="36"/>
      <c r="G329" s="36"/>
      <c r="H329" s="30"/>
      <c r="I329" s="30">
        <v>0</v>
      </c>
      <c r="J329" s="31"/>
      <c r="K329" s="43"/>
      <c r="L329" s="32" t="e">
        <f>DATE(YEAR(K329),MONTH(K329)+VLOOKUP($F327,'[1]Membership Level'!$A$3:$B$15,2,FALSE),DAY(K329))</f>
        <v>#N/A</v>
      </c>
      <c r="M329" s="36"/>
      <c r="N329" s="34" t="e">
        <f>IF($L329&lt;&gt;0,DATE(YEAR($L329),MONTH($L329)-#REF!,DAY($L329)-$M329),"")</f>
        <v>#N/A</v>
      </c>
      <c r="O329" s="33" t="e">
        <f t="shared" ca="1" si="8"/>
        <v>#N/A</v>
      </c>
      <c r="P329" s="34" t="e">
        <f>I329/H329*VLOOKUP(F327,'[1]Membership Level'!$A$3:$C$15,3,FALSE)+K329</f>
        <v>#DIV/0!</v>
      </c>
      <c r="Q329" s="36"/>
    </row>
    <row r="330" spans="3:17" x14ac:dyDescent="0.25">
      <c r="C330" s="36"/>
      <c r="D330" s="36"/>
      <c r="E330" s="35"/>
      <c r="F330" s="36"/>
      <c r="G330" s="36"/>
      <c r="H330" s="30"/>
      <c r="I330" s="30">
        <v>0</v>
      </c>
      <c r="J330" s="31"/>
      <c r="K330" s="43"/>
      <c r="L330" s="32" t="e">
        <f>DATE(YEAR(K330),MONTH(K330)+VLOOKUP($F328,'[1]Membership Level'!$A$3:$B$15,2,FALSE),DAY(K330))</f>
        <v>#N/A</v>
      </c>
      <c r="M330" s="36"/>
      <c r="N330" s="34" t="e">
        <f>IF($L330&lt;&gt;0,DATE(YEAR($L330),MONTH($L330)-#REF!,DAY($L330)-$M330),"")</f>
        <v>#N/A</v>
      </c>
      <c r="O330" s="33" t="e">
        <f t="shared" ca="1" si="8"/>
        <v>#N/A</v>
      </c>
      <c r="P330" s="34" t="e">
        <f>I330/H330*VLOOKUP(F328,'[1]Membership Level'!$A$3:$C$15,3,FALSE)+K330</f>
        <v>#DIV/0!</v>
      </c>
      <c r="Q330" s="36"/>
    </row>
    <row r="331" spans="3:17" x14ac:dyDescent="0.25">
      <c r="C331" s="36"/>
      <c r="D331" s="36"/>
      <c r="E331" s="35"/>
      <c r="F331" s="36"/>
      <c r="G331" s="36"/>
      <c r="H331" s="30"/>
      <c r="I331" s="30">
        <v>0</v>
      </c>
      <c r="J331" s="31"/>
      <c r="K331" s="43"/>
      <c r="L331" s="32" t="e">
        <f>DATE(YEAR(K331),MONTH(K331)+VLOOKUP($F329,'[1]Membership Level'!$A$3:$B$15,2,FALSE),DAY(K331))</f>
        <v>#N/A</v>
      </c>
      <c r="M331" s="36"/>
      <c r="N331" s="34" t="e">
        <f>IF($L331&lt;&gt;0,DATE(YEAR($L331),MONTH($L331)-#REF!,DAY($L331)-$M331),"")</f>
        <v>#N/A</v>
      </c>
      <c r="O331" s="33" t="e">
        <f t="shared" ca="1" si="8"/>
        <v>#N/A</v>
      </c>
      <c r="P331" s="34" t="e">
        <f>I331/H331*VLOOKUP(F329,'[1]Membership Level'!$A$3:$C$15,3,FALSE)+K331</f>
        <v>#DIV/0!</v>
      </c>
      <c r="Q331" s="36"/>
    </row>
    <row r="332" spans="3:17" x14ac:dyDescent="0.25">
      <c r="C332" s="36"/>
      <c r="D332" s="36"/>
      <c r="E332" s="35"/>
      <c r="F332" s="36"/>
      <c r="G332" s="36"/>
      <c r="H332" s="30"/>
      <c r="I332" s="30">
        <v>0</v>
      </c>
      <c r="J332" s="31"/>
      <c r="K332" s="43"/>
      <c r="L332" s="32" t="e">
        <f>DATE(YEAR(K332),MONTH(K332)+VLOOKUP($F330,'[1]Membership Level'!$A$3:$B$15,2,FALSE),DAY(K332))</f>
        <v>#N/A</v>
      </c>
      <c r="M332" s="36"/>
      <c r="N332" s="34" t="e">
        <f>IF($L332&lt;&gt;0,DATE(YEAR($L332),MONTH($L332)-#REF!,DAY($L332)-$M332),"")</f>
        <v>#N/A</v>
      </c>
      <c r="O332" s="33" t="e">
        <f t="shared" ca="1" si="8"/>
        <v>#N/A</v>
      </c>
      <c r="P332" s="34" t="e">
        <f>I332/H332*VLOOKUP(F330,'[1]Membership Level'!$A$3:$C$15,3,FALSE)+K332</f>
        <v>#DIV/0!</v>
      </c>
      <c r="Q332" s="36"/>
    </row>
    <row r="333" spans="3:17" x14ac:dyDescent="0.25">
      <c r="C333" s="36"/>
      <c r="D333" s="36"/>
      <c r="E333" s="35"/>
      <c r="F333" s="36"/>
      <c r="G333" s="36"/>
      <c r="H333" s="30"/>
      <c r="I333" s="30">
        <v>0</v>
      </c>
      <c r="J333" s="31"/>
      <c r="K333" s="43"/>
      <c r="L333" s="32" t="e">
        <f>DATE(YEAR(K333),MONTH(K333)+VLOOKUP($F331,'[1]Membership Level'!$A$3:$B$15,2,FALSE),DAY(K333))</f>
        <v>#N/A</v>
      </c>
      <c r="M333" s="36"/>
      <c r="N333" s="34" t="e">
        <f>IF($L333&lt;&gt;0,DATE(YEAR($L333),MONTH($L333)-#REF!,DAY($L333)-$M333),"")</f>
        <v>#N/A</v>
      </c>
      <c r="O333" s="33" t="e">
        <f t="shared" ca="1" si="8"/>
        <v>#N/A</v>
      </c>
      <c r="P333" s="34" t="e">
        <f>I333/H333*VLOOKUP(F331,'[1]Membership Level'!$A$3:$C$15,3,FALSE)+K333</f>
        <v>#DIV/0!</v>
      </c>
      <c r="Q333" s="36"/>
    </row>
    <row r="334" spans="3:17" s="47" customFormat="1" x14ac:dyDescent="0.25">
      <c r="C334" s="36"/>
      <c r="D334" s="36"/>
      <c r="E334" s="35"/>
      <c r="F334" s="36"/>
      <c r="G334" s="36"/>
      <c r="H334" s="30"/>
      <c r="I334" s="30">
        <v>0</v>
      </c>
      <c r="J334" s="31"/>
      <c r="K334" s="43"/>
      <c r="L334" s="32" t="e">
        <f>DATE(YEAR(K334),MONTH(K334)+VLOOKUP($F332,'[1]Membership Level'!$A$3:$B$15,2,FALSE),DAY(K334))</f>
        <v>#N/A</v>
      </c>
      <c r="M334" s="36"/>
      <c r="N334" s="34" t="e">
        <f>IF($L334&lt;&gt;0,DATE(YEAR($L334),MONTH($L334)-#REF!,DAY($L334)-$M334),"")</f>
        <v>#N/A</v>
      </c>
      <c r="O334" s="33" t="e">
        <f t="shared" ca="1" si="8"/>
        <v>#N/A</v>
      </c>
      <c r="P334" s="34" t="e">
        <f>I334/H334*VLOOKUP(F332,'[1]Membership Level'!$A$3:$C$15,3,FALSE)+K334</f>
        <v>#DIV/0!</v>
      </c>
      <c r="Q334" s="36"/>
    </row>
    <row r="335" spans="3:17" s="47" customFormat="1" x14ac:dyDescent="0.25">
      <c r="C335" s="36"/>
      <c r="D335" s="36"/>
      <c r="E335" s="35"/>
      <c r="F335" s="36"/>
      <c r="G335" s="36"/>
      <c r="H335" s="30"/>
      <c r="I335" s="30">
        <v>0</v>
      </c>
      <c r="J335" s="31"/>
      <c r="K335" s="43"/>
      <c r="L335" s="32" t="e">
        <f>DATE(YEAR(K335),MONTH(K335)+VLOOKUP($F333,'[1]Membership Level'!$A$3:$B$15,2,FALSE),DAY(K335))</f>
        <v>#N/A</v>
      </c>
      <c r="M335" s="36"/>
      <c r="N335" s="34" t="e">
        <f>IF($L335&lt;&gt;0,DATE(YEAR($L335),MONTH($L335)-#REF!,DAY($L335)-$M335),"")</f>
        <v>#N/A</v>
      </c>
      <c r="O335" s="33" t="e">
        <f t="shared" ca="1" si="8"/>
        <v>#N/A</v>
      </c>
      <c r="P335" s="34" t="e">
        <f>I335/H335*VLOOKUP(F333,'[1]Membership Level'!$A$3:$C$15,3,FALSE)+K335</f>
        <v>#DIV/0!</v>
      </c>
      <c r="Q335" s="36"/>
    </row>
    <row r="336" spans="3:17" x14ac:dyDescent="0.25">
      <c r="C336" s="36"/>
      <c r="D336" s="36"/>
      <c r="E336" s="35"/>
      <c r="F336" s="36"/>
      <c r="G336" s="36"/>
      <c r="H336" s="30"/>
      <c r="I336" s="30">
        <v>0</v>
      </c>
      <c r="J336" s="31"/>
      <c r="K336" s="43"/>
      <c r="L336" s="32" t="e">
        <f>DATE(YEAR(K336),MONTH(K336)+VLOOKUP($F334,'[1]Membership Level'!$A$3:$B$15,2,FALSE),DAY(K336))</f>
        <v>#N/A</v>
      </c>
      <c r="M336" s="36"/>
      <c r="N336" s="34" t="e">
        <f>IF($L336&lt;&gt;0,DATE(YEAR($L336),MONTH($L336)-#REF!,DAY($L336)-$M336),"")</f>
        <v>#N/A</v>
      </c>
      <c r="O336" s="33" t="e">
        <f t="shared" ca="1" si="8"/>
        <v>#N/A</v>
      </c>
      <c r="P336" s="34" t="e">
        <f>I336/H336*VLOOKUP(F334,'[1]Membership Level'!$A$3:$C$15,3,FALSE)+K336</f>
        <v>#DIV/0!</v>
      </c>
      <c r="Q336" s="36"/>
    </row>
    <row r="337" spans="3:17" x14ac:dyDescent="0.25">
      <c r="C337" s="36"/>
      <c r="D337" s="36"/>
      <c r="E337" s="35"/>
      <c r="F337" s="36"/>
      <c r="G337" s="36"/>
      <c r="H337" s="30"/>
      <c r="I337" s="30">
        <v>0</v>
      </c>
      <c r="J337" s="31"/>
      <c r="K337" s="43"/>
      <c r="L337" s="32" t="e">
        <f>DATE(YEAR(K337),MONTH(K337)+VLOOKUP($F335,'[1]Membership Level'!$A$3:$B$15,2,FALSE),DAY(K337))</f>
        <v>#N/A</v>
      </c>
      <c r="M337" s="36"/>
      <c r="N337" s="34" t="e">
        <f>IF($L337&lt;&gt;0,DATE(YEAR($L337),MONTH($L337)-#REF!,DAY($L337)-$M337),"")</f>
        <v>#N/A</v>
      </c>
      <c r="O337" s="33" t="e">
        <f t="shared" ca="1" si="8"/>
        <v>#N/A</v>
      </c>
      <c r="P337" s="34" t="e">
        <f>I337/H337*VLOOKUP(F335,'[1]Membership Level'!$A$3:$C$15,3,FALSE)+K337</f>
        <v>#DIV/0!</v>
      </c>
      <c r="Q337" s="36"/>
    </row>
    <row r="338" spans="3:17" x14ac:dyDescent="0.25">
      <c r="C338" s="36"/>
      <c r="D338" s="36"/>
      <c r="E338" s="35"/>
      <c r="F338" s="36"/>
      <c r="G338" s="36"/>
      <c r="H338" s="30"/>
      <c r="I338" s="30">
        <v>0</v>
      </c>
      <c r="J338" s="31"/>
      <c r="K338" s="43"/>
      <c r="L338" s="32" t="e">
        <f>DATE(YEAR(K338),MONTH(K338)+VLOOKUP($F336,'[1]Membership Level'!$A$3:$B$15,2,FALSE),DAY(K338))</f>
        <v>#N/A</v>
      </c>
      <c r="M338" s="36"/>
      <c r="N338" s="34" t="e">
        <f>IF($L338&lt;&gt;0,DATE(YEAR($L338),MONTH($L338)-#REF!,DAY($L338)-$M338),"")</f>
        <v>#N/A</v>
      </c>
      <c r="O338" s="33" t="e">
        <f t="shared" ca="1" si="8"/>
        <v>#N/A</v>
      </c>
      <c r="P338" s="34" t="e">
        <f>I338/H338*VLOOKUP(F336,'[1]Membership Level'!$A$3:$C$15,3,FALSE)+K338</f>
        <v>#DIV/0!</v>
      </c>
      <c r="Q338" s="36"/>
    </row>
    <row r="339" spans="3:17" x14ac:dyDescent="0.25">
      <c r="C339" s="36"/>
      <c r="D339" s="36"/>
      <c r="E339" s="35"/>
      <c r="F339" s="36"/>
      <c r="G339" s="36"/>
      <c r="H339" s="30"/>
      <c r="I339" s="30">
        <v>0</v>
      </c>
      <c r="J339" s="31"/>
      <c r="K339" s="43"/>
      <c r="L339" s="32" t="e">
        <f>DATE(YEAR(K339),MONTH(K339)+VLOOKUP($F337,'[1]Membership Level'!$A$3:$B$15,2,FALSE),DAY(K339))</f>
        <v>#N/A</v>
      </c>
      <c r="M339" s="36"/>
      <c r="N339" s="34" t="e">
        <f>IF($L339&lt;&gt;0,DATE(YEAR($L339),MONTH($L339)-#REF!,DAY($L339)-$M339),"")</f>
        <v>#N/A</v>
      </c>
      <c r="O339" s="33" t="e">
        <f t="shared" ca="1" si="8"/>
        <v>#N/A</v>
      </c>
      <c r="P339" s="34" t="e">
        <f>I339/H339*VLOOKUP(F337,'[1]Membership Level'!$A$3:$C$15,3,FALSE)+K339</f>
        <v>#DIV/0!</v>
      </c>
      <c r="Q339" s="36"/>
    </row>
    <row r="340" spans="3:17" x14ac:dyDescent="0.25">
      <c r="C340" s="36"/>
      <c r="D340" s="36"/>
      <c r="E340" s="35"/>
      <c r="F340" s="36"/>
      <c r="G340" s="36"/>
      <c r="H340" s="30"/>
      <c r="I340" s="30">
        <v>0</v>
      </c>
      <c r="J340" s="31"/>
      <c r="K340" s="43"/>
      <c r="L340" s="32" t="e">
        <f>DATE(YEAR(K340),MONTH(K340)+VLOOKUP($F338,'[1]Membership Level'!$A$3:$B$15,2,FALSE),DAY(K340))</f>
        <v>#N/A</v>
      </c>
      <c r="M340" s="36"/>
      <c r="N340" s="34" t="e">
        <f>IF($L340&lt;&gt;0,DATE(YEAR($L340),MONTH($L340)-#REF!,DAY($L340)-$M340),"")</f>
        <v>#N/A</v>
      </c>
      <c r="O340" s="33" t="e">
        <f t="shared" ca="1" si="8"/>
        <v>#N/A</v>
      </c>
      <c r="P340" s="34" t="e">
        <f>I340/H340*VLOOKUP(F338,'[1]Membership Level'!$A$3:$C$15,3,FALSE)+K340</f>
        <v>#DIV/0!</v>
      </c>
      <c r="Q340" s="36"/>
    </row>
    <row r="341" spans="3:17" x14ac:dyDescent="0.25">
      <c r="C341" s="36"/>
      <c r="D341" s="36"/>
      <c r="E341" s="35"/>
      <c r="F341" s="36"/>
      <c r="G341" s="36"/>
      <c r="H341" s="30"/>
      <c r="I341" s="30">
        <v>0</v>
      </c>
      <c r="J341" s="31"/>
      <c r="K341" s="43"/>
      <c r="L341" s="32" t="e">
        <f>DATE(YEAR(K341),MONTH(K341)+VLOOKUP($F339,'[1]Membership Level'!$A$3:$B$15,2,FALSE),DAY(K341))</f>
        <v>#N/A</v>
      </c>
      <c r="M341" s="36"/>
      <c r="N341" s="34" t="e">
        <f>IF($L341&lt;&gt;0,DATE(YEAR($L341),MONTH($L341)-#REF!,DAY($L341)-$M341),"")</f>
        <v>#N/A</v>
      </c>
      <c r="O341" s="33" t="e">
        <f t="shared" ca="1" si="8"/>
        <v>#N/A</v>
      </c>
      <c r="P341" s="34" t="e">
        <f>I341/H341*VLOOKUP(F339,'[1]Membership Level'!$A$3:$C$15,3,FALSE)+K341</f>
        <v>#DIV/0!</v>
      </c>
      <c r="Q341" s="36"/>
    </row>
    <row r="342" spans="3:17" x14ac:dyDescent="0.25">
      <c r="C342" s="36"/>
      <c r="D342" s="36"/>
      <c r="E342" s="35"/>
      <c r="F342" s="36"/>
      <c r="G342" s="36"/>
      <c r="H342" s="30"/>
      <c r="I342" s="30">
        <v>0</v>
      </c>
      <c r="J342" s="31"/>
      <c r="K342" s="43"/>
      <c r="L342" s="32" t="e">
        <f>DATE(YEAR(K342),MONTH(K342)+VLOOKUP($F340,'[1]Membership Level'!$A$3:$B$15,2,FALSE),DAY(K342))</f>
        <v>#N/A</v>
      </c>
      <c r="M342" s="36"/>
      <c r="N342" s="34" t="e">
        <f>IF($L342&lt;&gt;0,DATE(YEAR($L342),MONTH($L342)-#REF!,DAY($L342)-$M342),"")</f>
        <v>#N/A</v>
      </c>
      <c r="O342" s="33" t="e">
        <f t="shared" ca="1" si="8"/>
        <v>#N/A</v>
      </c>
      <c r="P342" s="34" t="e">
        <f>I342/H342*VLOOKUP(F340,'[1]Membership Level'!$A$3:$C$15,3,FALSE)+K342</f>
        <v>#DIV/0!</v>
      </c>
      <c r="Q342" s="36"/>
    </row>
    <row r="343" spans="3:17" x14ac:dyDescent="0.25">
      <c r="C343" s="36"/>
      <c r="D343" s="36"/>
      <c r="E343" s="35"/>
      <c r="F343" s="36"/>
      <c r="G343" s="36"/>
      <c r="H343" s="30"/>
      <c r="I343" s="30">
        <v>0</v>
      </c>
      <c r="J343" s="31"/>
      <c r="K343" s="43"/>
      <c r="L343" s="32" t="e">
        <f>DATE(YEAR(K343),MONTH(K343)+VLOOKUP($F341,'[1]Membership Level'!$A$3:$B$15,2,FALSE),DAY(K343))</f>
        <v>#N/A</v>
      </c>
      <c r="M343" s="36"/>
      <c r="N343" s="34" t="e">
        <f>IF($L343&lt;&gt;0,DATE(YEAR($L343),MONTH($L343)-#REF!,DAY($L343)-$M343),"")</f>
        <v>#N/A</v>
      </c>
      <c r="O343" s="33" t="e">
        <f t="shared" ca="1" si="8"/>
        <v>#N/A</v>
      </c>
      <c r="P343" s="34" t="e">
        <f>I343/H343*VLOOKUP(F341,'[1]Membership Level'!$A$3:$C$15,3,FALSE)+K343</f>
        <v>#DIV/0!</v>
      </c>
      <c r="Q343" s="36"/>
    </row>
    <row r="344" spans="3:17" x14ac:dyDescent="0.25">
      <c r="C344" s="36"/>
      <c r="D344" s="36"/>
      <c r="E344" s="35"/>
      <c r="F344" s="36"/>
      <c r="G344" s="36"/>
      <c r="H344" s="30"/>
      <c r="I344" s="30">
        <v>0</v>
      </c>
      <c r="J344" s="31"/>
      <c r="K344" s="43"/>
      <c r="L344" s="32" t="e">
        <f>DATE(YEAR(K344),MONTH(K344)+VLOOKUP($F342,'[1]Membership Level'!$A$3:$B$15,2,FALSE),DAY(K344))</f>
        <v>#N/A</v>
      </c>
      <c r="M344" s="36"/>
      <c r="N344" s="34" t="e">
        <f>IF($L344&lt;&gt;0,DATE(YEAR($L344),MONTH($L344)-#REF!,DAY($L344)-$M344),"")</f>
        <v>#N/A</v>
      </c>
      <c r="O344" s="33" t="e">
        <f t="shared" ca="1" si="8"/>
        <v>#N/A</v>
      </c>
      <c r="P344" s="34" t="e">
        <f>I344/H344*VLOOKUP(F342,'[1]Membership Level'!$A$3:$C$15,3,FALSE)+K344</f>
        <v>#DIV/0!</v>
      </c>
      <c r="Q344" s="36"/>
    </row>
    <row r="345" spans="3:17" x14ac:dyDescent="0.25">
      <c r="C345" s="36"/>
      <c r="D345" s="36"/>
      <c r="E345" s="35"/>
      <c r="F345" s="36"/>
      <c r="G345" s="36"/>
      <c r="H345" s="30"/>
      <c r="I345" s="30">
        <v>0</v>
      </c>
      <c r="J345" s="31"/>
      <c r="K345" s="43"/>
      <c r="L345" s="32" t="e">
        <f>DATE(YEAR(K345),MONTH(K345)+VLOOKUP($F343,'[1]Membership Level'!$A$3:$B$15,2,FALSE),DAY(K345))</f>
        <v>#N/A</v>
      </c>
      <c r="M345" s="36"/>
      <c r="N345" s="34" t="e">
        <f>IF($L345&lt;&gt;0,DATE(YEAR($L345),MONTH($L345)-#REF!,DAY($L345)-$M345),"")</f>
        <v>#N/A</v>
      </c>
      <c r="O345" s="33" t="e">
        <f t="shared" ca="1" si="8"/>
        <v>#N/A</v>
      </c>
      <c r="P345" s="34" t="e">
        <f>I345/H345*VLOOKUP(F343,'[1]Membership Level'!$A$3:$C$15,3,FALSE)+K345</f>
        <v>#DIV/0!</v>
      </c>
      <c r="Q345" s="36"/>
    </row>
    <row r="346" spans="3:17" x14ac:dyDescent="0.25">
      <c r="C346" s="36"/>
      <c r="D346" s="36"/>
      <c r="E346" s="35"/>
      <c r="F346" s="36"/>
      <c r="G346" s="36"/>
      <c r="H346" s="30"/>
      <c r="I346" s="30">
        <v>0</v>
      </c>
      <c r="J346" s="31"/>
      <c r="K346" s="43"/>
      <c r="L346" s="32" t="e">
        <f>DATE(YEAR(K346),MONTH(K346)+VLOOKUP($F344,'[1]Membership Level'!$A$3:$B$15,2,FALSE),DAY(K346))</f>
        <v>#N/A</v>
      </c>
      <c r="M346" s="36"/>
      <c r="N346" s="34" t="e">
        <f>IF($L346&lt;&gt;0,DATE(YEAR($L346),MONTH($L346)-#REF!,DAY($L346)-$M346),"")</f>
        <v>#N/A</v>
      </c>
      <c r="O346" s="33" t="e">
        <f t="shared" ca="1" si="8"/>
        <v>#N/A</v>
      </c>
      <c r="P346" s="34" t="e">
        <f>I346/H346*VLOOKUP(F344,'[1]Membership Level'!$A$3:$C$15,3,FALSE)+K346</f>
        <v>#DIV/0!</v>
      </c>
      <c r="Q346" s="36"/>
    </row>
    <row r="347" spans="3:17" x14ac:dyDescent="0.25">
      <c r="C347" s="36"/>
      <c r="D347" s="36"/>
      <c r="E347" s="35"/>
      <c r="F347" s="36"/>
      <c r="G347" s="36"/>
      <c r="H347" s="30"/>
      <c r="I347" s="30">
        <v>0</v>
      </c>
      <c r="J347" s="31"/>
      <c r="K347" s="43"/>
      <c r="L347" s="32" t="e">
        <f>DATE(YEAR(K347),MONTH(K347)+VLOOKUP($F345,'[1]Membership Level'!$A$3:$B$15,2,FALSE),DAY(K347))</f>
        <v>#N/A</v>
      </c>
      <c r="M347" s="36"/>
      <c r="N347" s="34" t="e">
        <f>IF($L347&lt;&gt;0,DATE(YEAR($L347),MONTH($L347)-#REF!,DAY($L347)-$M347),"")</f>
        <v>#N/A</v>
      </c>
      <c r="O347" s="33" t="e">
        <f t="shared" ca="1" si="8"/>
        <v>#N/A</v>
      </c>
      <c r="P347" s="34" t="e">
        <f>I347/H347*VLOOKUP(F345,'[1]Membership Level'!$A$3:$C$15,3,FALSE)+K347</f>
        <v>#DIV/0!</v>
      </c>
      <c r="Q347" s="36"/>
    </row>
    <row r="348" spans="3:17" x14ac:dyDescent="0.25">
      <c r="C348" s="36"/>
      <c r="D348" s="36"/>
      <c r="E348" s="66"/>
      <c r="F348" s="36"/>
      <c r="G348" s="36"/>
      <c r="H348" s="30"/>
      <c r="I348" s="30">
        <v>0</v>
      </c>
      <c r="J348" s="31"/>
      <c r="K348" s="43"/>
      <c r="L348" s="32" t="e">
        <f>DATE(YEAR(K348),MONTH(K348)+VLOOKUP($F346,'[1]Membership Level'!$A$3:$B$15,2,FALSE),DAY(K348))</f>
        <v>#N/A</v>
      </c>
      <c r="M348" s="36"/>
      <c r="N348" s="34" t="e">
        <f>IF($L348&lt;&gt;0,DATE(YEAR($L348),MONTH($L348)-#REF!,DAY($L348)-$M348),"")</f>
        <v>#N/A</v>
      </c>
      <c r="O348" s="33" t="e">
        <f t="shared" ca="1" si="8"/>
        <v>#N/A</v>
      </c>
      <c r="P348" s="34" t="e">
        <f>I348/H348*VLOOKUP(F346,'[1]Membership Level'!$A$3:$C$15,3,FALSE)+K348</f>
        <v>#DIV/0!</v>
      </c>
      <c r="Q348" s="35"/>
    </row>
    <row r="349" spans="3:17" x14ac:dyDescent="0.25">
      <c r="C349" s="36"/>
      <c r="D349" s="36"/>
      <c r="E349" s="35"/>
      <c r="F349" s="36"/>
      <c r="G349" s="36"/>
      <c r="H349" s="30"/>
      <c r="I349" s="30">
        <v>0</v>
      </c>
      <c r="J349" s="31"/>
      <c r="K349" s="43"/>
      <c r="L349" s="32" t="e">
        <f>DATE(YEAR(K349),MONTH(K349)+VLOOKUP($F347,'[1]Membership Level'!$A$3:$B$15,2,FALSE),DAY(K349))</f>
        <v>#N/A</v>
      </c>
      <c r="M349" s="36"/>
      <c r="N349" s="34" t="e">
        <f>IF($L349&lt;&gt;0,DATE(YEAR($L349),MONTH($L349)-#REF!,DAY($L349)-$M349),"")</f>
        <v>#N/A</v>
      </c>
      <c r="O349" s="33" t="e">
        <f t="shared" ca="1" si="8"/>
        <v>#N/A</v>
      </c>
      <c r="P349" s="34" t="e">
        <f>I349/H349*VLOOKUP(F347,'[1]Membership Level'!$A$3:$C$15,3,FALSE)+K349</f>
        <v>#DIV/0!</v>
      </c>
      <c r="Q349" s="36"/>
    </row>
    <row r="350" spans="3:17" x14ac:dyDescent="0.25">
      <c r="C350" s="36"/>
      <c r="D350" s="36"/>
      <c r="E350" s="35"/>
      <c r="F350" s="36"/>
      <c r="G350" s="36"/>
      <c r="H350" s="30"/>
      <c r="I350" s="30">
        <v>0</v>
      </c>
      <c r="J350" s="31"/>
      <c r="K350" s="43"/>
      <c r="L350" s="32" t="e">
        <f>DATE(YEAR(K350),MONTH(K350)+VLOOKUP($F348,'[1]Membership Level'!$A$3:$B$15,2,FALSE),DAY(K350))</f>
        <v>#N/A</v>
      </c>
      <c r="M350" s="36"/>
      <c r="N350" s="34" t="e">
        <f>IF($L350&lt;&gt;0,DATE(YEAR($L350),MONTH($L350)-#REF!,DAY($L350)-$M350),"")</f>
        <v>#N/A</v>
      </c>
      <c r="O350" s="33" t="e">
        <f t="shared" ca="1" si="8"/>
        <v>#N/A</v>
      </c>
      <c r="P350" s="34" t="e">
        <f>I350/H350*VLOOKUP(F348,'[1]Membership Level'!$A$3:$C$15,3,FALSE)+K350</f>
        <v>#DIV/0!</v>
      </c>
      <c r="Q350" s="36"/>
    </row>
    <row r="351" spans="3:17" x14ac:dyDescent="0.25">
      <c r="C351" s="36"/>
      <c r="D351" s="36"/>
      <c r="E351" s="35"/>
      <c r="F351" s="36"/>
      <c r="G351" s="36"/>
      <c r="H351" s="30"/>
      <c r="I351" s="30">
        <v>0</v>
      </c>
      <c r="J351" s="31"/>
      <c r="K351" s="43"/>
      <c r="L351" s="32" t="e">
        <f>DATE(YEAR(K351),MONTH(K351)+VLOOKUP($F349,'[1]Membership Level'!$A$3:$B$15,2,FALSE),DAY(K351))</f>
        <v>#N/A</v>
      </c>
      <c r="M351" s="36"/>
      <c r="N351" s="34" t="e">
        <f>IF($L351&lt;&gt;0,DATE(YEAR($L351),MONTH($L351)-#REF!,DAY($L351)-$M351),"")</f>
        <v>#N/A</v>
      </c>
      <c r="O351" s="33" t="e">
        <f t="shared" ca="1" si="8"/>
        <v>#N/A</v>
      </c>
      <c r="P351" s="34" t="e">
        <f>I351/H351*VLOOKUP(F349,'[1]Membership Level'!$A$3:$C$15,3,FALSE)+K351</f>
        <v>#DIV/0!</v>
      </c>
      <c r="Q351" s="36"/>
    </row>
    <row r="352" spans="3:17" x14ac:dyDescent="0.25">
      <c r="C352" s="36"/>
      <c r="D352" s="36"/>
      <c r="E352" s="35"/>
      <c r="F352" s="36"/>
      <c r="G352" s="36"/>
      <c r="H352" s="30"/>
      <c r="I352" s="30">
        <v>0</v>
      </c>
      <c r="J352" s="31"/>
      <c r="K352" s="43"/>
      <c r="L352" s="32" t="e">
        <f>DATE(YEAR(K352),MONTH(K352)+VLOOKUP($F350,'[1]Membership Level'!$A$3:$B$15,2,FALSE),DAY(K352))</f>
        <v>#N/A</v>
      </c>
      <c r="M352" s="36"/>
      <c r="N352" s="34" t="e">
        <f>IF($L352&lt;&gt;0,DATE(YEAR($L352),MONTH($L352)-#REF!,DAY($L352)-$M352),"")</f>
        <v>#N/A</v>
      </c>
      <c r="O352" s="33" t="e">
        <f t="shared" ca="1" si="8"/>
        <v>#N/A</v>
      </c>
      <c r="P352" s="34" t="e">
        <f>I352/H352*VLOOKUP(F350,'[1]Membership Level'!$A$3:$C$15,3,FALSE)+K352</f>
        <v>#DIV/0!</v>
      </c>
      <c r="Q352" s="36"/>
    </row>
    <row r="353" spans="3:17" x14ac:dyDescent="0.25">
      <c r="C353" s="36"/>
      <c r="D353" s="36"/>
      <c r="E353" s="35"/>
      <c r="F353" s="36"/>
      <c r="G353" s="36"/>
      <c r="H353" s="30"/>
      <c r="I353" s="30">
        <v>0</v>
      </c>
      <c r="J353" s="31"/>
      <c r="K353" s="43"/>
      <c r="L353" s="32" t="e">
        <f>DATE(YEAR(K353),MONTH(K353)+VLOOKUP($F351,'[1]Membership Level'!$A$3:$B$15,2,FALSE),DAY(K353))</f>
        <v>#N/A</v>
      </c>
      <c r="M353" s="36"/>
      <c r="N353" s="34" t="e">
        <f>IF($L353&lt;&gt;0,DATE(YEAR($L353),MONTH($L353)-#REF!,DAY($L353)-$M353),"")</f>
        <v>#N/A</v>
      </c>
      <c r="O353" s="33" t="e">
        <f t="shared" ca="1" si="8"/>
        <v>#N/A</v>
      </c>
      <c r="P353" s="34" t="e">
        <f>I353/H353*VLOOKUP(F351,'[1]Membership Level'!$A$3:$C$15,3,FALSE)+K353</f>
        <v>#DIV/0!</v>
      </c>
      <c r="Q353" s="36"/>
    </row>
    <row r="354" spans="3:17" x14ac:dyDescent="0.25">
      <c r="C354" s="36"/>
      <c r="D354" s="36"/>
      <c r="E354" s="35"/>
      <c r="F354" s="36"/>
      <c r="G354" s="36"/>
      <c r="H354" s="30"/>
      <c r="I354" s="30">
        <v>0</v>
      </c>
      <c r="J354" s="31"/>
      <c r="K354" s="43"/>
      <c r="L354" s="32" t="e">
        <f>DATE(YEAR(K354),MONTH(K354)+VLOOKUP($F352,'[1]Membership Level'!$A$3:$B$15,2,FALSE),DAY(K354))</f>
        <v>#N/A</v>
      </c>
      <c r="M354" s="36"/>
      <c r="N354" s="34" t="e">
        <f>IF($L354&lt;&gt;0,DATE(YEAR($L354),MONTH($L354)-#REF!,DAY($L354)-$M354),"")</f>
        <v>#N/A</v>
      </c>
      <c r="O354" s="33" t="e">
        <f t="shared" ca="1" si="8"/>
        <v>#N/A</v>
      </c>
      <c r="P354" s="34" t="e">
        <f>I354/H354*VLOOKUP(F352,'[1]Membership Level'!$A$3:$C$15,3,FALSE)+K354</f>
        <v>#DIV/0!</v>
      </c>
      <c r="Q354" s="36"/>
    </row>
    <row r="355" spans="3:17" x14ac:dyDescent="0.25">
      <c r="C355" s="36"/>
      <c r="D355" s="36"/>
      <c r="E355" s="35"/>
      <c r="F355" s="36"/>
      <c r="G355" s="36"/>
      <c r="H355" s="30"/>
      <c r="I355" s="30">
        <v>0</v>
      </c>
      <c r="J355" s="31"/>
      <c r="K355" s="43"/>
      <c r="L355" s="32" t="e">
        <f>DATE(YEAR(K355),MONTH(K355)+VLOOKUP($F353,'[1]Membership Level'!$A$3:$B$15,2,FALSE),DAY(K355))</f>
        <v>#N/A</v>
      </c>
      <c r="M355" s="36"/>
      <c r="N355" s="34" t="e">
        <f>IF($L355&lt;&gt;0,DATE(YEAR($L355),MONTH($L355)-#REF!,DAY($L355)-$M355),"")</f>
        <v>#N/A</v>
      </c>
      <c r="O355" s="33" t="e">
        <f t="shared" ca="1" si="8"/>
        <v>#N/A</v>
      </c>
      <c r="P355" s="34" t="e">
        <f>I355/H355*VLOOKUP(F353,'[1]Membership Level'!$A$3:$C$15,3,FALSE)+K355</f>
        <v>#DIV/0!</v>
      </c>
      <c r="Q355" s="36"/>
    </row>
    <row r="356" spans="3:17" x14ac:dyDescent="0.25">
      <c r="C356" s="36"/>
      <c r="D356" s="36"/>
      <c r="E356" s="35"/>
      <c r="F356" s="36"/>
      <c r="G356" s="36"/>
      <c r="H356" s="30"/>
      <c r="I356" s="30">
        <v>0</v>
      </c>
      <c r="J356" s="31"/>
      <c r="K356" s="43"/>
      <c r="L356" s="32" t="e">
        <f>DATE(YEAR(K356),MONTH(K356)+VLOOKUP($F354,'[1]Membership Level'!$A$3:$B$15,2,FALSE),DAY(K356))</f>
        <v>#N/A</v>
      </c>
      <c r="M356" s="36"/>
      <c r="N356" s="34" t="e">
        <f>IF($L356&lt;&gt;0,DATE(YEAR($L356),MONTH($L356)-#REF!,DAY($L356)-$M356),"")</f>
        <v>#N/A</v>
      </c>
      <c r="O356" s="33" t="e">
        <f t="shared" ca="1" si="8"/>
        <v>#N/A</v>
      </c>
      <c r="P356" s="34" t="e">
        <f>I356/H356*VLOOKUP(F354,'[1]Membership Level'!$A$3:$C$15,3,FALSE)+K356</f>
        <v>#DIV/0!</v>
      </c>
      <c r="Q356" s="36"/>
    </row>
    <row r="357" spans="3:17" x14ac:dyDescent="0.25">
      <c r="C357" s="36"/>
      <c r="D357" s="36"/>
      <c r="E357" s="35"/>
      <c r="F357" s="36"/>
      <c r="G357" s="36"/>
      <c r="H357" s="30"/>
      <c r="I357" s="30">
        <v>0</v>
      </c>
      <c r="J357" s="31"/>
      <c r="K357" s="43"/>
      <c r="L357" s="32" t="e">
        <f>DATE(YEAR(K357),MONTH(K357)+VLOOKUP($F355,'[1]Membership Level'!$A$3:$B$15,2,FALSE),DAY(K357))</f>
        <v>#N/A</v>
      </c>
      <c r="M357" s="36"/>
      <c r="N357" s="34" t="e">
        <f>IF($L357&lt;&gt;0,DATE(YEAR($L357),MONTH($L357)-#REF!,DAY($L357)-$M357),"")</f>
        <v>#N/A</v>
      </c>
      <c r="O357" s="33" t="e">
        <f t="shared" ca="1" si="8"/>
        <v>#N/A</v>
      </c>
      <c r="P357" s="34" t="e">
        <f>I357/H357*VLOOKUP(F355,'[1]Membership Level'!$A$3:$C$15,3,FALSE)+K357</f>
        <v>#DIV/0!</v>
      </c>
      <c r="Q357" s="36"/>
    </row>
    <row r="358" spans="3:17" x14ac:dyDescent="0.25">
      <c r="C358" s="36"/>
      <c r="D358" s="36"/>
      <c r="E358" s="35"/>
      <c r="F358" s="36"/>
      <c r="G358" s="36"/>
      <c r="H358" s="30"/>
      <c r="I358" s="30">
        <v>0</v>
      </c>
      <c r="J358" s="31"/>
      <c r="K358" s="43"/>
      <c r="L358" s="32" t="e">
        <f>DATE(YEAR(K358),MONTH(K358)+VLOOKUP($F356,'[1]Membership Level'!$A$3:$B$15,2,FALSE),DAY(K358))</f>
        <v>#N/A</v>
      </c>
      <c r="M358" s="36"/>
      <c r="N358" s="34" t="e">
        <f>IF($L358&lt;&gt;0,DATE(YEAR($L358),MONTH($L358)-#REF!,DAY($L358)-$M358),"")</f>
        <v>#N/A</v>
      </c>
      <c r="O358" s="33" t="e">
        <f t="shared" ca="1" si="8"/>
        <v>#N/A</v>
      </c>
      <c r="P358" s="34" t="e">
        <f>I358/H358*VLOOKUP(F356,'[1]Membership Level'!$A$3:$C$15,3,FALSE)+K358</f>
        <v>#DIV/0!</v>
      </c>
      <c r="Q358" s="36"/>
    </row>
    <row r="359" spans="3:17" x14ac:dyDescent="0.25">
      <c r="C359" s="36"/>
      <c r="D359" s="36"/>
      <c r="E359" s="35"/>
      <c r="F359" s="36"/>
      <c r="G359" s="36"/>
      <c r="H359" s="30"/>
      <c r="I359" s="30">
        <v>0</v>
      </c>
      <c r="J359" s="31"/>
      <c r="K359" s="43"/>
      <c r="L359" s="32" t="e">
        <f>DATE(YEAR(K359),MONTH(K359)+VLOOKUP($F357,'[1]Membership Level'!$A$3:$B$15,2,FALSE),DAY(K359))</f>
        <v>#N/A</v>
      </c>
      <c r="M359" s="36"/>
      <c r="N359" s="34" t="e">
        <f>IF($L359&lt;&gt;0,DATE(YEAR($L359),MONTH($L359)-#REF!,DAY($L359)-$M359),"")</f>
        <v>#N/A</v>
      </c>
      <c r="O359" s="33" t="e">
        <f t="shared" ca="1" si="8"/>
        <v>#N/A</v>
      </c>
      <c r="P359" s="34" t="e">
        <f>I359/H359*VLOOKUP(F357,'[1]Membership Level'!$A$3:$C$15,3,FALSE)+K359</f>
        <v>#DIV/0!</v>
      </c>
      <c r="Q359" s="36"/>
    </row>
    <row r="360" spans="3:17" x14ac:dyDescent="0.25">
      <c r="C360" s="36"/>
      <c r="D360" s="36"/>
      <c r="E360" s="35"/>
      <c r="F360" s="36"/>
      <c r="G360" s="36"/>
      <c r="H360" s="30"/>
      <c r="I360" s="30">
        <v>0</v>
      </c>
      <c r="J360" s="31"/>
      <c r="K360" s="43"/>
      <c r="L360" s="32" t="e">
        <f>DATE(YEAR(K360),MONTH(K360)+VLOOKUP($F358,'[1]Membership Level'!$A$3:$B$15,2,FALSE),DAY(K360))</f>
        <v>#N/A</v>
      </c>
      <c r="M360" s="36"/>
      <c r="N360" s="34" t="e">
        <f>IF($L360&lt;&gt;0,DATE(YEAR($L360),MONTH($L360)-#REF!,DAY($L360)-$M360),"")</f>
        <v>#N/A</v>
      </c>
      <c r="O360" s="33" t="e">
        <f t="shared" ca="1" si="8"/>
        <v>#N/A</v>
      </c>
      <c r="P360" s="34" t="e">
        <f>I360/H360*VLOOKUP(F358,'[1]Membership Level'!$A$3:$C$15,3,FALSE)+K360</f>
        <v>#DIV/0!</v>
      </c>
      <c r="Q360" s="36"/>
    </row>
    <row r="361" spans="3:17" x14ac:dyDescent="0.25">
      <c r="C361" s="36"/>
      <c r="D361" s="36"/>
      <c r="E361" s="35"/>
      <c r="F361" s="36"/>
      <c r="G361" s="36"/>
      <c r="H361" s="30"/>
      <c r="I361" s="30">
        <v>0</v>
      </c>
      <c r="J361" s="31"/>
      <c r="K361" s="43"/>
      <c r="L361" s="32" t="e">
        <f>DATE(YEAR(K361),MONTH(K361)+VLOOKUP($F359,'[1]Membership Level'!$A$3:$B$15,2,FALSE),DAY(K361))</f>
        <v>#N/A</v>
      </c>
      <c r="M361" s="36"/>
      <c r="N361" s="34" t="e">
        <f>IF($L361&lt;&gt;0,DATE(YEAR($L361),MONTH($L361)-#REF!,DAY($L361)-$M361),"")</f>
        <v>#N/A</v>
      </c>
      <c r="O361" s="33" t="e">
        <f t="shared" ca="1" si="8"/>
        <v>#N/A</v>
      </c>
      <c r="P361" s="34" t="e">
        <f>I361/H361*VLOOKUP(F359,'[1]Membership Level'!$A$3:$C$15,3,FALSE)+K361</f>
        <v>#DIV/0!</v>
      </c>
      <c r="Q361" s="36"/>
    </row>
    <row r="362" spans="3:17" x14ac:dyDescent="0.25">
      <c r="C362" s="36"/>
      <c r="D362" s="36"/>
      <c r="E362" s="35"/>
      <c r="F362" s="36"/>
      <c r="G362" s="36"/>
      <c r="H362" s="30"/>
      <c r="I362" s="30">
        <v>0</v>
      </c>
      <c r="J362" s="31"/>
      <c r="K362" s="43"/>
      <c r="L362" s="32" t="e">
        <f>DATE(YEAR(K362),MONTH(K362)+VLOOKUP($F360,'[1]Membership Level'!$A$3:$B$15,2,FALSE),DAY(K362))</f>
        <v>#N/A</v>
      </c>
      <c r="M362" s="36"/>
      <c r="N362" s="34" t="e">
        <f>IF($L362&lt;&gt;0,DATE(YEAR($L362),MONTH($L362)-#REF!,DAY($L362)-$M362),"")</f>
        <v>#N/A</v>
      </c>
      <c r="O362" s="33" t="e">
        <f t="shared" ca="1" si="8"/>
        <v>#N/A</v>
      </c>
      <c r="P362" s="34" t="e">
        <f>I362/H362*VLOOKUP(F360,'[1]Membership Level'!$A$3:$C$15,3,FALSE)+K362</f>
        <v>#DIV/0!</v>
      </c>
      <c r="Q362" s="36"/>
    </row>
    <row r="363" spans="3:17" x14ac:dyDescent="0.25">
      <c r="C363" s="36"/>
      <c r="D363" s="36"/>
      <c r="E363" s="35"/>
      <c r="F363" s="36"/>
      <c r="G363" s="36"/>
      <c r="H363" s="30"/>
      <c r="I363" s="30">
        <v>0</v>
      </c>
      <c r="J363" s="31"/>
      <c r="K363" s="43"/>
      <c r="L363" s="32" t="e">
        <f>DATE(YEAR(K363),MONTH(K363)+VLOOKUP($F361,'[1]Membership Level'!$A$3:$B$15,2,FALSE),DAY(K363))</f>
        <v>#N/A</v>
      </c>
      <c r="M363" s="36"/>
      <c r="N363" s="34" t="e">
        <f>IF($L363&lt;&gt;0,DATE(YEAR($L363),MONTH($L363)-#REF!,DAY($L363)-$M363),"")</f>
        <v>#N/A</v>
      </c>
      <c r="O363" s="33" t="e">
        <f t="shared" ca="1" si="8"/>
        <v>#N/A</v>
      </c>
      <c r="P363" s="34" t="e">
        <f>I363/H363*VLOOKUP(F361,'[1]Membership Level'!$A$3:$C$15,3,FALSE)+K363</f>
        <v>#DIV/0!</v>
      </c>
      <c r="Q363" s="36"/>
    </row>
    <row r="364" spans="3:17" x14ac:dyDescent="0.25">
      <c r="C364" s="36"/>
      <c r="D364" s="36"/>
      <c r="E364" s="35"/>
      <c r="F364" s="45"/>
      <c r="G364" s="36"/>
      <c r="H364" s="30"/>
      <c r="I364" s="30">
        <v>0</v>
      </c>
      <c r="J364" s="31"/>
      <c r="K364" s="43"/>
      <c r="L364" s="32" t="e">
        <f>DATE(YEAR(K364),MONTH(K364)+VLOOKUP($F362,'[1]Membership Level'!$A$3:$B$15,2,FALSE),DAY(K364))</f>
        <v>#N/A</v>
      </c>
      <c r="M364" s="36"/>
      <c r="N364" s="34" t="e">
        <f>IF($L364&lt;&gt;0,DATE(YEAR($L364),MONTH($L364)-#REF!,DAY($L364)-$M364),"")</f>
        <v>#N/A</v>
      </c>
      <c r="O364" s="33" t="e">
        <f t="shared" ca="1" si="8"/>
        <v>#N/A</v>
      </c>
      <c r="P364" s="34" t="e">
        <f>I364/H364*VLOOKUP(F362,'[1]Membership Level'!$A$3:$C$15,3,FALSE)+K364</f>
        <v>#DIV/0!</v>
      </c>
      <c r="Q364" s="36"/>
    </row>
    <row r="365" spans="3:17" x14ac:dyDescent="0.25">
      <c r="C365" s="36"/>
      <c r="D365" s="36"/>
      <c r="E365" s="67"/>
      <c r="F365" s="36"/>
      <c r="G365" s="36"/>
      <c r="H365" s="30"/>
      <c r="I365" s="30">
        <v>0</v>
      </c>
      <c r="J365" s="31"/>
      <c r="K365" s="43"/>
      <c r="L365" s="32" t="e">
        <f>DATE(YEAR(K365),MONTH(K365)+VLOOKUP($F363,'[1]Membership Level'!$A$3:$B$15,2,FALSE),DAY(K365))</f>
        <v>#N/A</v>
      </c>
      <c r="M365" s="36"/>
      <c r="N365" s="34" t="e">
        <f>IF($L365&lt;&gt;0,DATE(YEAR($L365),MONTH($L365)-#REF!,DAY($L365)-$M365),"")</f>
        <v>#N/A</v>
      </c>
      <c r="O365" s="33" t="e">
        <f t="shared" ca="1" si="8"/>
        <v>#N/A</v>
      </c>
      <c r="P365" s="34" t="e">
        <f>I365/H365*VLOOKUP(F363,'[1]Membership Level'!$A$3:$C$15,3,FALSE)+K365</f>
        <v>#DIV/0!</v>
      </c>
      <c r="Q365" s="36"/>
    </row>
    <row r="366" spans="3:17" s="27" customFormat="1" x14ac:dyDescent="0.25">
      <c r="C366" s="45"/>
      <c r="D366" s="45"/>
      <c r="E366" s="35"/>
      <c r="F366" s="36"/>
      <c r="G366" s="45"/>
      <c r="H366" s="64"/>
      <c r="I366" s="30">
        <v>0</v>
      </c>
      <c r="J366" s="65"/>
      <c r="K366" s="60"/>
      <c r="L366" s="60" t="e">
        <f>DATE(YEAR(K366),MONTH(K366)+VLOOKUP($F364,'[1]Membership Level'!$A$3:$B$15,2,FALSE),DAY(K366))</f>
        <v>#N/A</v>
      </c>
      <c r="M366" s="36"/>
      <c r="N366" s="46" t="e">
        <f>IF($L366&lt;&gt;0,DATE(YEAR($L366),MONTH($L366)-#REF!,DAY($L366)-$M366),"")</f>
        <v>#N/A</v>
      </c>
      <c r="O366" s="45" t="e">
        <f t="shared" ca="1" si="8"/>
        <v>#N/A</v>
      </c>
      <c r="P366" s="46" t="e">
        <f>I366/H366*VLOOKUP(F364,'[1]Membership Level'!$A$3:$C$15,3,FALSE)+K366</f>
        <v>#DIV/0!</v>
      </c>
      <c r="Q366" s="45"/>
    </row>
    <row r="367" spans="3:17" x14ac:dyDescent="0.25">
      <c r="C367" s="36"/>
      <c r="D367" s="36"/>
      <c r="E367" s="35"/>
      <c r="F367" s="36"/>
      <c r="G367" s="36"/>
      <c r="H367" s="30"/>
      <c r="I367" s="30">
        <v>0</v>
      </c>
      <c r="J367" s="31"/>
      <c r="K367" s="43"/>
      <c r="L367" s="32" t="e">
        <f>DATE(YEAR(K367),MONTH(K367)+VLOOKUP($F365,'[1]Membership Level'!$A$3:$B$15,2,FALSE),DAY(K367))</f>
        <v>#N/A</v>
      </c>
      <c r="M367" s="36"/>
      <c r="N367" s="34" t="e">
        <f>IF($L367&lt;&gt;0,DATE(YEAR($L367),MONTH($L367)-#REF!,DAY($L367)-$M367),"")</f>
        <v>#N/A</v>
      </c>
      <c r="O367" s="33" t="e">
        <f t="shared" ca="1" si="8"/>
        <v>#N/A</v>
      </c>
      <c r="P367" s="34" t="e">
        <f>I367/H367*VLOOKUP(F365,'[1]Membership Level'!$A$3:$C$15,3,FALSE)+K367</f>
        <v>#DIV/0!</v>
      </c>
      <c r="Q367" s="36"/>
    </row>
    <row r="368" spans="3:17" s="22" customFormat="1" x14ac:dyDescent="0.25">
      <c r="C368" s="36"/>
      <c r="D368" s="36"/>
      <c r="E368" s="35"/>
      <c r="F368" s="36"/>
      <c r="G368" s="36"/>
      <c r="H368" s="30"/>
      <c r="I368" s="30">
        <v>0</v>
      </c>
      <c r="J368" s="31"/>
      <c r="K368" s="43"/>
      <c r="L368" s="32" t="e">
        <f>DATE(YEAR(K368),MONTH(K368)+VLOOKUP($F366,'[1]Membership Level'!$A$3:$B$15,2,FALSE),DAY(K368))</f>
        <v>#N/A</v>
      </c>
      <c r="M368" s="36"/>
      <c r="N368" s="34" t="e">
        <f>IF($L368&lt;&gt;0,DATE(YEAR($L368),MONTH($L368)-#REF!,DAY($L368)-$M368),"")</f>
        <v>#N/A</v>
      </c>
      <c r="O368" s="33" t="e">
        <f t="shared" ca="1" si="8"/>
        <v>#N/A</v>
      </c>
      <c r="P368" s="34" t="e">
        <f>I368/H368*VLOOKUP(F366,'[1]Membership Level'!$A$3:$C$15,3,FALSE)+K368</f>
        <v>#DIV/0!</v>
      </c>
      <c r="Q368" s="36"/>
    </row>
    <row r="369" spans="3:17" s="47" customFormat="1" x14ac:dyDescent="0.25">
      <c r="C369" s="36"/>
      <c r="D369" s="36"/>
      <c r="E369" s="35"/>
      <c r="F369" s="36"/>
      <c r="G369" s="36"/>
      <c r="H369" s="30"/>
      <c r="I369" s="30">
        <v>0</v>
      </c>
      <c r="J369" s="31"/>
      <c r="K369" s="43"/>
      <c r="L369" s="32" t="e">
        <f>DATE(YEAR(K369),MONTH(K369)+VLOOKUP($F367,'[1]Membership Level'!$A$3:$B$15,2,FALSE),DAY(K369))</f>
        <v>#N/A</v>
      </c>
      <c r="M369" s="36"/>
      <c r="N369" s="34" t="e">
        <f>IF($L369&lt;&gt;0,DATE(YEAR($L369),MONTH($L369)-#REF!,DAY($L369)-$M369),"")</f>
        <v>#N/A</v>
      </c>
      <c r="O369" s="33" t="e">
        <f t="shared" ca="1" si="8"/>
        <v>#N/A</v>
      </c>
      <c r="P369" s="34" t="e">
        <f>I369/H369*VLOOKUP(F367,'[1]Membership Level'!$A$3:$C$15,3,FALSE)+K369</f>
        <v>#DIV/0!</v>
      </c>
      <c r="Q369" s="36"/>
    </row>
    <row r="370" spans="3:17" x14ac:dyDescent="0.25">
      <c r="C370" s="36"/>
      <c r="D370" s="36"/>
      <c r="E370" s="35"/>
      <c r="F370" s="36"/>
      <c r="G370" s="36"/>
      <c r="H370" s="30"/>
      <c r="I370" s="30">
        <v>0</v>
      </c>
      <c r="J370" s="31"/>
      <c r="K370" s="43"/>
      <c r="L370" s="32" t="e">
        <f>DATE(YEAR(K370),MONTH(K370)+VLOOKUP($F368,'[1]Membership Level'!$A$3:$B$15,2,FALSE),DAY(K370))</f>
        <v>#N/A</v>
      </c>
      <c r="M370" s="36"/>
      <c r="N370" s="34" t="e">
        <f>IF($L370&lt;&gt;0,DATE(YEAR($L370),MONTH($L370)-#REF!,DAY($L370)-$M370),"")</f>
        <v>#N/A</v>
      </c>
      <c r="O370" s="33" t="e">
        <f t="shared" ca="1" si="8"/>
        <v>#N/A</v>
      </c>
      <c r="P370" s="34" t="e">
        <f>I370/H370*VLOOKUP(F368,'[1]Membership Level'!$A$3:$C$15,3,FALSE)+K370</f>
        <v>#DIV/0!</v>
      </c>
      <c r="Q370" s="36"/>
    </row>
    <row r="371" spans="3:17" x14ac:dyDescent="0.25">
      <c r="C371" s="36"/>
      <c r="D371" s="36"/>
      <c r="E371" s="35"/>
      <c r="F371" s="36"/>
      <c r="G371" s="36"/>
      <c r="H371" s="30"/>
      <c r="I371" s="30">
        <v>0</v>
      </c>
      <c r="J371" s="31"/>
      <c r="K371" s="43"/>
      <c r="L371" s="32" t="e">
        <f>DATE(YEAR(K371),MONTH(K371)+VLOOKUP($F369,'[1]Membership Level'!$A$3:$B$15,2,FALSE),DAY(K371))</f>
        <v>#N/A</v>
      </c>
      <c r="M371" s="36"/>
      <c r="N371" s="34" t="e">
        <f>IF($L371&lt;&gt;0,DATE(YEAR($L371),MONTH($L371)-#REF!,DAY($L371)-$M371),"")</f>
        <v>#N/A</v>
      </c>
      <c r="O371" s="33" t="e">
        <f t="shared" ca="1" si="8"/>
        <v>#N/A</v>
      </c>
      <c r="P371" s="34" t="e">
        <f>I371/H371*VLOOKUP(F369,'[1]Membership Level'!$A$3:$C$15,3,FALSE)+K371</f>
        <v>#DIV/0!</v>
      </c>
      <c r="Q371" s="36"/>
    </row>
    <row r="372" spans="3:17" x14ac:dyDescent="0.25">
      <c r="C372" s="36"/>
      <c r="D372" s="36"/>
      <c r="E372" s="35"/>
      <c r="F372" s="36"/>
      <c r="G372" s="36"/>
      <c r="H372" s="30"/>
      <c r="I372" s="30">
        <v>0</v>
      </c>
      <c r="J372" s="31"/>
      <c r="K372" s="43"/>
      <c r="L372" s="32" t="e">
        <f>DATE(YEAR(K372),MONTH(K372)+VLOOKUP($F370,'[1]Membership Level'!$A$3:$B$15,2,FALSE),DAY(K372))</f>
        <v>#N/A</v>
      </c>
      <c r="M372" s="36"/>
      <c r="N372" s="34" t="e">
        <f>IF($L372&lt;&gt;0,DATE(YEAR($L372),MONTH($L372)-#REF!,DAY($L372)-$M372),"")</f>
        <v>#N/A</v>
      </c>
      <c r="O372" s="33" t="e">
        <f t="shared" ca="1" si="8"/>
        <v>#N/A</v>
      </c>
      <c r="P372" s="34" t="e">
        <f>I372/H372*VLOOKUP(F370,'[1]Membership Level'!$A$3:$C$15,3,FALSE)+K372</f>
        <v>#DIV/0!</v>
      </c>
      <c r="Q372" s="36"/>
    </row>
    <row r="373" spans="3:17" x14ac:dyDescent="0.25">
      <c r="C373" s="36"/>
      <c r="D373" s="36"/>
      <c r="E373" s="35"/>
      <c r="F373" s="36"/>
      <c r="G373" s="36"/>
      <c r="H373" s="30"/>
      <c r="I373" s="30">
        <v>0</v>
      </c>
      <c r="J373" s="31"/>
      <c r="K373" s="43"/>
      <c r="L373" s="32" t="e">
        <f>DATE(YEAR(K373),MONTH(K373)+VLOOKUP($F371,'[1]Membership Level'!$A$3:$B$15,2,FALSE),DAY(K373))</f>
        <v>#N/A</v>
      </c>
      <c r="M373" s="36"/>
      <c r="N373" s="34" t="e">
        <f>IF($L373&lt;&gt;0,DATE(YEAR($L373),MONTH($L373)-#REF!,DAY($L373)-$M373),"")</f>
        <v>#N/A</v>
      </c>
      <c r="O373" s="33" t="e">
        <f t="shared" ca="1" si="8"/>
        <v>#N/A</v>
      </c>
      <c r="P373" s="34" t="e">
        <f>I373/H373*VLOOKUP(F371,'[1]Membership Level'!$A$3:$C$15,3,FALSE)+K373</f>
        <v>#DIV/0!</v>
      </c>
      <c r="Q373" s="36"/>
    </row>
    <row r="374" spans="3:17" x14ac:dyDescent="0.25">
      <c r="C374" s="36"/>
      <c r="D374" s="36"/>
      <c r="E374" s="35"/>
      <c r="F374" s="36"/>
      <c r="G374" s="36"/>
      <c r="H374" s="30"/>
      <c r="I374" s="30">
        <v>0</v>
      </c>
      <c r="J374" s="31"/>
      <c r="K374" s="43"/>
      <c r="L374" s="32" t="e">
        <f>DATE(YEAR(K374),MONTH(K374)+VLOOKUP($F372,'[1]Membership Level'!$A$3:$B$15,2,FALSE),DAY(K374))</f>
        <v>#N/A</v>
      </c>
      <c r="M374" s="36"/>
      <c r="N374" s="34" t="e">
        <f>IF($L374&lt;&gt;0,DATE(YEAR($L374),MONTH($L374)-#REF!,DAY($L374)-$M374),"")</f>
        <v>#N/A</v>
      </c>
      <c r="O374" s="33" t="e">
        <f t="shared" ca="1" si="8"/>
        <v>#N/A</v>
      </c>
      <c r="P374" s="34" t="e">
        <f>I374/H374*VLOOKUP(F372,'[1]Membership Level'!$A$3:$C$15,3,FALSE)+K374</f>
        <v>#DIV/0!</v>
      </c>
      <c r="Q374" s="36"/>
    </row>
    <row r="375" spans="3:17" x14ac:dyDescent="0.25">
      <c r="C375" s="36"/>
      <c r="D375" s="36"/>
      <c r="E375" s="35"/>
      <c r="F375" s="36"/>
      <c r="G375" s="36"/>
      <c r="H375" s="30"/>
      <c r="I375" s="30">
        <v>0</v>
      </c>
      <c r="J375" s="31"/>
      <c r="K375" s="43"/>
      <c r="L375" s="32" t="e">
        <f>DATE(YEAR(K375),MONTH(K375)+VLOOKUP($F373,'[1]Membership Level'!$A$3:$B$15,2,FALSE),DAY(K375))</f>
        <v>#N/A</v>
      </c>
      <c r="M375" s="36"/>
      <c r="N375" s="34" t="e">
        <f>IF($L375&lt;&gt;0,DATE(YEAR($L375),MONTH($L375)-#REF!,DAY($L375)-$M375),"")</f>
        <v>#N/A</v>
      </c>
      <c r="O375" s="33" t="e">
        <f t="shared" ca="1" si="8"/>
        <v>#N/A</v>
      </c>
      <c r="P375" s="34" t="e">
        <f>I375/H375*VLOOKUP(F373,'[1]Membership Level'!$A$3:$C$15,3,FALSE)+K375</f>
        <v>#DIV/0!</v>
      </c>
      <c r="Q375" s="36"/>
    </row>
    <row r="376" spans="3:17" x14ac:dyDescent="0.25">
      <c r="C376" s="36"/>
      <c r="D376" s="36"/>
      <c r="E376" s="66"/>
      <c r="F376" s="36"/>
      <c r="G376" s="36"/>
      <c r="H376" s="30"/>
      <c r="I376" s="30">
        <v>0</v>
      </c>
      <c r="J376" s="31"/>
      <c r="K376" s="43"/>
      <c r="L376" s="32" t="e">
        <f>DATE(YEAR(K376),MONTH(K376)+VLOOKUP($F374,'[1]Membership Level'!$A$3:$B$15,2,FALSE),DAY(K376))</f>
        <v>#N/A</v>
      </c>
      <c r="M376" s="36"/>
      <c r="N376" s="34" t="e">
        <f>IF($L376&lt;&gt;0,DATE(YEAR($L376),MONTH($L376)-#REF!,DAY($L376)-$M376),"")</f>
        <v>#N/A</v>
      </c>
      <c r="O376" s="33" t="e">
        <f t="shared" ca="1" si="8"/>
        <v>#N/A</v>
      </c>
      <c r="P376" s="34" t="e">
        <f>I376/H376*VLOOKUP(F374,'[1]Membership Level'!$A$3:$C$15,3,FALSE)+K376</f>
        <v>#DIV/0!</v>
      </c>
      <c r="Q376" s="36"/>
    </row>
    <row r="377" spans="3:17" x14ac:dyDescent="0.25">
      <c r="C377" s="36"/>
      <c r="D377" s="36"/>
      <c r="E377" s="35"/>
      <c r="F377" s="36"/>
      <c r="G377" s="36"/>
      <c r="H377" s="30"/>
      <c r="I377" s="30">
        <v>0</v>
      </c>
      <c r="J377" s="31"/>
      <c r="K377" s="43"/>
      <c r="L377" s="32" t="e">
        <f>DATE(YEAR(K377),MONTH(K377)+VLOOKUP($F375,'[1]Membership Level'!$A$3:$B$15,2,FALSE),DAY(K377))</f>
        <v>#N/A</v>
      </c>
      <c r="M377" s="36"/>
      <c r="N377" s="34" t="e">
        <f>IF($L377&lt;&gt;0,DATE(YEAR($L377),MONTH($L377)-#REF!,DAY($L377)-$M377),"")</f>
        <v>#N/A</v>
      </c>
      <c r="O377" s="33" t="e">
        <f t="shared" ca="1" si="8"/>
        <v>#N/A</v>
      </c>
      <c r="P377" s="34" t="e">
        <f>I377/H377*VLOOKUP(F375,'[1]Membership Level'!$A$3:$C$15,3,FALSE)+K377</f>
        <v>#DIV/0!</v>
      </c>
      <c r="Q377" s="36"/>
    </row>
    <row r="378" spans="3:17" x14ac:dyDescent="0.25">
      <c r="C378" s="36"/>
      <c r="D378" s="36"/>
      <c r="E378" s="35"/>
      <c r="F378" s="36"/>
      <c r="G378" s="36"/>
      <c r="H378" s="30"/>
      <c r="I378" s="30">
        <v>0</v>
      </c>
      <c r="J378" s="31"/>
      <c r="K378" s="43"/>
      <c r="L378" s="32" t="e">
        <f>DATE(YEAR(K378),MONTH(K378)+VLOOKUP($F376,'[1]Membership Level'!$A$3:$B$15,2,FALSE),DAY(K378))</f>
        <v>#N/A</v>
      </c>
      <c r="M378" s="36"/>
      <c r="N378" s="34" t="e">
        <f>IF($L378&lt;&gt;0,DATE(YEAR($L378),MONTH($L378)-#REF!,DAY($L378)-$M378),"")</f>
        <v>#N/A</v>
      </c>
      <c r="O378" s="33" t="e">
        <f t="shared" ca="1" si="8"/>
        <v>#N/A</v>
      </c>
      <c r="P378" s="34" t="e">
        <f>I378/H378*VLOOKUP(F376,'[1]Membership Level'!$A$3:$C$15,3,FALSE)+K378</f>
        <v>#DIV/0!</v>
      </c>
      <c r="Q378" s="36"/>
    </row>
    <row r="379" spans="3:17" s="26" customFormat="1" x14ac:dyDescent="0.25">
      <c r="C379" s="36"/>
      <c r="D379" s="36"/>
      <c r="E379" s="35"/>
      <c r="F379" s="36"/>
      <c r="G379" s="36"/>
      <c r="H379" s="30"/>
      <c r="I379" s="30">
        <v>0</v>
      </c>
      <c r="J379" s="31"/>
      <c r="K379" s="43"/>
      <c r="L379" s="32" t="e">
        <f>DATE(YEAR(K379),MONTH(K379)+VLOOKUP($F377,'[1]Membership Level'!$A$3:$B$15,2,FALSE),DAY(K379))</f>
        <v>#N/A</v>
      </c>
      <c r="M379" s="36"/>
      <c r="N379" s="34" t="e">
        <f>IF($L379&lt;&gt;0,DATE(YEAR($L379),MONTH($L379)-#REF!,DAY($L379)-$M379),"")</f>
        <v>#N/A</v>
      </c>
      <c r="O379" s="33" t="e">
        <f t="shared" ca="1" si="8"/>
        <v>#N/A</v>
      </c>
      <c r="P379" s="34" t="e">
        <f>I379/H379*VLOOKUP(F377,'[1]Membership Level'!$A$3:$C$15,3,FALSE)+K379</f>
        <v>#DIV/0!</v>
      </c>
      <c r="Q379" s="36"/>
    </row>
    <row r="380" spans="3:17" x14ac:dyDescent="0.25">
      <c r="C380" s="36"/>
      <c r="D380" s="36"/>
      <c r="E380" s="35"/>
      <c r="F380" s="36"/>
      <c r="G380" s="36"/>
      <c r="H380" s="30"/>
      <c r="I380" s="30">
        <v>0</v>
      </c>
      <c r="J380" s="31"/>
      <c r="K380" s="43"/>
      <c r="L380" s="32" t="e">
        <f>DATE(YEAR(K380),MONTH(K380)+VLOOKUP($F378,'[1]Membership Level'!$A$3:$B$15,2,FALSE),DAY(K380))</f>
        <v>#N/A</v>
      </c>
      <c r="M380" s="36"/>
      <c r="N380" s="34" t="e">
        <f>IF($L380&lt;&gt;0,DATE(YEAR($L380),MONTH($L380)-#REF!,DAY($L380)-$M380),"")</f>
        <v>#N/A</v>
      </c>
      <c r="O380" s="33" t="e">
        <f t="shared" ca="1" si="8"/>
        <v>#N/A</v>
      </c>
      <c r="P380" s="34" t="e">
        <f>I380/H380*VLOOKUP(F378,'[1]Membership Level'!$A$3:$C$15,3,FALSE)+K380</f>
        <v>#DIV/0!</v>
      </c>
      <c r="Q380" s="36"/>
    </row>
    <row r="381" spans="3:17" x14ac:dyDescent="0.25">
      <c r="C381" s="36"/>
      <c r="D381" s="36"/>
      <c r="E381" s="35"/>
      <c r="F381" s="36"/>
      <c r="G381" s="36"/>
      <c r="H381" s="30"/>
      <c r="I381" s="30">
        <v>0</v>
      </c>
      <c r="J381" s="31"/>
      <c r="K381" s="43"/>
      <c r="L381" s="32" t="e">
        <f>DATE(YEAR(K381),MONTH(K381)+VLOOKUP($F379,'[1]Membership Level'!$A$3:$B$15,2,FALSE),DAY(K381))</f>
        <v>#N/A</v>
      </c>
      <c r="M381" s="36"/>
      <c r="N381" s="34" t="e">
        <f>IF($L381&lt;&gt;0,DATE(YEAR($L381),MONTH($L381)-#REF!,DAY($L381)-$M381),"")</f>
        <v>#N/A</v>
      </c>
      <c r="O381" s="33" t="e">
        <f t="shared" ref="O381:O444" ca="1" si="9">IF(DAYS360(NOW(), $L381) &gt;= 0, DAYS360(NOW(), $L381), "")</f>
        <v>#N/A</v>
      </c>
      <c r="P381" s="34" t="e">
        <f>I381/H381*VLOOKUP(F379,'[1]Membership Level'!$A$3:$C$15,3,FALSE)+K381</f>
        <v>#DIV/0!</v>
      </c>
      <c r="Q381" s="36"/>
    </row>
    <row r="382" spans="3:17" x14ac:dyDescent="0.25">
      <c r="C382" s="36"/>
      <c r="D382" s="36"/>
      <c r="E382" s="35"/>
      <c r="F382" s="36"/>
      <c r="G382" s="36"/>
      <c r="H382" s="30"/>
      <c r="I382" s="30">
        <v>0</v>
      </c>
      <c r="J382" s="31"/>
      <c r="K382" s="43"/>
      <c r="L382" s="32" t="e">
        <f>DATE(YEAR(K382),MONTH(K382)+VLOOKUP($F380,'[1]Membership Level'!$A$3:$B$15,2,FALSE),DAY(K382))</f>
        <v>#N/A</v>
      </c>
      <c r="M382" s="36"/>
      <c r="N382" s="34" t="e">
        <f>IF($L382&lt;&gt;0,DATE(YEAR($L382),MONTH($L382)-#REF!,DAY($L382)-$M382),"")</f>
        <v>#N/A</v>
      </c>
      <c r="O382" s="33" t="e">
        <f t="shared" ca="1" si="9"/>
        <v>#N/A</v>
      </c>
      <c r="P382" s="34" t="e">
        <f>I382/H382*VLOOKUP(F380,'[1]Membership Level'!$A$3:$C$15,3,FALSE)+K382</f>
        <v>#DIV/0!</v>
      </c>
      <c r="Q382" s="36"/>
    </row>
    <row r="383" spans="3:17" s="22" customFormat="1" x14ac:dyDescent="0.25">
      <c r="C383" s="36"/>
      <c r="D383" s="36"/>
      <c r="E383" s="35"/>
      <c r="F383" s="36"/>
      <c r="G383" s="36"/>
      <c r="H383" s="30"/>
      <c r="I383" s="30">
        <v>0</v>
      </c>
      <c r="J383" s="31"/>
      <c r="K383" s="43"/>
      <c r="L383" s="32" t="e">
        <f>DATE(YEAR(K383),MONTH(K383)+VLOOKUP($F381,'[1]Membership Level'!$A$3:$B$15,2,FALSE),DAY(K383))</f>
        <v>#N/A</v>
      </c>
      <c r="M383" s="36"/>
      <c r="N383" s="34" t="e">
        <f>IF($L383&lt;&gt;0,DATE(YEAR($L383),MONTH($L383)-#REF!,DAY($L383)-$M383),"")</f>
        <v>#N/A</v>
      </c>
      <c r="O383" s="33" t="e">
        <f t="shared" ca="1" si="9"/>
        <v>#N/A</v>
      </c>
      <c r="P383" s="34" t="e">
        <f>I383/H383*VLOOKUP(F381,'[1]Membership Level'!$A$3:$C$15,3,FALSE)+K383</f>
        <v>#DIV/0!</v>
      </c>
      <c r="Q383" s="36"/>
    </row>
    <row r="384" spans="3:17" x14ac:dyDescent="0.25">
      <c r="C384" s="36"/>
      <c r="D384" s="36"/>
      <c r="E384" s="35"/>
      <c r="F384" s="36"/>
      <c r="G384" s="36"/>
      <c r="H384" s="30"/>
      <c r="I384" s="30">
        <v>0</v>
      </c>
      <c r="J384" s="31"/>
      <c r="K384" s="43"/>
      <c r="L384" s="32" t="e">
        <f>DATE(YEAR(K384),MONTH(K384)+VLOOKUP($F382,'[1]Membership Level'!$A$3:$B$15,2,FALSE),DAY(K384))</f>
        <v>#N/A</v>
      </c>
      <c r="M384" s="36"/>
      <c r="N384" s="34" t="e">
        <f>IF($L384&lt;&gt;0,DATE(YEAR($L384),MONTH($L384)-#REF!,DAY($L384)-$M384),"")</f>
        <v>#N/A</v>
      </c>
      <c r="O384" s="33" t="e">
        <f t="shared" ca="1" si="9"/>
        <v>#N/A</v>
      </c>
      <c r="P384" s="34" t="e">
        <f>I384/H384*VLOOKUP(F382,'[1]Membership Level'!$A$3:$C$15,3,FALSE)+K384</f>
        <v>#DIV/0!</v>
      </c>
      <c r="Q384" s="36"/>
    </row>
    <row r="385" spans="3:17" x14ac:dyDescent="0.25">
      <c r="C385" s="36"/>
      <c r="D385" s="36"/>
      <c r="E385" s="35"/>
      <c r="F385" s="36"/>
      <c r="G385" s="36"/>
      <c r="H385" s="30"/>
      <c r="I385" s="30">
        <v>0</v>
      </c>
      <c r="J385" s="31"/>
      <c r="K385" s="43"/>
      <c r="L385" s="32" t="e">
        <f>DATE(YEAR(K385),MONTH(K385)+VLOOKUP($F383,'[1]Membership Level'!$A$3:$B$15,2,FALSE),DAY(K385))</f>
        <v>#N/A</v>
      </c>
      <c r="M385" s="36"/>
      <c r="N385" s="34" t="e">
        <f>IF($L385&lt;&gt;0,DATE(YEAR($L385),MONTH($L385)-#REF!,DAY($L385)-$M385),"")</f>
        <v>#N/A</v>
      </c>
      <c r="O385" s="33" t="e">
        <f t="shared" ca="1" si="9"/>
        <v>#N/A</v>
      </c>
      <c r="P385" s="34" t="e">
        <f>I385/H385*VLOOKUP(F383,'[1]Membership Level'!$A$3:$C$15,3,FALSE)+K385</f>
        <v>#DIV/0!</v>
      </c>
      <c r="Q385" s="36"/>
    </row>
    <row r="386" spans="3:17" x14ac:dyDescent="0.25">
      <c r="C386" s="36"/>
      <c r="D386" s="36"/>
      <c r="E386" s="35"/>
      <c r="F386" s="36"/>
      <c r="G386" s="36"/>
      <c r="H386" s="30"/>
      <c r="I386" s="30">
        <v>0</v>
      </c>
      <c r="J386" s="31"/>
      <c r="K386" s="43"/>
      <c r="L386" s="32" t="e">
        <f>DATE(YEAR(K386),MONTH(K386)+VLOOKUP($F384,'[1]Membership Level'!$A$3:$B$15,2,FALSE),DAY(K386))</f>
        <v>#N/A</v>
      </c>
      <c r="M386" s="36"/>
      <c r="N386" s="34" t="e">
        <f>IF($L386&lt;&gt;0,DATE(YEAR($L386),MONTH($L386)-#REF!,DAY($L386)-$M386),"")</f>
        <v>#N/A</v>
      </c>
      <c r="O386" s="33" t="e">
        <f t="shared" ca="1" si="9"/>
        <v>#N/A</v>
      </c>
      <c r="P386" s="34" t="e">
        <f>I386/H386*VLOOKUP(F384,'[1]Membership Level'!$A$3:$C$15,3,FALSE)+K386</f>
        <v>#DIV/0!</v>
      </c>
      <c r="Q386" s="36"/>
    </row>
    <row r="387" spans="3:17" x14ac:dyDescent="0.25">
      <c r="C387" s="36"/>
      <c r="D387" s="36"/>
      <c r="E387" s="35"/>
      <c r="F387" s="36"/>
      <c r="G387" s="36"/>
      <c r="H387" s="30"/>
      <c r="I387" s="30">
        <v>0</v>
      </c>
      <c r="J387" s="31"/>
      <c r="K387" s="43"/>
      <c r="L387" s="32" t="e">
        <f>DATE(YEAR(K387),MONTH(K387)+VLOOKUP($F385,'[1]Membership Level'!$A$3:$B$15,2,FALSE),DAY(K387))</f>
        <v>#N/A</v>
      </c>
      <c r="M387" s="36"/>
      <c r="N387" s="34" t="e">
        <f>IF($L387&lt;&gt;0,DATE(YEAR($L387),MONTH($L387)-#REF!,DAY($L387)-$M387),"")</f>
        <v>#N/A</v>
      </c>
      <c r="O387" s="33" t="e">
        <f t="shared" ca="1" si="9"/>
        <v>#N/A</v>
      </c>
      <c r="P387" s="34" t="e">
        <f>I387/H387*VLOOKUP(F385,'[1]Membership Level'!$A$3:$C$15,3,FALSE)+K387</f>
        <v>#DIV/0!</v>
      </c>
      <c r="Q387" s="36"/>
    </row>
    <row r="388" spans="3:17" x14ac:dyDescent="0.25">
      <c r="C388" s="36"/>
      <c r="D388" s="36"/>
      <c r="E388" s="35"/>
      <c r="F388" s="36"/>
      <c r="G388" s="36"/>
      <c r="H388" s="30"/>
      <c r="I388" s="30">
        <v>0</v>
      </c>
      <c r="J388" s="31"/>
      <c r="K388" s="43"/>
      <c r="L388" s="32" t="e">
        <f>DATE(YEAR(K388),MONTH(K388)+VLOOKUP($F386,'[1]Membership Level'!$A$3:$B$15,2,FALSE),DAY(K388))</f>
        <v>#N/A</v>
      </c>
      <c r="M388" s="36"/>
      <c r="N388" s="34" t="e">
        <f>IF($L388&lt;&gt;0,DATE(YEAR($L388),MONTH($L388)-#REF!,DAY($L388)-$M388),"")</f>
        <v>#N/A</v>
      </c>
      <c r="O388" s="33" t="e">
        <f t="shared" ca="1" si="9"/>
        <v>#N/A</v>
      </c>
      <c r="P388" s="34" t="e">
        <f>I388/H388*VLOOKUP(F386,'[1]Membership Level'!$A$3:$C$15,3,FALSE)+K388</f>
        <v>#DIV/0!</v>
      </c>
      <c r="Q388" s="43"/>
    </row>
    <row r="389" spans="3:17" x14ac:dyDescent="0.25">
      <c r="C389" s="36"/>
      <c r="D389" s="36"/>
      <c r="E389" s="35"/>
      <c r="F389" s="36"/>
      <c r="G389" s="36"/>
      <c r="H389" s="30"/>
      <c r="I389" s="30">
        <v>0</v>
      </c>
      <c r="J389" s="31"/>
      <c r="K389" s="43"/>
      <c r="L389" s="32" t="e">
        <f>DATE(YEAR(K389),MONTH(K389)+VLOOKUP($F387,'[1]Membership Level'!$A$3:$B$15,2,FALSE),DAY(K389))</f>
        <v>#N/A</v>
      </c>
      <c r="M389" s="36"/>
      <c r="N389" s="34" t="e">
        <f>IF($L389&lt;&gt;0,DATE(YEAR($L389),MONTH($L389)-#REF!,DAY($L389)-$M389),"")</f>
        <v>#N/A</v>
      </c>
      <c r="O389" s="33" t="e">
        <f t="shared" ca="1" si="9"/>
        <v>#N/A</v>
      </c>
      <c r="P389" s="34" t="e">
        <f>I389/H389*VLOOKUP(F387,'[1]Membership Level'!$A$3:$C$15,3,FALSE)+K389</f>
        <v>#DIV/0!</v>
      </c>
      <c r="Q389" s="36"/>
    </row>
    <row r="390" spans="3:17" s="26" customFormat="1" x14ac:dyDescent="0.25">
      <c r="C390" s="36"/>
      <c r="D390" s="36"/>
      <c r="E390" s="35"/>
      <c r="F390" s="36"/>
      <c r="G390" s="36"/>
      <c r="H390" s="30"/>
      <c r="I390" s="30">
        <v>0</v>
      </c>
      <c r="J390" s="31"/>
      <c r="K390" s="43"/>
      <c r="L390" s="32" t="e">
        <f>DATE(YEAR(K390),MONTH(K390)+VLOOKUP($F388,'[1]Membership Level'!$A$3:$B$15,2,FALSE),DAY(K390))</f>
        <v>#N/A</v>
      </c>
      <c r="M390" s="36"/>
      <c r="N390" s="34" t="e">
        <f>IF($L390&lt;&gt;0,DATE(YEAR($L390),MONTH($L390)-#REF!,DAY($L390)-$M390),"")</f>
        <v>#N/A</v>
      </c>
      <c r="O390" s="33" t="e">
        <f t="shared" ca="1" si="9"/>
        <v>#N/A</v>
      </c>
      <c r="P390" s="34" t="e">
        <f>I390/H390*VLOOKUP(F388,'[1]Membership Level'!$A$3:$C$15,3,FALSE)+K390</f>
        <v>#DIV/0!</v>
      </c>
      <c r="Q390" s="36"/>
    </row>
    <row r="391" spans="3:17" s="26" customFormat="1" x14ac:dyDescent="0.25">
      <c r="C391" s="36"/>
      <c r="D391" s="36"/>
      <c r="E391" s="35"/>
      <c r="F391" s="36"/>
      <c r="G391" s="36"/>
      <c r="H391" s="30"/>
      <c r="I391" s="30">
        <v>0</v>
      </c>
      <c r="J391" s="31"/>
      <c r="K391" s="43"/>
      <c r="L391" s="32" t="e">
        <f>DATE(YEAR(K391),MONTH(K391)+VLOOKUP($F389,'[1]Membership Level'!$A$3:$B$15,2,FALSE),DAY(K391))</f>
        <v>#N/A</v>
      </c>
      <c r="M391" s="36"/>
      <c r="N391" s="34" t="e">
        <f>IF($L391&lt;&gt;0,DATE(YEAR($L391),MONTH($L391)-#REF!,DAY($L391)-$M391),"")</f>
        <v>#N/A</v>
      </c>
      <c r="O391" s="33" t="e">
        <f t="shared" ca="1" si="9"/>
        <v>#N/A</v>
      </c>
      <c r="P391" s="34" t="e">
        <f>I391/H391*VLOOKUP(F389,'[1]Membership Level'!$A$3:$C$15,3,FALSE)+K391</f>
        <v>#DIV/0!</v>
      </c>
      <c r="Q391" s="36"/>
    </row>
    <row r="392" spans="3:17" x14ac:dyDescent="0.25">
      <c r="C392" s="36"/>
      <c r="D392" s="36"/>
      <c r="E392" s="35"/>
      <c r="F392" s="36"/>
      <c r="G392" s="36"/>
      <c r="H392" s="30"/>
      <c r="I392" s="30">
        <v>0</v>
      </c>
      <c r="J392" s="31"/>
      <c r="K392" s="43"/>
      <c r="L392" s="32" t="e">
        <f>DATE(YEAR(K392),MONTH(K392)+VLOOKUP($F390,'[1]Membership Level'!$A$3:$B$15,2,FALSE),DAY(K392))</f>
        <v>#N/A</v>
      </c>
      <c r="M392" s="36"/>
      <c r="N392" s="34" t="e">
        <f>IF($L392&lt;&gt;0,DATE(YEAR($L392),MONTH($L392)-#REF!,DAY($L392)-$M392),"")</f>
        <v>#N/A</v>
      </c>
      <c r="O392" s="33" t="e">
        <f t="shared" ca="1" si="9"/>
        <v>#N/A</v>
      </c>
      <c r="P392" s="34" t="e">
        <f>I392/H392*VLOOKUP(F390,'[1]Membership Level'!$A$3:$C$15,3,FALSE)+K392</f>
        <v>#DIV/0!</v>
      </c>
      <c r="Q392" s="36"/>
    </row>
    <row r="393" spans="3:17" x14ac:dyDescent="0.25">
      <c r="C393" s="36"/>
      <c r="D393" s="36"/>
      <c r="E393" s="35"/>
      <c r="F393" s="36"/>
      <c r="G393" s="36"/>
      <c r="H393" s="30"/>
      <c r="I393" s="30">
        <v>0</v>
      </c>
      <c r="J393" s="31"/>
      <c r="K393" s="43"/>
      <c r="L393" s="32" t="e">
        <f>DATE(YEAR(K393),MONTH(K393)+VLOOKUP($F391,'[1]Membership Level'!$A$3:$B$15,2,FALSE),DAY(K393))</f>
        <v>#N/A</v>
      </c>
      <c r="M393" s="36"/>
      <c r="N393" s="34" t="e">
        <f>IF($L393&lt;&gt;0,DATE(YEAR($L393),MONTH($L393)-#REF!,DAY($L393)-$M393),"")</f>
        <v>#N/A</v>
      </c>
      <c r="O393" s="33" t="e">
        <f t="shared" ca="1" si="9"/>
        <v>#N/A</v>
      </c>
      <c r="P393" s="34" t="e">
        <f>I393/H393*VLOOKUP(F391,'[1]Membership Level'!$A$3:$C$15,3,FALSE)+K393</f>
        <v>#DIV/0!</v>
      </c>
      <c r="Q393" s="36"/>
    </row>
    <row r="394" spans="3:17" x14ac:dyDescent="0.25">
      <c r="C394" s="36"/>
      <c r="D394" s="36"/>
      <c r="E394" s="35"/>
      <c r="F394" s="36"/>
      <c r="G394" s="36"/>
      <c r="H394" s="30"/>
      <c r="I394" s="30">
        <v>0</v>
      </c>
      <c r="J394" s="31"/>
      <c r="K394" s="43"/>
      <c r="L394" s="32" t="e">
        <f>DATE(YEAR(K394),MONTH(K394)+VLOOKUP($F392,'[1]Membership Level'!$A$3:$B$15,2,FALSE),DAY(K394))</f>
        <v>#N/A</v>
      </c>
      <c r="M394" s="36"/>
      <c r="N394" s="34" t="e">
        <f>IF($L394&lt;&gt;0,DATE(YEAR($L394),MONTH($L394)-#REF!,DAY($L394)-$M394),"")</f>
        <v>#N/A</v>
      </c>
      <c r="O394" s="33" t="e">
        <f t="shared" ca="1" si="9"/>
        <v>#N/A</v>
      </c>
      <c r="P394" s="34" t="e">
        <f>I394/H394*VLOOKUP(F392,'[1]Membership Level'!$A$3:$C$15,3,FALSE)+K394</f>
        <v>#DIV/0!</v>
      </c>
      <c r="Q394" s="36"/>
    </row>
    <row r="395" spans="3:17" x14ac:dyDescent="0.25">
      <c r="C395" s="36"/>
      <c r="D395" s="36"/>
      <c r="E395" s="35"/>
      <c r="F395" s="36"/>
      <c r="G395" s="36"/>
      <c r="H395" s="30"/>
      <c r="I395" s="30">
        <v>0</v>
      </c>
      <c r="J395" s="31"/>
      <c r="K395" s="43"/>
      <c r="L395" s="32" t="e">
        <f>DATE(YEAR(K395),MONTH(K395)+VLOOKUP($F393,'[1]Membership Level'!$A$3:$B$15,2,FALSE),DAY(K395))</f>
        <v>#N/A</v>
      </c>
      <c r="M395" s="36"/>
      <c r="N395" s="34" t="e">
        <f>IF($L395&lt;&gt;0,DATE(YEAR($L395),MONTH($L395)-#REF!,DAY($L395)-$M395),"")</f>
        <v>#N/A</v>
      </c>
      <c r="O395" s="33" t="e">
        <f t="shared" ca="1" si="9"/>
        <v>#N/A</v>
      </c>
      <c r="P395" s="34" t="e">
        <f>I395/H395*VLOOKUP(F393,'[1]Membership Level'!$A$3:$C$15,3,FALSE)+K395</f>
        <v>#DIV/0!</v>
      </c>
      <c r="Q395" s="36"/>
    </row>
    <row r="396" spans="3:17" x14ac:dyDescent="0.25">
      <c r="C396" s="36"/>
      <c r="D396" s="36"/>
      <c r="E396" s="35"/>
      <c r="F396" s="36"/>
      <c r="G396" s="36"/>
      <c r="H396" s="30"/>
      <c r="I396" s="30">
        <v>0</v>
      </c>
      <c r="J396" s="31"/>
      <c r="K396" s="43"/>
      <c r="L396" s="32" t="e">
        <f>DATE(YEAR(K396),MONTH(K396)+VLOOKUP($F394,'[1]Membership Level'!$A$3:$B$15,2,FALSE),DAY(K396))</f>
        <v>#N/A</v>
      </c>
      <c r="M396" s="36"/>
      <c r="N396" s="34" t="e">
        <f>IF($L396&lt;&gt;0,DATE(YEAR($L396),MONTH($L396)-#REF!,DAY($L396)-$M396),"")</f>
        <v>#N/A</v>
      </c>
      <c r="O396" s="33" t="e">
        <f t="shared" ca="1" si="9"/>
        <v>#N/A</v>
      </c>
      <c r="P396" s="34" t="e">
        <f>I396/H396*VLOOKUP(F394,'[1]Membership Level'!$A$3:$C$15,3,FALSE)+K396</f>
        <v>#DIV/0!</v>
      </c>
      <c r="Q396" s="36"/>
    </row>
    <row r="397" spans="3:17" x14ac:dyDescent="0.25">
      <c r="C397" s="36"/>
      <c r="D397" s="36"/>
      <c r="E397" s="35"/>
      <c r="F397" s="36"/>
      <c r="G397" s="36"/>
      <c r="H397" s="30"/>
      <c r="I397" s="30">
        <v>0</v>
      </c>
      <c r="J397" s="31"/>
      <c r="K397" s="43"/>
      <c r="L397" s="32" t="e">
        <f>DATE(YEAR(K397),MONTH(K397)+VLOOKUP($F395,'[1]Membership Level'!$A$3:$B$15,2,FALSE),DAY(K397))</f>
        <v>#N/A</v>
      </c>
      <c r="M397" s="36"/>
      <c r="N397" s="34" t="e">
        <f>IF($L397&lt;&gt;0,DATE(YEAR($L397),MONTH($L397)-#REF!,DAY($L397)-$M397),"")</f>
        <v>#N/A</v>
      </c>
      <c r="O397" s="33" t="e">
        <f t="shared" ca="1" si="9"/>
        <v>#N/A</v>
      </c>
      <c r="P397" s="34" t="e">
        <f>I397/H397*VLOOKUP(F395,'[1]Membership Level'!$A$3:$C$15,3,FALSE)+K397</f>
        <v>#DIV/0!</v>
      </c>
      <c r="Q397" s="36"/>
    </row>
    <row r="398" spans="3:17" x14ac:dyDescent="0.25">
      <c r="C398" s="36"/>
      <c r="D398" s="36"/>
      <c r="E398" s="35"/>
      <c r="F398" s="36"/>
      <c r="G398" s="36"/>
      <c r="H398" s="30"/>
      <c r="I398" s="30">
        <v>0</v>
      </c>
      <c r="J398" s="31"/>
      <c r="K398" s="43"/>
      <c r="L398" s="32" t="e">
        <f>DATE(YEAR(K398),MONTH(K398)+VLOOKUP($F396,'[1]Membership Level'!$A$3:$B$15,2,FALSE),DAY(K398))</f>
        <v>#N/A</v>
      </c>
      <c r="M398" s="36"/>
      <c r="N398" s="34" t="e">
        <f>IF($L398&lt;&gt;0,DATE(YEAR($L398),MONTH($L398)-#REF!,DAY($L398)-$M398),"")</f>
        <v>#N/A</v>
      </c>
      <c r="O398" s="33" t="e">
        <f t="shared" ca="1" si="9"/>
        <v>#N/A</v>
      </c>
      <c r="P398" s="34" t="e">
        <f>I398/H398*VLOOKUP(F396,'[1]Membership Level'!$A$3:$C$15,3,FALSE)+K398</f>
        <v>#DIV/0!</v>
      </c>
      <c r="Q398" s="36"/>
    </row>
    <row r="399" spans="3:17" x14ac:dyDescent="0.25">
      <c r="C399" s="36"/>
      <c r="D399" s="36"/>
      <c r="E399" s="35"/>
      <c r="F399" s="36"/>
      <c r="G399" s="36"/>
      <c r="H399" s="30"/>
      <c r="I399" s="30">
        <v>0</v>
      </c>
      <c r="J399" s="31"/>
      <c r="K399" s="43"/>
      <c r="L399" s="32" t="e">
        <f>DATE(YEAR(K399),MONTH(K399)+VLOOKUP($F397,'[1]Membership Level'!$A$3:$B$15,2,FALSE),DAY(K399))</f>
        <v>#N/A</v>
      </c>
      <c r="M399" s="36"/>
      <c r="N399" s="34" t="e">
        <f>IF($L399&lt;&gt;0,DATE(YEAR($L399),MONTH($L399)-#REF!,DAY($L399)-$M399),"")</f>
        <v>#N/A</v>
      </c>
      <c r="O399" s="33" t="e">
        <f t="shared" ca="1" si="9"/>
        <v>#N/A</v>
      </c>
      <c r="P399" s="34" t="e">
        <f>I399/H399*VLOOKUP(F397,'[1]Membership Level'!$A$3:$C$15,3,FALSE)+K399</f>
        <v>#DIV/0!</v>
      </c>
      <c r="Q399" s="36"/>
    </row>
    <row r="400" spans="3:17" x14ac:dyDescent="0.25">
      <c r="C400" s="36"/>
      <c r="D400" s="36"/>
      <c r="E400" s="35"/>
      <c r="F400" s="36"/>
      <c r="G400" s="36"/>
      <c r="H400" s="30"/>
      <c r="I400" s="30">
        <v>0</v>
      </c>
      <c r="J400" s="31"/>
      <c r="K400" s="43"/>
      <c r="L400" s="32" t="e">
        <f>DATE(YEAR(K400),MONTH(K400)+VLOOKUP($F398,'[1]Membership Level'!$A$3:$B$15,2,FALSE),DAY(K400))</f>
        <v>#N/A</v>
      </c>
      <c r="M400" s="36"/>
      <c r="N400" s="34" t="e">
        <f>IF($L400&lt;&gt;0,DATE(YEAR($L400),MONTH($L400)-#REF!,DAY($L400)-$M400),"")</f>
        <v>#N/A</v>
      </c>
      <c r="O400" s="33" t="e">
        <f t="shared" ca="1" si="9"/>
        <v>#N/A</v>
      </c>
      <c r="P400" s="34" t="e">
        <f>I400/H400*VLOOKUP(F398,'[1]Membership Level'!$A$3:$C$15,3,FALSE)+K400</f>
        <v>#DIV/0!</v>
      </c>
      <c r="Q400" s="36"/>
    </row>
    <row r="401" spans="3:17" s="22" customFormat="1" x14ac:dyDescent="0.25">
      <c r="C401" s="36"/>
      <c r="D401" s="36"/>
      <c r="E401" s="35"/>
      <c r="F401" s="36"/>
      <c r="G401" s="36"/>
      <c r="H401" s="30"/>
      <c r="I401" s="30">
        <v>0</v>
      </c>
      <c r="J401" s="31"/>
      <c r="K401" s="43"/>
      <c r="L401" s="32" t="e">
        <f>DATE(YEAR(K401),MONTH(K401)+VLOOKUP($F399,'[1]Membership Level'!$A$3:$B$15,2,FALSE),DAY(K401))</f>
        <v>#N/A</v>
      </c>
      <c r="M401" s="36"/>
      <c r="N401" s="34" t="e">
        <f>IF($L401&lt;&gt;0,DATE(YEAR($L401),MONTH($L401)-#REF!,DAY($L401)-$M401),"")</f>
        <v>#N/A</v>
      </c>
      <c r="O401" s="33" t="e">
        <f t="shared" ca="1" si="9"/>
        <v>#N/A</v>
      </c>
      <c r="P401" s="34" t="e">
        <f>I401/H401*VLOOKUP(F399,'[1]Membership Level'!$A$3:$C$15,3,FALSE)+K401</f>
        <v>#DIV/0!</v>
      </c>
      <c r="Q401" s="36"/>
    </row>
    <row r="402" spans="3:17" x14ac:dyDescent="0.25">
      <c r="C402" s="36"/>
      <c r="D402" s="36"/>
      <c r="E402" s="35"/>
      <c r="F402" s="36"/>
      <c r="G402" s="36"/>
      <c r="H402" s="30"/>
      <c r="I402" s="30">
        <v>0</v>
      </c>
      <c r="J402" s="31"/>
      <c r="K402" s="43"/>
      <c r="L402" s="32" t="e">
        <f>DATE(YEAR(K402),MONTH(K402)+VLOOKUP($F400,'[1]Membership Level'!$A$3:$B$15,2,FALSE),DAY(K402))</f>
        <v>#N/A</v>
      </c>
      <c r="M402" s="36"/>
      <c r="N402" s="34" t="e">
        <f>IF($L402&lt;&gt;0,DATE(YEAR($L402),MONTH($L402)-#REF!,DAY($L402)-$M402),"")</f>
        <v>#N/A</v>
      </c>
      <c r="O402" s="33" t="e">
        <f t="shared" ca="1" si="9"/>
        <v>#N/A</v>
      </c>
      <c r="P402" s="34" t="e">
        <f>I402/H402*VLOOKUP(F400,'[1]Membership Level'!$A$3:$C$15,3,FALSE)+K402</f>
        <v>#DIV/0!</v>
      </c>
      <c r="Q402" s="36"/>
    </row>
    <row r="403" spans="3:17" x14ac:dyDescent="0.25">
      <c r="C403" s="36"/>
      <c r="D403" s="36"/>
      <c r="E403" s="35"/>
      <c r="F403" s="36"/>
      <c r="G403" s="36"/>
      <c r="H403" s="30"/>
      <c r="I403" s="30">
        <v>0</v>
      </c>
      <c r="J403" s="31"/>
      <c r="K403" s="43"/>
      <c r="L403" s="32" t="e">
        <f>DATE(YEAR(K403),MONTH(K403)+VLOOKUP($F401,'[1]Membership Level'!$A$3:$B$15,2,FALSE),DAY(K403))</f>
        <v>#N/A</v>
      </c>
      <c r="M403" s="36"/>
      <c r="N403" s="34" t="e">
        <f>IF($L403&lt;&gt;0,DATE(YEAR($L403),MONTH($L403)-#REF!,DAY($L403)-$M403),"")</f>
        <v>#N/A</v>
      </c>
      <c r="O403" s="33" t="e">
        <f t="shared" ca="1" si="9"/>
        <v>#N/A</v>
      </c>
      <c r="P403" s="34" t="e">
        <f>I403/H403*VLOOKUP(F401,'[1]Membership Level'!$A$3:$C$15,3,FALSE)+K403</f>
        <v>#DIV/0!</v>
      </c>
      <c r="Q403" s="36"/>
    </row>
    <row r="404" spans="3:17" x14ac:dyDescent="0.25">
      <c r="C404" s="36"/>
      <c r="D404" s="36"/>
      <c r="E404" s="35"/>
      <c r="F404" s="36"/>
      <c r="G404" s="36"/>
      <c r="H404" s="30"/>
      <c r="I404" s="30">
        <v>0</v>
      </c>
      <c r="J404" s="31"/>
      <c r="K404" s="43"/>
      <c r="L404" s="32" t="e">
        <f>DATE(YEAR(K404),MONTH(K404)+VLOOKUP($F402,'[1]Membership Level'!$A$3:$B$15,2,FALSE),DAY(K404))</f>
        <v>#N/A</v>
      </c>
      <c r="M404" s="36"/>
      <c r="N404" s="34" t="e">
        <f>IF($L404&lt;&gt;0,DATE(YEAR($L404),MONTH($L404)-#REF!,DAY($L404)-$M404),"")</f>
        <v>#N/A</v>
      </c>
      <c r="O404" s="33" t="e">
        <f t="shared" ca="1" si="9"/>
        <v>#N/A</v>
      </c>
      <c r="P404" s="34" t="e">
        <f>I404/H404*VLOOKUP(F402,'[1]Membership Level'!$A$3:$C$15,3,FALSE)+K404</f>
        <v>#DIV/0!</v>
      </c>
      <c r="Q404" s="36"/>
    </row>
    <row r="405" spans="3:17" x14ac:dyDescent="0.25">
      <c r="C405" s="36"/>
      <c r="D405" s="36"/>
      <c r="E405" s="35"/>
      <c r="F405" s="36"/>
      <c r="G405" s="36"/>
      <c r="H405" s="30"/>
      <c r="I405" s="30">
        <v>0</v>
      </c>
      <c r="J405" s="31"/>
      <c r="K405" s="43"/>
      <c r="L405" s="32" t="e">
        <f>DATE(YEAR(K405),MONTH(K405)+VLOOKUP($F403,'[1]Membership Level'!$A$3:$B$15,2,FALSE),DAY(K405))</f>
        <v>#N/A</v>
      </c>
      <c r="M405" s="36"/>
      <c r="N405" s="34" t="e">
        <f>IF($L405&lt;&gt;0,DATE(YEAR($L405),MONTH($L405)-#REF!,DAY($L405)-$M405),"")</f>
        <v>#N/A</v>
      </c>
      <c r="O405" s="33" t="e">
        <f t="shared" ca="1" si="9"/>
        <v>#N/A</v>
      </c>
      <c r="P405" s="34" t="e">
        <f>I405/H405*VLOOKUP(F403,'[1]Membership Level'!$A$3:$C$15,3,FALSE)+K405</f>
        <v>#DIV/0!</v>
      </c>
      <c r="Q405" s="36"/>
    </row>
    <row r="406" spans="3:17" x14ac:dyDescent="0.25">
      <c r="C406" s="36"/>
      <c r="D406" s="36"/>
      <c r="E406" s="35"/>
      <c r="F406" s="36"/>
      <c r="G406" s="36"/>
      <c r="H406" s="30"/>
      <c r="I406" s="30">
        <v>0</v>
      </c>
      <c r="J406" s="31"/>
      <c r="K406" s="43"/>
      <c r="L406" s="32" t="e">
        <f>DATE(YEAR(K406),MONTH(K406)+VLOOKUP($F404,'[1]Membership Level'!$A$3:$B$15,2,FALSE),DAY(K406))</f>
        <v>#N/A</v>
      </c>
      <c r="M406" s="36"/>
      <c r="N406" s="34" t="e">
        <f>IF($L406&lt;&gt;0,DATE(YEAR($L406),MONTH($L406)-#REF!,DAY($L406)-$M406),"")</f>
        <v>#N/A</v>
      </c>
      <c r="O406" s="33" t="e">
        <f t="shared" ca="1" si="9"/>
        <v>#N/A</v>
      </c>
      <c r="P406" s="34" t="e">
        <f>I406/H406*VLOOKUP(F404,'[1]Membership Level'!$A$3:$C$15,3,FALSE)+K406</f>
        <v>#DIV/0!</v>
      </c>
      <c r="Q406" s="36"/>
    </row>
    <row r="407" spans="3:17" x14ac:dyDescent="0.25">
      <c r="C407" s="36"/>
      <c r="D407" s="36"/>
      <c r="E407" s="35"/>
      <c r="F407" s="36"/>
      <c r="G407" s="36"/>
      <c r="H407" s="30"/>
      <c r="I407" s="30">
        <v>0</v>
      </c>
      <c r="J407" s="31"/>
      <c r="K407" s="43"/>
      <c r="L407" s="32" t="e">
        <f>DATE(YEAR(K407),MONTH(K407)+VLOOKUP($F405,'[1]Membership Level'!$A$3:$B$15,2,FALSE),DAY(K407))</f>
        <v>#N/A</v>
      </c>
      <c r="M407" s="36"/>
      <c r="N407" s="34" t="e">
        <f>IF($L407&lt;&gt;0,DATE(YEAR($L407),MONTH($L407)-#REF!,DAY($L407)-$M407),"")</f>
        <v>#N/A</v>
      </c>
      <c r="O407" s="33" t="e">
        <f t="shared" ca="1" si="9"/>
        <v>#N/A</v>
      </c>
      <c r="P407" s="34" t="e">
        <f>I407/H407*VLOOKUP(F405,'[1]Membership Level'!$A$3:$C$15,3,FALSE)+K407</f>
        <v>#DIV/0!</v>
      </c>
      <c r="Q407" s="36"/>
    </row>
    <row r="408" spans="3:17" x14ac:dyDescent="0.25">
      <c r="C408" s="36"/>
      <c r="D408" s="36"/>
      <c r="E408" s="36"/>
      <c r="F408" s="36"/>
      <c r="G408" s="36"/>
      <c r="H408" s="30"/>
      <c r="I408" s="30">
        <v>0</v>
      </c>
      <c r="J408" s="31"/>
      <c r="K408" s="43"/>
      <c r="L408" s="32" t="e">
        <f>DATE(YEAR(K408),MONTH(K408)+VLOOKUP($F406,'[1]Membership Level'!$A$3:$B$15,2,FALSE),DAY(K408))</f>
        <v>#N/A</v>
      </c>
      <c r="M408" s="36"/>
      <c r="N408" s="34" t="e">
        <f>IF($L408&lt;&gt;0,DATE(YEAR($L408),MONTH($L408)-#REF!,DAY($L408)-$M408),"")</f>
        <v>#N/A</v>
      </c>
      <c r="O408" s="33" t="e">
        <f t="shared" ca="1" si="9"/>
        <v>#N/A</v>
      </c>
      <c r="P408" s="34" t="e">
        <f>I408/H408*VLOOKUP(F406,'[1]Membership Level'!$A$3:$C$15,3,FALSE)+K408</f>
        <v>#DIV/0!</v>
      </c>
      <c r="Q408" s="36"/>
    </row>
    <row r="409" spans="3:17" x14ac:dyDescent="0.25">
      <c r="C409" s="36"/>
      <c r="D409" s="36"/>
      <c r="E409" s="35"/>
      <c r="F409" s="36"/>
      <c r="G409" s="36"/>
      <c r="H409" s="30"/>
      <c r="I409" s="30">
        <v>0</v>
      </c>
      <c r="J409" s="31"/>
      <c r="K409" s="43"/>
      <c r="L409" s="32" t="e">
        <f>DATE(YEAR(K409),MONTH(K409)+VLOOKUP($F407,'[1]Membership Level'!$A$3:$B$15,2,FALSE),DAY(K409))</f>
        <v>#N/A</v>
      </c>
      <c r="M409" s="36"/>
      <c r="N409" s="34" t="e">
        <f>IF($L409&lt;&gt;0,DATE(YEAR($L409),MONTH($L409)-#REF!,DAY($L409)-$M409),"")</f>
        <v>#N/A</v>
      </c>
      <c r="O409" s="33" t="e">
        <f t="shared" ca="1" si="9"/>
        <v>#N/A</v>
      </c>
      <c r="P409" s="34" t="e">
        <f>I409/H409*VLOOKUP(F407,'[1]Membership Level'!$A$3:$C$15,3,FALSE)+K409</f>
        <v>#DIV/0!</v>
      </c>
      <c r="Q409" s="36"/>
    </row>
    <row r="410" spans="3:17" x14ac:dyDescent="0.25">
      <c r="C410" s="36"/>
      <c r="D410" s="36"/>
      <c r="E410" s="35"/>
      <c r="F410" s="36"/>
      <c r="G410" s="36"/>
      <c r="H410" s="30"/>
      <c r="I410" s="30">
        <v>0</v>
      </c>
      <c r="J410" s="31"/>
      <c r="K410" s="43"/>
      <c r="L410" s="32" t="e">
        <f>DATE(YEAR(K410),MONTH(K410)+VLOOKUP($F408,'[1]Membership Level'!$A$3:$B$15,2,FALSE),DAY(K410))</f>
        <v>#N/A</v>
      </c>
      <c r="M410" s="36"/>
      <c r="N410" s="34" t="e">
        <f>IF($L410&lt;&gt;0,DATE(YEAR($L410),MONTH($L410)-#REF!,DAY($L410)-$M410),"")</f>
        <v>#N/A</v>
      </c>
      <c r="O410" s="33" t="e">
        <f t="shared" ca="1" si="9"/>
        <v>#N/A</v>
      </c>
      <c r="P410" s="34" t="e">
        <f>I410/H410*VLOOKUP(F408,'[1]Membership Level'!$A$3:$C$15,3,FALSE)+K410</f>
        <v>#DIV/0!</v>
      </c>
      <c r="Q410" s="36"/>
    </row>
    <row r="411" spans="3:17" x14ac:dyDescent="0.25">
      <c r="C411" s="36"/>
      <c r="D411" s="36"/>
      <c r="E411" s="35"/>
      <c r="F411" s="36"/>
      <c r="G411" s="36"/>
      <c r="H411" s="30"/>
      <c r="I411" s="30">
        <v>0</v>
      </c>
      <c r="J411" s="31"/>
      <c r="K411" s="43"/>
      <c r="L411" s="32" t="e">
        <f>DATE(YEAR(K411),MONTH(K411)+VLOOKUP($F409,'[1]Membership Level'!$A$3:$B$15,2,FALSE),DAY(K411))</f>
        <v>#N/A</v>
      </c>
      <c r="M411" s="36"/>
      <c r="N411" s="34" t="e">
        <f>IF($L411&lt;&gt;0,DATE(YEAR($L411),MONTH($L411)-#REF!,DAY($L411)-$M411),"")</f>
        <v>#N/A</v>
      </c>
      <c r="O411" s="33" t="e">
        <f t="shared" ca="1" si="9"/>
        <v>#N/A</v>
      </c>
      <c r="P411" s="34" t="e">
        <f>I411/H411*VLOOKUP(F409,'[1]Membership Level'!$A$3:$C$15,3,FALSE)+K411</f>
        <v>#DIV/0!</v>
      </c>
      <c r="Q411" s="36"/>
    </row>
    <row r="412" spans="3:17" x14ac:dyDescent="0.25">
      <c r="C412" s="36"/>
      <c r="D412" s="36"/>
      <c r="E412" s="35"/>
      <c r="F412" s="36"/>
      <c r="G412" s="36"/>
      <c r="H412" s="30"/>
      <c r="I412" s="30">
        <v>0</v>
      </c>
      <c r="J412" s="31"/>
      <c r="K412" s="43"/>
      <c r="L412" s="32" t="e">
        <f>DATE(YEAR(K412),MONTH(K412)+VLOOKUP($F410,'[1]Membership Level'!$A$3:$B$15,2,FALSE),DAY(K412))</f>
        <v>#N/A</v>
      </c>
      <c r="M412" s="36"/>
      <c r="N412" s="34" t="e">
        <f>IF($L412&lt;&gt;0,DATE(YEAR($L412),MONTH($L412)-#REF!,DAY($L412)-$M412),"")</f>
        <v>#N/A</v>
      </c>
      <c r="O412" s="33" t="e">
        <f t="shared" ca="1" si="9"/>
        <v>#N/A</v>
      </c>
      <c r="P412" s="34" t="e">
        <f>I412/H412*VLOOKUP(F410,'[1]Membership Level'!$A$3:$C$15,3,FALSE)+K412</f>
        <v>#DIV/0!</v>
      </c>
      <c r="Q412" s="36"/>
    </row>
    <row r="413" spans="3:17" x14ac:dyDescent="0.25">
      <c r="C413" s="36"/>
      <c r="D413" s="36"/>
      <c r="E413" s="35"/>
      <c r="F413" s="36"/>
      <c r="G413" s="36"/>
      <c r="H413" s="30"/>
      <c r="I413" s="30">
        <v>0</v>
      </c>
      <c r="J413" s="31"/>
      <c r="K413" s="43"/>
      <c r="L413" s="32" t="e">
        <f>DATE(YEAR(K413),MONTH(K413)+VLOOKUP($F411,'[1]Membership Level'!$A$3:$B$15,2,FALSE),DAY(K413))</f>
        <v>#N/A</v>
      </c>
      <c r="M413" s="36"/>
      <c r="N413" s="34" t="e">
        <f>IF($L413&lt;&gt;0,DATE(YEAR($L413),MONTH($L413)-#REF!,DAY($L413)-$M413),"")</f>
        <v>#N/A</v>
      </c>
      <c r="O413" s="33" t="e">
        <f t="shared" ca="1" si="9"/>
        <v>#N/A</v>
      </c>
      <c r="P413" s="34" t="e">
        <f>I413/H413*VLOOKUP(F411,'[1]Membership Level'!$A$3:$C$15,3,FALSE)+K413</f>
        <v>#DIV/0!</v>
      </c>
      <c r="Q413" s="36"/>
    </row>
    <row r="414" spans="3:17" x14ac:dyDescent="0.25">
      <c r="C414" s="36"/>
      <c r="D414" s="36"/>
      <c r="E414" s="35"/>
      <c r="F414" s="36"/>
      <c r="G414" s="36"/>
      <c r="H414" s="30"/>
      <c r="I414" s="30">
        <v>0</v>
      </c>
      <c r="J414" s="31"/>
      <c r="K414" s="43"/>
      <c r="L414" s="32" t="e">
        <f>DATE(YEAR(K414),MONTH(K414)+VLOOKUP($F412,'[1]Membership Level'!$A$3:$B$15,2,FALSE),DAY(K414))</f>
        <v>#N/A</v>
      </c>
      <c r="M414" s="36"/>
      <c r="N414" s="34" t="e">
        <f>IF($L414&lt;&gt;0,DATE(YEAR($L414),MONTH($L414)-#REF!,DAY($L414)-$M414),"")</f>
        <v>#N/A</v>
      </c>
      <c r="O414" s="33" t="e">
        <f t="shared" ca="1" si="9"/>
        <v>#N/A</v>
      </c>
      <c r="P414" s="34" t="e">
        <f>I414/H414*VLOOKUP(F412,'[1]Membership Level'!$A$3:$C$15,3,FALSE)+K414</f>
        <v>#DIV/0!</v>
      </c>
      <c r="Q414" s="36"/>
    </row>
    <row r="415" spans="3:17" x14ac:dyDescent="0.25">
      <c r="C415" s="36"/>
      <c r="D415" s="36"/>
      <c r="E415" s="35"/>
      <c r="F415" s="36"/>
      <c r="G415" s="36"/>
      <c r="H415" s="30"/>
      <c r="I415" s="30">
        <v>0</v>
      </c>
      <c r="J415" s="31"/>
      <c r="K415" s="43"/>
      <c r="L415" s="32" t="e">
        <f>DATE(YEAR(K415),MONTH(K415)+VLOOKUP($F413,'[1]Membership Level'!$A$3:$B$15,2,FALSE),DAY(K415))</f>
        <v>#N/A</v>
      </c>
      <c r="M415" s="36"/>
      <c r="N415" s="34" t="e">
        <f>IF($L415&lt;&gt;0,DATE(YEAR($L415),MONTH($L415)-#REF!,DAY($L415)-$M415),"")</f>
        <v>#N/A</v>
      </c>
      <c r="O415" s="33" t="e">
        <f t="shared" ca="1" si="9"/>
        <v>#N/A</v>
      </c>
      <c r="P415" s="34" t="e">
        <f>I415/H415*VLOOKUP(F413,'[1]Membership Level'!$A$3:$C$15,3,FALSE)+K415</f>
        <v>#DIV/0!</v>
      </c>
      <c r="Q415" s="36"/>
    </row>
    <row r="416" spans="3:17" s="22" customFormat="1" x14ac:dyDescent="0.25">
      <c r="C416" s="36"/>
      <c r="D416" s="36"/>
      <c r="E416" s="35"/>
      <c r="F416" s="36"/>
      <c r="G416" s="36"/>
      <c r="H416" s="30"/>
      <c r="I416" s="30">
        <v>0</v>
      </c>
      <c r="J416" s="31"/>
      <c r="K416" s="43"/>
      <c r="L416" s="32" t="e">
        <f>DATE(YEAR(K416),MONTH(K416)+VLOOKUP($F414,'[1]Membership Level'!$A$3:$B$15,2,FALSE),DAY(K416))</f>
        <v>#N/A</v>
      </c>
      <c r="M416" s="36"/>
      <c r="N416" s="34" t="e">
        <f>IF($L416&lt;&gt;0,DATE(YEAR($L416),MONTH($L416)-#REF!,DAY($L416)-$M416),"")</f>
        <v>#N/A</v>
      </c>
      <c r="O416" s="33" t="e">
        <f t="shared" ca="1" si="9"/>
        <v>#N/A</v>
      </c>
      <c r="P416" s="34" t="e">
        <f>I416/H416*VLOOKUP(F414,'[1]Membership Level'!$A$3:$C$15,3,FALSE)+K416</f>
        <v>#DIV/0!</v>
      </c>
      <c r="Q416" s="36"/>
    </row>
    <row r="417" spans="3:17" s="22" customFormat="1" x14ac:dyDescent="0.25">
      <c r="C417" s="36"/>
      <c r="D417" s="36"/>
      <c r="E417" s="35"/>
      <c r="F417" s="36"/>
      <c r="G417" s="36"/>
      <c r="H417" s="30"/>
      <c r="I417" s="30">
        <v>0</v>
      </c>
      <c r="J417" s="31"/>
      <c r="K417" s="43"/>
      <c r="L417" s="32" t="e">
        <f>DATE(YEAR(K417),MONTH(K417)+VLOOKUP($F415,'[1]Membership Level'!$A$3:$B$15,2,FALSE),DAY(K417))</f>
        <v>#N/A</v>
      </c>
      <c r="M417" s="36"/>
      <c r="N417" s="34" t="e">
        <f>IF($L417&lt;&gt;0,DATE(YEAR($L417),MONTH($L417)-#REF!,DAY($L417)-$M417),"")</f>
        <v>#N/A</v>
      </c>
      <c r="O417" s="33" t="e">
        <f t="shared" ca="1" si="9"/>
        <v>#N/A</v>
      </c>
      <c r="P417" s="34" t="e">
        <f>I417/H417*VLOOKUP(F415,'[1]Membership Level'!$A$3:$C$15,3,FALSE)+K417</f>
        <v>#DIV/0!</v>
      </c>
      <c r="Q417" s="36"/>
    </row>
    <row r="418" spans="3:17" x14ac:dyDescent="0.25">
      <c r="C418" s="36"/>
      <c r="D418" s="36"/>
      <c r="E418" s="35"/>
      <c r="F418" s="36"/>
      <c r="G418" s="36"/>
      <c r="H418" s="30"/>
      <c r="I418" s="30">
        <v>0</v>
      </c>
      <c r="J418" s="31"/>
      <c r="K418" s="43"/>
      <c r="L418" s="32" t="e">
        <f>DATE(YEAR(K418),MONTH(K418)+VLOOKUP($F416,'[1]Membership Level'!$A$3:$B$15,2,FALSE),DAY(K418))</f>
        <v>#N/A</v>
      </c>
      <c r="M418" s="36"/>
      <c r="N418" s="34" t="e">
        <f>IF($L418&lt;&gt;0,DATE(YEAR($L418),MONTH($L418)-#REF!,DAY($L418)-$M418),"")</f>
        <v>#N/A</v>
      </c>
      <c r="O418" s="33" t="e">
        <f t="shared" ca="1" si="9"/>
        <v>#N/A</v>
      </c>
      <c r="P418" s="34" t="e">
        <f>I418/H418*VLOOKUP(F416,'[1]Membership Level'!$A$3:$C$15,3,FALSE)+K418</f>
        <v>#DIV/0!</v>
      </c>
      <c r="Q418" s="36"/>
    </row>
    <row r="419" spans="3:17" x14ac:dyDescent="0.25">
      <c r="C419" s="36"/>
      <c r="D419" s="36"/>
      <c r="E419" s="36"/>
      <c r="F419" s="36"/>
      <c r="G419" s="36"/>
      <c r="H419" s="30"/>
      <c r="I419" s="30">
        <v>0</v>
      </c>
      <c r="J419" s="31"/>
      <c r="K419" s="43"/>
      <c r="L419" s="32" t="e">
        <f>DATE(YEAR(K419),MONTH(K419)+VLOOKUP($F417,'[1]Membership Level'!$A$3:$B$15,2,FALSE),DAY(K419))</f>
        <v>#N/A</v>
      </c>
      <c r="M419" s="36"/>
      <c r="N419" s="34" t="e">
        <f>IF($L419&lt;&gt;0,DATE(YEAR($L419),MONTH($L419)-#REF!,DAY($L419)-$M419),"")</f>
        <v>#N/A</v>
      </c>
      <c r="O419" s="33" t="e">
        <f t="shared" ca="1" si="9"/>
        <v>#N/A</v>
      </c>
      <c r="P419" s="34" t="e">
        <f>I419/H419*VLOOKUP(F417,'[1]Membership Level'!$A$3:$C$15,3,FALSE)+K419</f>
        <v>#DIV/0!</v>
      </c>
      <c r="Q419" s="36"/>
    </row>
    <row r="420" spans="3:17" x14ac:dyDescent="0.25">
      <c r="C420" s="36"/>
      <c r="D420" s="36"/>
      <c r="E420" s="35"/>
      <c r="F420" s="36"/>
      <c r="G420" s="36"/>
      <c r="H420" s="30"/>
      <c r="I420" s="30">
        <v>0</v>
      </c>
      <c r="J420" s="31"/>
      <c r="K420" s="43"/>
      <c r="L420" s="32" t="e">
        <f>DATE(YEAR(K420),MONTH(K420)+VLOOKUP($F418,'[1]Membership Level'!$A$3:$B$15,2,FALSE),DAY(K420))</f>
        <v>#N/A</v>
      </c>
      <c r="M420" s="36"/>
      <c r="N420" s="34" t="e">
        <f>IF($L420&lt;&gt;0,DATE(YEAR($L420),MONTH($L420)-#REF!,DAY($L420)-$M420),"")</f>
        <v>#N/A</v>
      </c>
      <c r="O420" s="33" t="e">
        <f t="shared" ca="1" si="9"/>
        <v>#N/A</v>
      </c>
      <c r="P420" s="34" t="e">
        <f>I420/H420*VLOOKUP(F418,'[1]Membership Level'!$A$3:$C$15,3,FALSE)+K420</f>
        <v>#DIV/0!</v>
      </c>
      <c r="Q420" s="36"/>
    </row>
    <row r="421" spans="3:17" x14ac:dyDescent="0.25">
      <c r="C421" s="36"/>
      <c r="D421" s="36"/>
      <c r="E421" s="35"/>
      <c r="F421" s="36"/>
      <c r="G421" s="36"/>
      <c r="H421" s="30"/>
      <c r="I421" s="30">
        <v>0</v>
      </c>
      <c r="J421" s="31"/>
      <c r="K421" s="43"/>
      <c r="L421" s="32" t="e">
        <f>DATE(YEAR(K421),MONTH(K421)+VLOOKUP($F419,'[1]Membership Level'!$A$3:$B$15,2,FALSE),DAY(K421))</f>
        <v>#N/A</v>
      </c>
      <c r="M421" s="36"/>
      <c r="N421" s="34" t="e">
        <f>IF($L421&lt;&gt;0,DATE(YEAR($L421),MONTH($L421)-#REF!,DAY($L421)-$M421),"")</f>
        <v>#N/A</v>
      </c>
      <c r="O421" s="33" t="e">
        <f t="shared" ca="1" si="9"/>
        <v>#N/A</v>
      </c>
      <c r="P421" s="34" t="e">
        <f>I421/H421*VLOOKUP(F419,'[1]Membership Level'!$A$3:$C$15,3,FALSE)+K421</f>
        <v>#DIV/0!</v>
      </c>
      <c r="Q421" s="36"/>
    </row>
    <row r="422" spans="3:17" x14ac:dyDescent="0.25">
      <c r="C422" s="36"/>
      <c r="D422" s="36"/>
      <c r="E422" s="35"/>
      <c r="F422" s="36"/>
      <c r="G422" s="36"/>
      <c r="H422" s="30"/>
      <c r="I422" s="30">
        <v>0</v>
      </c>
      <c r="J422" s="31"/>
      <c r="K422" s="43"/>
      <c r="L422" s="32" t="e">
        <f>DATE(YEAR(K422),MONTH(K422)+VLOOKUP($F420,'[1]Membership Level'!$A$3:$B$15,2,FALSE),DAY(K422))</f>
        <v>#N/A</v>
      </c>
      <c r="M422" s="36"/>
      <c r="N422" s="34" t="e">
        <f>IF($L422&lt;&gt;0,DATE(YEAR($L422),MONTH($L422)-#REF!,DAY($L422)-$M422),"")</f>
        <v>#N/A</v>
      </c>
      <c r="O422" s="33" t="e">
        <f t="shared" ca="1" si="9"/>
        <v>#N/A</v>
      </c>
      <c r="P422" s="34" t="e">
        <f>I422/H422*VLOOKUP(F420,'[1]Membership Level'!$A$3:$C$15,3,FALSE)+K422</f>
        <v>#DIV/0!</v>
      </c>
      <c r="Q422" s="36"/>
    </row>
    <row r="423" spans="3:17" x14ac:dyDescent="0.25">
      <c r="C423" s="36"/>
      <c r="D423" s="36"/>
      <c r="E423" s="35"/>
      <c r="F423" s="36"/>
      <c r="G423" s="36"/>
      <c r="H423" s="30"/>
      <c r="I423" s="30">
        <v>0</v>
      </c>
      <c r="J423" s="31"/>
      <c r="K423" s="43"/>
      <c r="L423" s="32" t="e">
        <f>DATE(YEAR(K423),MONTH(K423)+VLOOKUP($F421,'[1]Membership Level'!$A$3:$B$15,2,FALSE),DAY(K423))</f>
        <v>#N/A</v>
      </c>
      <c r="M423" s="36"/>
      <c r="N423" s="34" t="e">
        <f>IF($L423&lt;&gt;0,DATE(YEAR($L423),MONTH($L423)-#REF!,DAY($L423)-$M423),"")</f>
        <v>#N/A</v>
      </c>
      <c r="O423" s="33" t="e">
        <f t="shared" ca="1" si="9"/>
        <v>#N/A</v>
      </c>
      <c r="P423" s="34" t="e">
        <f>I423/H423*VLOOKUP(F421,'[1]Membership Level'!$A$3:$C$15,3,FALSE)+K423</f>
        <v>#DIV/0!</v>
      </c>
      <c r="Q423" s="36"/>
    </row>
    <row r="424" spans="3:17" x14ac:dyDescent="0.25">
      <c r="C424" s="36"/>
      <c r="D424" s="36"/>
      <c r="E424" s="35"/>
      <c r="F424" s="36"/>
      <c r="G424" s="36"/>
      <c r="H424" s="30"/>
      <c r="I424" s="30">
        <v>0</v>
      </c>
      <c r="J424" s="31"/>
      <c r="K424" s="43"/>
      <c r="L424" s="32" t="e">
        <f>DATE(YEAR(K424),MONTH(K424)+VLOOKUP($F422,'[1]Membership Level'!$A$3:$B$15,2,FALSE),DAY(K424))</f>
        <v>#N/A</v>
      </c>
      <c r="M424" s="36"/>
      <c r="N424" s="34" t="e">
        <f>IF($L424&lt;&gt;0,DATE(YEAR($L424),MONTH($L424)-#REF!,DAY($L424)-$M424),"")</f>
        <v>#N/A</v>
      </c>
      <c r="O424" s="33" t="e">
        <f t="shared" ca="1" si="9"/>
        <v>#N/A</v>
      </c>
      <c r="P424" s="34" t="e">
        <f>I424/H424*VLOOKUP(F422,'[1]Membership Level'!$A$3:$C$15,3,FALSE)+K424</f>
        <v>#DIV/0!</v>
      </c>
      <c r="Q424" s="36"/>
    </row>
    <row r="425" spans="3:17" x14ac:dyDescent="0.25">
      <c r="C425" s="36"/>
      <c r="D425" s="36"/>
      <c r="E425" s="35"/>
      <c r="F425" s="36"/>
      <c r="G425" s="36"/>
      <c r="H425" s="30"/>
      <c r="I425" s="30">
        <v>0</v>
      </c>
      <c r="J425" s="31"/>
      <c r="K425" s="43"/>
      <c r="L425" s="32" t="e">
        <f>DATE(YEAR(K425),MONTH(K425)+VLOOKUP($F423,'[1]Membership Level'!$A$3:$B$15,2,FALSE),DAY(K425))</f>
        <v>#N/A</v>
      </c>
      <c r="M425" s="36"/>
      <c r="N425" s="34" t="e">
        <f>IF($L425&lt;&gt;0,DATE(YEAR($L425),MONTH($L425)-#REF!,DAY($L425)-$M425),"")</f>
        <v>#N/A</v>
      </c>
      <c r="O425" s="33" t="e">
        <f t="shared" ca="1" si="9"/>
        <v>#N/A</v>
      </c>
      <c r="P425" s="34" t="e">
        <f>I425/H425*VLOOKUP(F423,'[1]Membership Level'!$A$3:$C$15,3,FALSE)+K425</f>
        <v>#DIV/0!</v>
      </c>
      <c r="Q425" s="36"/>
    </row>
    <row r="426" spans="3:17" x14ac:dyDescent="0.25">
      <c r="C426" s="36"/>
      <c r="D426" s="36"/>
      <c r="E426" s="35"/>
      <c r="F426" s="36"/>
      <c r="G426" s="36"/>
      <c r="H426" s="30"/>
      <c r="I426" s="30">
        <v>0</v>
      </c>
      <c r="J426" s="31"/>
      <c r="K426" s="43"/>
      <c r="L426" s="32" t="e">
        <f>DATE(YEAR(K426),MONTH(K426)+VLOOKUP($F424,'[1]Membership Level'!$A$3:$B$15,2,FALSE),DAY(K426))</f>
        <v>#N/A</v>
      </c>
      <c r="M426" s="36"/>
      <c r="N426" s="34" t="e">
        <f>IF($L426&lt;&gt;0,DATE(YEAR($L426),MONTH($L426)-#REF!,DAY($L426)-$M426),"")</f>
        <v>#N/A</v>
      </c>
      <c r="O426" s="33" t="e">
        <f t="shared" ca="1" si="9"/>
        <v>#N/A</v>
      </c>
      <c r="P426" s="34" t="e">
        <f>I426/H426*VLOOKUP(F424,'[1]Membership Level'!$A$3:$C$15,3,FALSE)+K426</f>
        <v>#DIV/0!</v>
      </c>
      <c r="Q426" s="36"/>
    </row>
    <row r="427" spans="3:17" x14ac:dyDescent="0.25">
      <c r="C427" s="36"/>
      <c r="D427" s="36"/>
      <c r="E427" s="35"/>
      <c r="F427" s="36"/>
      <c r="G427" s="36"/>
      <c r="H427" s="30"/>
      <c r="I427" s="30">
        <v>0</v>
      </c>
      <c r="J427" s="31"/>
      <c r="K427" s="43"/>
      <c r="L427" s="32" t="e">
        <f>DATE(YEAR(K427),MONTH(K427)+VLOOKUP($F425,'[1]Membership Level'!$A$3:$B$15,2,FALSE),DAY(K427))</f>
        <v>#N/A</v>
      </c>
      <c r="M427" s="36"/>
      <c r="N427" s="34" t="e">
        <f>IF($L427&lt;&gt;0,DATE(YEAR($L427),MONTH($L427)-#REF!,DAY($L427)-$M427),"")</f>
        <v>#N/A</v>
      </c>
      <c r="O427" s="33" t="e">
        <f t="shared" ca="1" si="9"/>
        <v>#N/A</v>
      </c>
      <c r="P427" s="34" t="e">
        <f>I427/H427*VLOOKUP(F425,'[1]Membership Level'!$A$3:$C$15,3,FALSE)+K427</f>
        <v>#DIV/0!</v>
      </c>
      <c r="Q427" s="36"/>
    </row>
    <row r="428" spans="3:17" x14ac:dyDescent="0.25">
      <c r="C428" s="36"/>
      <c r="D428" s="36"/>
      <c r="E428" s="35"/>
      <c r="F428" s="36"/>
      <c r="G428" s="36"/>
      <c r="H428" s="30"/>
      <c r="I428" s="30">
        <v>0</v>
      </c>
      <c r="J428" s="31"/>
      <c r="K428" s="43"/>
      <c r="L428" s="32" t="e">
        <f>DATE(YEAR(K428),MONTH(K428)+VLOOKUP($F426,'[1]Membership Level'!$A$3:$B$15,2,FALSE),DAY(K428))</f>
        <v>#N/A</v>
      </c>
      <c r="M428" s="36"/>
      <c r="N428" s="34" t="e">
        <f>IF($L428&lt;&gt;0,DATE(YEAR($L428),MONTH($L428)-#REF!,DAY($L428)-$M428),"")</f>
        <v>#N/A</v>
      </c>
      <c r="O428" s="33" t="e">
        <f t="shared" ca="1" si="9"/>
        <v>#N/A</v>
      </c>
      <c r="P428" s="34" t="e">
        <f>I428/H428*VLOOKUP(F426,'[1]Membership Level'!$A$3:$C$15,3,FALSE)+K428</f>
        <v>#DIV/0!</v>
      </c>
      <c r="Q428" s="36"/>
    </row>
    <row r="429" spans="3:17" x14ac:dyDescent="0.25">
      <c r="C429" s="36"/>
      <c r="D429" s="36"/>
      <c r="E429" s="35"/>
      <c r="F429" s="33"/>
      <c r="G429" s="36"/>
      <c r="H429" s="30"/>
      <c r="I429" s="30">
        <v>0</v>
      </c>
      <c r="J429" s="31"/>
      <c r="K429" s="43"/>
      <c r="L429" s="32" t="e">
        <f>DATE(YEAR(K429),MONTH(K429)+VLOOKUP($F427,'[1]Membership Level'!$A$3:$B$15,2,FALSE),DAY(K429))</f>
        <v>#N/A</v>
      </c>
      <c r="M429" s="36"/>
      <c r="N429" s="34" t="e">
        <f>IF($L429&lt;&gt;0,DATE(YEAR($L429),MONTH($L429)-#REF!,DAY($L429)-$M429),"")</f>
        <v>#N/A</v>
      </c>
      <c r="O429" s="33" t="e">
        <f t="shared" ca="1" si="9"/>
        <v>#N/A</v>
      </c>
      <c r="P429" s="34" t="e">
        <f>I429/H429*VLOOKUP(F427,'[1]Membership Level'!$A$3:$C$15,3,FALSE)+K429</f>
        <v>#DIV/0!</v>
      </c>
      <c r="Q429" s="36"/>
    </row>
    <row r="430" spans="3:17" x14ac:dyDescent="0.25">
      <c r="C430" s="36"/>
      <c r="D430" s="36"/>
      <c r="E430" s="66"/>
      <c r="F430" s="36"/>
      <c r="G430" s="36"/>
      <c r="H430" s="30"/>
      <c r="I430" s="30">
        <v>0</v>
      </c>
      <c r="J430" s="31"/>
      <c r="K430" s="43"/>
      <c r="L430" s="32" t="e">
        <f>DATE(YEAR(K430),MONTH(K430)+VLOOKUP($F428,'[1]Membership Level'!$A$3:$B$15,2,FALSE),DAY(K430))</f>
        <v>#N/A</v>
      </c>
      <c r="M430" s="36"/>
      <c r="N430" s="34" t="e">
        <f>IF($L430&lt;&gt;0,DATE(YEAR($L430),MONTH($L430)-#REF!,DAY($L430)-$M430),"")</f>
        <v>#N/A</v>
      </c>
      <c r="O430" s="33" t="e">
        <f t="shared" ca="1" si="9"/>
        <v>#N/A</v>
      </c>
      <c r="P430" s="34" t="e">
        <f>I430/H430*VLOOKUP(F428,'[1]Membership Level'!$A$3:$C$15,3,FALSE)+K430</f>
        <v>#DIV/0!</v>
      </c>
      <c r="Q430" s="36"/>
    </row>
    <row r="431" spans="3:17" s="22" customFormat="1" x14ac:dyDescent="0.25">
      <c r="C431" s="33"/>
      <c r="D431" s="33"/>
      <c r="E431" s="35"/>
      <c r="F431" s="36"/>
      <c r="G431" s="33"/>
      <c r="H431" s="44"/>
      <c r="I431" s="30">
        <v>0</v>
      </c>
      <c r="J431" s="31"/>
      <c r="K431" s="32"/>
      <c r="L431" s="32" t="e">
        <f>DATE(YEAR(K431),MONTH(K431)+VLOOKUP($F429,'[1]Membership Level'!$A$3:$B$15,2,FALSE),DAY(K431))</f>
        <v>#N/A</v>
      </c>
      <c r="M431" s="36"/>
      <c r="N431" s="34" t="e">
        <f>IF($L431&lt;&gt;0,DATE(YEAR($L431),MONTH($L431)-#REF!,DAY($L431)-$M431),"")</f>
        <v>#N/A</v>
      </c>
      <c r="O431" s="33" t="e">
        <f t="shared" ca="1" si="9"/>
        <v>#N/A</v>
      </c>
      <c r="P431" s="34" t="e">
        <f>I431/H431*VLOOKUP(F429,'[1]Membership Level'!$A$3:$C$15,3,FALSE)+K431</f>
        <v>#DIV/0!</v>
      </c>
      <c r="Q431" s="33"/>
    </row>
    <row r="432" spans="3:17" x14ac:dyDescent="0.25">
      <c r="C432" s="36"/>
      <c r="D432" s="36"/>
      <c r="E432" s="35"/>
      <c r="F432" s="36"/>
      <c r="G432" s="36"/>
      <c r="H432" s="30"/>
      <c r="I432" s="30">
        <v>0</v>
      </c>
      <c r="J432" s="31"/>
      <c r="K432" s="43"/>
      <c r="L432" s="32" t="e">
        <f>DATE(YEAR(K432),MONTH(K432)+VLOOKUP($F430,'[1]Membership Level'!$A$3:$B$15,2,FALSE),DAY(K432))</f>
        <v>#N/A</v>
      </c>
      <c r="M432" s="36"/>
      <c r="N432" s="34" t="e">
        <f>IF($L432&lt;&gt;0,DATE(YEAR($L432),MONTH($L432)-#REF!,DAY($L432)-$M432),"")</f>
        <v>#N/A</v>
      </c>
      <c r="O432" s="33" t="e">
        <f t="shared" ca="1" si="9"/>
        <v>#N/A</v>
      </c>
      <c r="P432" s="34" t="e">
        <f>I432/H432*VLOOKUP(F430,'[1]Membership Level'!$A$3:$C$15,3,FALSE)+K432</f>
        <v>#DIV/0!</v>
      </c>
      <c r="Q432" s="36"/>
    </row>
    <row r="433" spans="3:17" s="26" customFormat="1" x14ac:dyDescent="0.25">
      <c r="C433" s="36"/>
      <c r="D433" s="36"/>
      <c r="E433" s="35"/>
      <c r="F433" s="36"/>
      <c r="G433" s="36"/>
      <c r="H433" s="30"/>
      <c r="I433" s="30">
        <v>0</v>
      </c>
      <c r="J433" s="31"/>
      <c r="K433" s="43"/>
      <c r="L433" s="32" t="e">
        <f>DATE(YEAR(K433),MONTH(K433)+VLOOKUP($F431,'[1]Membership Level'!$A$3:$B$15,2,FALSE),DAY(K433))</f>
        <v>#N/A</v>
      </c>
      <c r="M433" s="36"/>
      <c r="N433" s="34" t="e">
        <f>IF($L433&lt;&gt;0,DATE(YEAR($L433),MONTH($L433)-#REF!,DAY($L433)-$M433),"")</f>
        <v>#N/A</v>
      </c>
      <c r="O433" s="33" t="e">
        <f t="shared" ca="1" si="9"/>
        <v>#N/A</v>
      </c>
      <c r="P433" s="34" t="e">
        <f>I433/H433*VLOOKUP(F431,'[1]Membership Level'!$A$3:$C$15,3,FALSE)+K433</f>
        <v>#DIV/0!</v>
      </c>
      <c r="Q433" s="36"/>
    </row>
    <row r="434" spans="3:17" x14ac:dyDescent="0.25">
      <c r="C434" s="36"/>
      <c r="D434" s="36"/>
      <c r="E434" s="35"/>
      <c r="F434" s="36"/>
      <c r="G434" s="36"/>
      <c r="H434" s="30"/>
      <c r="I434" s="30">
        <v>0</v>
      </c>
      <c r="J434" s="31"/>
      <c r="K434" s="43"/>
      <c r="L434" s="32" t="e">
        <f>DATE(YEAR(K434),MONTH(K434)+VLOOKUP($F432,'[1]Membership Level'!$A$3:$B$15,2,FALSE),DAY(K434))</f>
        <v>#N/A</v>
      </c>
      <c r="M434" s="36"/>
      <c r="N434" s="34" t="e">
        <f>IF($L434&lt;&gt;0,DATE(YEAR($L434),MONTH($L434)-#REF!,DAY($L434)-$M434),"")</f>
        <v>#N/A</v>
      </c>
      <c r="O434" s="33" t="e">
        <f t="shared" ca="1" si="9"/>
        <v>#N/A</v>
      </c>
      <c r="P434" s="34" t="e">
        <f>I434/H434*VLOOKUP(F432,'[1]Membership Level'!$A$3:$C$15,3,FALSE)+K434</f>
        <v>#DIV/0!</v>
      </c>
      <c r="Q434" s="35"/>
    </row>
    <row r="435" spans="3:17" x14ac:dyDescent="0.25">
      <c r="C435" s="36"/>
      <c r="D435" s="36"/>
      <c r="E435" s="35"/>
      <c r="F435" s="36"/>
      <c r="G435" s="36"/>
      <c r="H435" s="30"/>
      <c r="I435" s="30">
        <v>0</v>
      </c>
      <c r="J435" s="31"/>
      <c r="K435" s="43"/>
      <c r="L435" s="32" t="e">
        <f>DATE(YEAR(K435),MONTH(K435)+VLOOKUP($F433,'[1]Membership Level'!$A$3:$B$15,2,FALSE),DAY(K435))</f>
        <v>#N/A</v>
      </c>
      <c r="M435" s="36"/>
      <c r="N435" s="34" t="e">
        <f>IF($L435&lt;&gt;0,DATE(YEAR($L435),MONTH($L435)-#REF!,DAY($L435)-$M435),"")</f>
        <v>#N/A</v>
      </c>
      <c r="O435" s="33" t="e">
        <f t="shared" ca="1" si="9"/>
        <v>#N/A</v>
      </c>
      <c r="P435" s="34" t="e">
        <f>I435/H435*VLOOKUP(F433,'[1]Membership Level'!$A$3:$C$15,3,FALSE)+K435</f>
        <v>#DIV/0!</v>
      </c>
      <c r="Q435" s="36"/>
    </row>
    <row r="436" spans="3:17" x14ac:dyDescent="0.25">
      <c r="C436" s="36"/>
      <c r="D436" s="36"/>
      <c r="E436" s="35"/>
      <c r="F436" s="36"/>
      <c r="G436" s="36"/>
      <c r="H436" s="30"/>
      <c r="I436" s="30">
        <v>0</v>
      </c>
      <c r="J436" s="31"/>
      <c r="K436" s="43"/>
      <c r="L436" s="32" t="e">
        <f>DATE(YEAR(K436),MONTH(K436)+VLOOKUP($F434,'[1]Membership Level'!$A$3:$B$15,2,FALSE),DAY(K436))</f>
        <v>#N/A</v>
      </c>
      <c r="M436" s="36"/>
      <c r="N436" s="34" t="e">
        <f>IF($L436&lt;&gt;0,DATE(YEAR($L436),MONTH($L436)-#REF!,DAY($L436)-$M436),"")</f>
        <v>#N/A</v>
      </c>
      <c r="O436" s="33" t="e">
        <f t="shared" ca="1" si="9"/>
        <v>#N/A</v>
      </c>
      <c r="P436" s="34" t="e">
        <f>I436/H436*VLOOKUP(F434,'[1]Membership Level'!$A$3:$C$15,3,FALSE)+K436</f>
        <v>#DIV/0!</v>
      </c>
      <c r="Q436" s="36"/>
    </row>
    <row r="437" spans="3:17" x14ac:dyDescent="0.25">
      <c r="C437" s="36"/>
      <c r="D437" s="36"/>
      <c r="E437" s="35"/>
      <c r="F437" s="36"/>
      <c r="G437" s="36"/>
      <c r="H437" s="30"/>
      <c r="I437" s="30">
        <v>0</v>
      </c>
      <c r="J437" s="31"/>
      <c r="K437" s="43"/>
      <c r="L437" s="32" t="e">
        <f>DATE(YEAR(K437),MONTH(K437)+VLOOKUP($F435,'[1]Membership Level'!$A$3:$B$15,2,FALSE),DAY(K437))</f>
        <v>#N/A</v>
      </c>
      <c r="M437" s="36"/>
      <c r="N437" s="34" t="e">
        <f>IF($L437&lt;&gt;0,DATE(YEAR($L437),MONTH($L437)-#REF!,DAY($L437)-$M437),"")</f>
        <v>#N/A</v>
      </c>
      <c r="O437" s="33" t="e">
        <f t="shared" ca="1" si="9"/>
        <v>#N/A</v>
      </c>
      <c r="P437" s="34" t="e">
        <f>I437/H437*VLOOKUP(F435,'[1]Membership Level'!$A$3:$C$15,3,FALSE)+K437</f>
        <v>#DIV/0!</v>
      </c>
      <c r="Q437" s="36"/>
    </row>
    <row r="438" spans="3:17" x14ac:dyDescent="0.25">
      <c r="C438" s="36"/>
      <c r="D438" s="36"/>
      <c r="E438" s="35"/>
      <c r="F438" s="36"/>
      <c r="G438" s="36"/>
      <c r="H438" s="30"/>
      <c r="I438" s="30">
        <v>0</v>
      </c>
      <c r="J438" s="31"/>
      <c r="K438" s="43"/>
      <c r="L438" s="32" t="e">
        <f>DATE(YEAR(K438),MONTH(K438)+VLOOKUP($F436,'[1]Membership Level'!$A$3:$B$15,2,FALSE),DAY(K438))</f>
        <v>#N/A</v>
      </c>
      <c r="M438" s="36"/>
      <c r="N438" s="34" t="e">
        <f>IF($L438&lt;&gt;0,DATE(YEAR($L438),MONTH($L438)-#REF!,DAY($L438)-$M438),"")</f>
        <v>#N/A</v>
      </c>
      <c r="O438" s="33" t="e">
        <f t="shared" ca="1" si="9"/>
        <v>#N/A</v>
      </c>
      <c r="P438" s="34" t="e">
        <f>I438/H438*VLOOKUP(F436,'[1]Membership Level'!$A$3:$C$15,3,FALSE)+K438</f>
        <v>#DIV/0!</v>
      </c>
      <c r="Q438" s="36"/>
    </row>
    <row r="439" spans="3:17" x14ac:dyDescent="0.25">
      <c r="C439" s="36"/>
      <c r="D439" s="36"/>
      <c r="E439" s="35"/>
      <c r="F439" s="36"/>
      <c r="G439" s="36"/>
      <c r="H439" s="30"/>
      <c r="I439" s="30">
        <v>0</v>
      </c>
      <c r="J439" s="31"/>
      <c r="K439" s="43"/>
      <c r="L439" s="32" t="e">
        <f>DATE(YEAR(K439),MONTH(K439)+VLOOKUP($F437,'[1]Membership Level'!$A$3:$B$15,2,FALSE),DAY(K439))</f>
        <v>#N/A</v>
      </c>
      <c r="M439" s="36"/>
      <c r="N439" s="34" t="e">
        <f>IF($L439&lt;&gt;0,DATE(YEAR($L439),MONTH($L439)-#REF!,DAY($L439)-$M439),"")</f>
        <v>#N/A</v>
      </c>
      <c r="O439" s="33" t="e">
        <f t="shared" ca="1" si="9"/>
        <v>#N/A</v>
      </c>
      <c r="P439" s="34" t="e">
        <f>I439/H439*VLOOKUP(F437,'[1]Membership Level'!$A$3:$C$15,3,FALSE)+K439</f>
        <v>#DIV/0!</v>
      </c>
      <c r="Q439" s="36"/>
    </row>
    <row r="440" spans="3:17" x14ac:dyDescent="0.25">
      <c r="C440" s="36"/>
      <c r="D440" s="36"/>
      <c r="E440" s="35"/>
      <c r="F440" s="36"/>
      <c r="G440" s="36"/>
      <c r="H440" s="30"/>
      <c r="I440" s="30">
        <v>0</v>
      </c>
      <c r="J440" s="31"/>
      <c r="K440" s="43"/>
      <c r="L440" s="32" t="e">
        <f>DATE(YEAR(K440),MONTH(K440)+VLOOKUP($F438,'[1]Membership Level'!$A$3:$B$15,2,FALSE),DAY(K440))</f>
        <v>#N/A</v>
      </c>
      <c r="M440" s="36"/>
      <c r="N440" s="34" t="e">
        <f>IF($L440&lt;&gt;0,DATE(YEAR($L440),MONTH($L440)-#REF!,DAY($L440)-$M440),"")</f>
        <v>#N/A</v>
      </c>
      <c r="O440" s="33" t="e">
        <f t="shared" ca="1" si="9"/>
        <v>#N/A</v>
      </c>
      <c r="P440" s="34" t="e">
        <f>I440/H440*VLOOKUP(F438,'[1]Membership Level'!$A$3:$C$15,3,FALSE)+K440</f>
        <v>#DIV/0!</v>
      </c>
      <c r="Q440" s="36"/>
    </row>
    <row r="441" spans="3:17" x14ac:dyDescent="0.25">
      <c r="C441" s="36"/>
      <c r="D441" s="36"/>
      <c r="E441" s="35"/>
      <c r="F441" s="36"/>
      <c r="G441" s="36"/>
      <c r="H441" s="30"/>
      <c r="I441" s="30">
        <v>0</v>
      </c>
      <c r="J441" s="31"/>
      <c r="K441" s="43"/>
      <c r="L441" s="32" t="e">
        <f>DATE(YEAR(K441),MONTH(K441)+VLOOKUP($F439,'[1]Membership Level'!$A$3:$B$15,2,FALSE),DAY(K441))</f>
        <v>#N/A</v>
      </c>
      <c r="M441" s="36"/>
      <c r="N441" s="34" t="e">
        <f>IF($L441&lt;&gt;0,DATE(YEAR($L441),MONTH($L441)-#REF!,DAY($L441)-$M441),"")</f>
        <v>#N/A</v>
      </c>
      <c r="O441" s="33" t="e">
        <f t="shared" ca="1" si="9"/>
        <v>#N/A</v>
      </c>
      <c r="P441" s="34" t="e">
        <f>I441/H441*VLOOKUP(F439,'[1]Membership Level'!$A$3:$C$15,3,FALSE)+K441</f>
        <v>#DIV/0!</v>
      </c>
      <c r="Q441" s="36"/>
    </row>
    <row r="442" spans="3:17" x14ac:dyDescent="0.25">
      <c r="C442" s="36"/>
      <c r="D442" s="36"/>
      <c r="E442" s="35"/>
      <c r="F442" s="36"/>
      <c r="G442" s="36"/>
      <c r="H442" s="30"/>
      <c r="I442" s="30">
        <v>0</v>
      </c>
      <c r="J442" s="31"/>
      <c r="K442" s="43"/>
      <c r="L442" s="32" t="e">
        <f>DATE(YEAR(K442),MONTH(K442)+VLOOKUP($F440,'[1]Membership Level'!$A$3:$B$15,2,FALSE),DAY(K442))</f>
        <v>#N/A</v>
      </c>
      <c r="M442" s="36"/>
      <c r="N442" s="34" t="e">
        <f>IF($L442&lt;&gt;0,DATE(YEAR($L442),MONTH($L442)-#REF!,DAY($L442)-$M442),"")</f>
        <v>#N/A</v>
      </c>
      <c r="O442" s="33" t="e">
        <f t="shared" ca="1" si="9"/>
        <v>#N/A</v>
      </c>
      <c r="P442" s="34" t="e">
        <f>I442/H442*VLOOKUP(F440,'[1]Membership Level'!$A$3:$C$15,3,FALSE)+K442</f>
        <v>#DIV/0!</v>
      </c>
      <c r="Q442" s="36"/>
    </row>
    <row r="443" spans="3:17" x14ac:dyDescent="0.25">
      <c r="C443" s="36"/>
      <c r="D443" s="36"/>
      <c r="E443" s="35"/>
      <c r="F443" s="36"/>
      <c r="G443" s="36"/>
      <c r="H443" s="30"/>
      <c r="I443" s="30">
        <v>0</v>
      </c>
      <c r="J443" s="31"/>
      <c r="K443" s="43"/>
      <c r="L443" s="32" t="e">
        <f>DATE(YEAR(K443),MONTH(K443)+VLOOKUP($F441,'[1]Membership Level'!$A$3:$B$15,2,FALSE),DAY(K443))</f>
        <v>#N/A</v>
      </c>
      <c r="M443" s="36"/>
      <c r="N443" s="34" t="e">
        <f>IF($L443&lt;&gt;0,DATE(YEAR($L443),MONTH($L443)-#REF!,DAY($L443)-$M443),"")</f>
        <v>#N/A</v>
      </c>
      <c r="O443" s="33" t="e">
        <f t="shared" ca="1" si="9"/>
        <v>#N/A</v>
      </c>
      <c r="P443" s="34" t="e">
        <f>I443/H443*VLOOKUP(F441,'[1]Membership Level'!$A$3:$C$15,3,FALSE)+K443</f>
        <v>#DIV/0!</v>
      </c>
      <c r="Q443" s="36"/>
    </row>
    <row r="444" spans="3:17" x14ac:dyDescent="0.25">
      <c r="C444" s="36"/>
      <c r="D444" s="36"/>
      <c r="E444" s="66"/>
      <c r="F444" s="36"/>
      <c r="G444" s="36"/>
      <c r="H444" s="30"/>
      <c r="I444" s="30">
        <v>0</v>
      </c>
      <c r="J444" s="31"/>
      <c r="K444" s="43"/>
      <c r="L444" s="32" t="e">
        <f>DATE(YEAR(K444),MONTH(K444)+VLOOKUP($F442,'[1]Membership Level'!$A$3:$B$15,2,FALSE),DAY(K444))</f>
        <v>#N/A</v>
      </c>
      <c r="M444" s="36"/>
      <c r="N444" s="34" t="e">
        <f>IF($L444&lt;&gt;0,DATE(YEAR($L444),MONTH($L444)-#REF!,DAY($L444)-$M444),"")</f>
        <v>#N/A</v>
      </c>
      <c r="O444" s="33" t="e">
        <f t="shared" ca="1" si="9"/>
        <v>#N/A</v>
      </c>
      <c r="P444" s="34" t="e">
        <f>I444/H444*VLOOKUP(F442,'[1]Membership Level'!$A$3:$C$15,3,FALSE)+K444</f>
        <v>#DIV/0!</v>
      </c>
      <c r="Q444" s="36"/>
    </row>
    <row r="445" spans="3:17" x14ac:dyDescent="0.25">
      <c r="C445" s="36"/>
      <c r="D445" s="36"/>
      <c r="E445" s="35"/>
      <c r="F445" s="36"/>
      <c r="G445" s="36"/>
      <c r="H445" s="30"/>
      <c r="I445" s="30">
        <v>0</v>
      </c>
      <c r="J445" s="31"/>
      <c r="K445" s="43"/>
      <c r="L445" s="32" t="e">
        <f>DATE(YEAR(K445),MONTH(K445)+VLOOKUP($F443,'[1]Membership Level'!$A$3:$B$15,2,FALSE),DAY(K445))</f>
        <v>#N/A</v>
      </c>
      <c r="M445" s="36"/>
      <c r="N445" s="34" t="e">
        <f>IF($L445&lt;&gt;0,DATE(YEAR($L445),MONTH($L445)-#REF!,DAY($L445)-$M445),"")</f>
        <v>#N/A</v>
      </c>
      <c r="O445" s="33" t="e">
        <f t="shared" ref="O445:O508" ca="1" si="10">IF(DAYS360(NOW(), $L445) &gt;= 0, DAYS360(NOW(), $L445), "")</f>
        <v>#N/A</v>
      </c>
      <c r="P445" s="34" t="e">
        <f>I445/H445*VLOOKUP(F443,'[1]Membership Level'!$A$3:$C$15,3,FALSE)+K445</f>
        <v>#DIV/0!</v>
      </c>
      <c r="Q445" s="36"/>
    </row>
    <row r="446" spans="3:17" x14ac:dyDescent="0.25">
      <c r="C446" s="36"/>
      <c r="D446" s="36"/>
      <c r="E446" s="35"/>
      <c r="F446" s="36"/>
      <c r="G446" s="36"/>
      <c r="H446" s="30"/>
      <c r="I446" s="30">
        <v>0</v>
      </c>
      <c r="J446" s="31"/>
      <c r="K446" s="43"/>
      <c r="L446" s="32" t="e">
        <f>DATE(YEAR(K446),MONTH(K446)+VLOOKUP($F444,'[1]Membership Level'!$A$3:$B$15,2,FALSE),DAY(K446))</f>
        <v>#N/A</v>
      </c>
      <c r="M446" s="36"/>
      <c r="N446" s="34" t="e">
        <f>IF($L446&lt;&gt;0,DATE(YEAR($L446),MONTH($L446)-#REF!,DAY($L446)-$M446),"")</f>
        <v>#N/A</v>
      </c>
      <c r="O446" s="33" t="e">
        <f t="shared" ca="1" si="10"/>
        <v>#N/A</v>
      </c>
      <c r="P446" s="34" t="e">
        <f>I446/H446*VLOOKUP(F444,'[1]Membership Level'!$A$3:$C$15,3,FALSE)+K446</f>
        <v>#DIV/0!</v>
      </c>
      <c r="Q446" s="36"/>
    </row>
    <row r="447" spans="3:17" x14ac:dyDescent="0.25">
      <c r="C447" s="36"/>
      <c r="D447" s="36"/>
      <c r="E447" s="35"/>
      <c r="F447" s="36"/>
      <c r="G447" s="36"/>
      <c r="H447" s="30"/>
      <c r="I447" s="30">
        <v>0</v>
      </c>
      <c r="J447" s="31"/>
      <c r="K447" s="43"/>
      <c r="L447" s="32" t="e">
        <f>DATE(YEAR(K447),MONTH(K447)+VLOOKUP($F445,'[1]Membership Level'!$A$3:$B$15,2,FALSE),DAY(K447))</f>
        <v>#N/A</v>
      </c>
      <c r="M447" s="36"/>
      <c r="N447" s="34" t="e">
        <f>IF($L447&lt;&gt;0,DATE(YEAR($L447),MONTH($L447)-#REF!,DAY($L447)-$M447),"")</f>
        <v>#N/A</v>
      </c>
      <c r="O447" s="33" t="e">
        <f t="shared" ca="1" si="10"/>
        <v>#N/A</v>
      </c>
      <c r="P447" s="34" t="e">
        <f>I447/H447*VLOOKUP(F445,'[1]Membership Level'!$A$3:$C$15,3,FALSE)+K447</f>
        <v>#DIV/0!</v>
      </c>
      <c r="Q447" s="36"/>
    </row>
    <row r="448" spans="3:17" x14ac:dyDescent="0.25">
      <c r="C448" s="36"/>
      <c r="D448" s="36"/>
      <c r="E448" s="35"/>
      <c r="F448" s="36"/>
      <c r="G448" s="36"/>
      <c r="H448" s="30"/>
      <c r="I448" s="30">
        <v>0</v>
      </c>
      <c r="J448" s="31"/>
      <c r="K448" s="43"/>
      <c r="L448" s="32" t="e">
        <f>DATE(YEAR(K448),MONTH(K448)+VLOOKUP($F446,'[1]Membership Level'!$A$3:$B$15,2,FALSE),DAY(K448))</f>
        <v>#N/A</v>
      </c>
      <c r="M448" s="36"/>
      <c r="N448" s="34" t="e">
        <f>IF($L448&lt;&gt;0,DATE(YEAR($L448),MONTH($L448)-#REF!,DAY($L448)-$M448),"")</f>
        <v>#N/A</v>
      </c>
      <c r="O448" s="33" t="e">
        <f t="shared" ca="1" si="10"/>
        <v>#N/A</v>
      </c>
      <c r="P448" s="34" t="e">
        <f>I448/H448*VLOOKUP(F446,'[1]Membership Level'!$A$3:$C$15,3,FALSE)+K448</f>
        <v>#DIV/0!</v>
      </c>
      <c r="Q448" s="36"/>
    </row>
    <row r="449" spans="3:17" x14ac:dyDescent="0.25">
      <c r="C449" s="36"/>
      <c r="D449" s="36"/>
      <c r="E449" s="35"/>
      <c r="F449" s="36"/>
      <c r="G449" s="36"/>
      <c r="H449" s="30"/>
      <c r="I449" s="30">
        <v>0</v>
      </c>
      <c r="J449" s="31"/>
      <c r="K449" s="43"/>
      <c r="L449" s="32" t="e">
        <f>DATE(YEAR(K449),MONTH(K449)+VLOOKUP($F447,'[1]Membership Level'!$A$3:$B$15,2,FALSE),DAY(K449))</f>
        <v>#N/A</v>
      </c>
      <c r="M449" s="36"/>
      <c r="N449" s="34" t="e">
        <f>IF($L449&lt;&gt;0,DATE(YEAR($L449),MONTH($L449)-#REF!,DAY($L449)-$M449),"")</f>
        <v>#N/A</v>
      </c>
      <c r="O449" s="33" t="e">
        <f t="shared" ca="1" si="10"/>
        <v>#N/A</v>
      </c>
      <c r="P449" s="34" t="e">
        <f>I449/H449*VLOOKUP(F447,'[1]Membership Level'!$A$3:$C$15,3,FALSE)+K449</f>
        <v>#DIV/0!</v>
      </c>
      <c r="Q449" s="36"/>
    </row>
    <row r="450" spans="3:17" x14ac:dyDescent="0.25">
      <c r="C450" s="36"/>
      <c r="D450" s="36"/>
      <c r="E450" s="35"/>
      <c r="F450" s="36"/>
      <c r="G450" s="36"/>
      <c r="H450" s="30"/>
      <c r="I450" s="30">
        <v>0</v>
      </c>
      <c r="J450" s="31"/>
      <c r="K450" s="43"/>
      <c r="L450" s="32" t="e">
        <f>DATE(YEAR(K450),MONTH(K450)+VLOOKUP($F448,'[1]Membership Level'!$A$3:$B$15,2,FALSE),DAY(K450))</f>
        <v>#N/A</v>
      </c>
      <c r="M450" s="36"/>
      <c r="N450" s="34" t="e">
        <f>IF($L450&lt;&gt;0,DATE(YEAR($L450),MONTH($L450)-#REF!,DAY($L450)-$M450),"")</f>
        <v>#N/A</v>
      </c>
      <c r="O450" s="33" t="e">
        <f t="shared" ca="1" si="10"/>
        <v>#N/A</v>
      </c>
      <c r="P450" s="34" t="e">
        <f>I450/H450*VLOOKUP(F448,'[1]Membership Level'!$A$3:$C$15,3,FALSE)+K450</f>
        <v>#DIV/0!</v>
      </c>
      <c r="Q450" s="36"/>
    </row>
    <row r="451" spans="3:17" x14ac:dyDescent="0.25">
      <c r="C451" s="36"/>
      <c r="D451" s="36"/>
      <c r="E451" s="35"/>
      <c r="F451" s="36"/>
      <c r="G451" s="36"/>
      <c r="H451" s="30"/>
      <c r="I451" s="30">
        <v>0</v>
      </c>
      <c r="J451" s="31"/>
      <c r="K451" s="43"/>
      <c r="L451" s="32" t="e">
        <f>DATE(YEAR(K451),MONTH(K451)+VLOOKUP($F449,'[1]Membership Level'!$A$3:$B$15,2,FALSE),DAY(K451))</f>
        <v>#N/A</v>
      </c>
      <c r="M451" s="36"/>
      <c r="N451" s="34" t="e">
        <f>IF($L451&lt;&gt;0,DATE(YEAR($L451),MONTH($L451)-#REF!,DAY($L451)-$M451),"")</f>
        <v>#N/A</v>
      </c>
      <c r="O451" s="33" t="e">
        <f t="shared" ca="1" si="10"/>
        <v>#N/A</v>
      </c>
      <c r="P451" s="34" t="e">
        <f>I451/H451*VLOOKUP(F449,'[1]Membership Level'!$A$3:$C$15,3,FALSE)+K451</f>
        <v>#DIV/0!</v>
      </c>
      <c r="Q451" s="36"/>
    </row>
    <row r="452" spans="3:17" x14ac:dyDescent="0.25">
      <c r="C452" s="36"/>
      <c r="D452" s="36"/>
      <c r="E452" s="35"/>
      <c r="F452" s="36"/>
      <c r="G452" s="36"/>
      <c r="H452" s="30"/>
      <c r="I452" s="30">
        <v>0</v>
      </c>
      <c r="J452" s="31"/>
      <c r="K452" s="43"/>
      <c r="L452" s="32" t="e">
        <f>DATE(YEAR(K452),MONTH(K452)+VLOOKUP($F450,'[1]Membership Level'!$A$3:$B$15,2,FALSE),DAY(K452))</f>
        <v>#N/A</v>
      </c>
      <c r="M452" s="36"/>
      <c r="N452" s="34" t="e">
        <f>IF($L452&lt;&gt;0,DATE(YEAR($L452),MONTH($L452)-#REF!,DAY($L452)-$M452),"")</f>
        <v>#N/A</v>
      </c>
      <c r="O452" s="33" t="e">
        <f t="shared" ca="1" si="10"/>
        <v>#N/A</v>
      </c>
      <c r="P452" s="34" t="e">
        <f>I452/H452*VLOOKUP(F450,'[1]Membership Level'!$A$3:$C$15,3,FALSE)+K452</f>
        <v>#DIV/0!</v>
      </c>
      <c r="Q452" s="36"/>
    </row>
    <row r="453" spans="3:17" x14ac:dyDescent="0.25">
      <c r="C453" s="36"/>
      <c r="D453" s="36"/>
      <c r="E453" s="35"/>
      <c r="F453" s="36"/>
      <c r="G453" s="36"/>
      <c r="H453" s="30"/>
      <c r="I453" s="30">
        <v>0</v>
      </c>
      <c r="J453" s="31"/>
      <c r="K453" s="43"/>
      <c r="L453" s="32" t="e">
        <f>DATE(YEAR(K453),MONTH(K453)+VLOOKUP($F451,'[1]Membership Level'!$A$3:$B$15,2,FALSE),DAY(K453))</f>
        <v>#N/A</v>
      </c>
      <c r="M453" s="36"/>
      <c r="N453" s="34" t="e">
        <f>IF($L453&lt;&gt;0,DATE(YEAR($L453),MONTH($L453)-#REF!,DAY($L453)-$M453),"")</f>
        <v>#N/A</v>
      </c>
      <c r="O453" s="33" t="e">
        <f t="shared" ca="1" si="10"/>
        <v>#N/A</v>
      </c>
      <c r="P453" s="34" t="e">
        <f>I453/H453*VLOOKUP(F451,'[1]Membership Level'!$A$3:$C$15,3,FALSE)+K453</f>
        <v>#DIV/0!</v>
      </c>
      <c r="Q453" s="36"/>
    </row>
    <row r="454" spans="3:17" x14ac:dyDescent="0.25">
      <c r="C454" s="36"/>
      <c r="D454" s="36"/>
      <c r="E454" s="35"/>
      <c r="F454" s="36"/>
      <c r="G454" s="36"/>
      <c r="H454" s="30"/>
      <c r="I454" s="30">
        <v>0</v>
      </c>
      <c r="J454" s="31"/>
      <c r="K454" s="43"/>
      <c r="L454" s="32" t="e">
        <f>DATE(YEAR(K454),MONTH(K454)+VLOOKUP($F452,'[1]Membership Level'!$A$3:$B$15,2,FALSE),DAY(K454))</f>
        <v>#N/A</v>
      </c>
      <c r="M454" s="36"/>
      <c r="N454" s="34" t="e">
        <f>IF($L454&lt;&gt;0,DATE(YEAR($L454),MONTH($L454)-#REF!,DAY($L454)-$M454),"")</f>
        <v>#N/A</v>
      </c>
      <c r="O454" s="33" t="e">
        <f t="shared" ca="1" si="10"/>
        <v>#N/A</v>
      </c>
      <c r="P454" s="34" t="e">
        <f>I454/H454*VLOOKUP(F452,'[1]Membership Level'!$A$3:$C$15,3,FALSE)+K454</f>
        <v>#DIV/0!</v>
      </c>
      <c r="Q454" s="36"/>
    </row>
    <row r="455" spans="3:17" x14ac:dyDescent="0.25">
      <c r="C455" s="36"/>
      <c r="D455" s="36"/>
      <c r="E455" s="35"/>
      <c r="F455" s="36"/>
      <c r="G455" s="36"/>
      <c r="H455" s="30"/>
      <c r="I455" s="30"/>
      <c r="J455" s="31"/>
      <c r="K455" s="43"/>
      <c r="L455" s="32" t="e">
        <f>DATE(YEAR(K455),MONTH(K455)+VLOOKUP($F453,'[1]Membership Level'!$A$3:$B$15,2,FALSE),DAY(K455))</f>
        <v>#N/A</v>
      </c>
      <c r="M455" s="36"/>
      <c r="N455" s="34" t="e">
        <f>IF($L455&lt;&gt;0,DATE(YEAR($L455),MONTH($L455)-#REF!,DAY($L455)-$M455),"")</f>
        <v>#N/A</v>
      </c>
      <c r="O455" s="33" t="e">
        <f t="shared" ca="1" si="10"/>
        <v>#N/A</v>
      </c>
      <c r="P455" s="34" t="e">
        <f>I455/H455*VLOOKUP(F453,'[1]Membership Level'!$A$3:$C$15,3,FALSE)+K455</f>
        <v>#DIV/0!</v>
      </c>
      <c r="Q455" s="36"/>
    </row>
    <row r="456" spans="3:17" x14ac:dyDescent="0.25">
      <c r="C456" s="36"/>
      <c r="D456" s="36"/>
      <c r="E456" s="35"/>
      <c r="F456" s="36"/>
      <c r="G456" s="36"/>
      <c r="H456" s="30"/>
      <c r="I456" s="30"/>
      <c r="J456" s="31"/>
      <c r="K456" s="43"/>
      <c r="L456" s="32" t="e">
        <f>DATE(YEAR(K456),MONTH(K456)+VLOOKUP($F454,'[1]Membership Level'!$A$3:$B$15,2,FALSE),DAY(K456))</f>
        <v>#N/A</v>
      </c>
      <c r="M456" s="36"/>
      <c r="N456" s="34" t="e">
        <f>IF($L456&lt;&gt;0,DATE(YEAR($L456),MONTH($L456)-#REF!,DAY($L456)-$M456),"")</f>
        <v>#N/A</v>
      </c>
      <c r="O456" s="33" t="e">
        <f t="shared" ca="1" si="10"/>
        <v>#N/A</v>
      </c>
      <c r="P456" s="34" t="e">
        <f>I456/H456*VLOOKUP(F454,'[1]Membership Level'!$A$3:$C$15,3,FALSE)+K456</f>
        <v>#DIV/0!</v>
      </c>
      <c r="Q456" s="36"/>
    </row>
    <row r="457" spans="3:17" x14ac:dyDescent="0.25">
      <c r="C457" s="36"/>
      <c r="D457" s="36"/>
      <c r="E457" s="35"/>
      <c r="F457" s="36"/>
      <c r="G457" s="36"/>
      <c r="H457" s="30"/>
      <c r="I457" s="30"/>
      <c r="J457" s="31"/>
      <c r="K457" s="43"/>
      <c r="L457" s="32" t="e">
        <f>DATE(YEAR(K457),MONTH(K457)+VLOOKUP($F455,'[1]Membership Level'!$A$3:$B$15,2,FALSE),DAY(K457))</f>
        <v>#N/A</v>
      </c>
      <c r="M457" s="36"/>
      <c r="N457" s="34" t="e">
        <f>IF($L457&lt;&gt;0,DATE(YEAR($L457),MONTH($L457)-#REF!,DAY($L457)-$M457),"")</f>
        <v>#N/A</v>
      </c>
      <c r="O457" s="33" t="e">
        <f t="shared" ca="1" si="10"/>
        <v>#N/A</v>
      </c>
      <c r="P457" s="34" t="e">
        <f>I457/H457*VLOOKUP(F455,'[1]Membership Level'!$A$3:$C$15,3,FALSE)+K457</f>
        <v>#DIV/0!</v>
      </c>
      <c r="Q457" s="36"/>
    </row>
    <row r="458" spans="3:17" x14ac:dyDescent="0.25">
      <c r="C458" s="36"/>
      <c r="D458" s="36"/>
      <c r="E458" s="35"/>
      <c r="F458" s="36"/>
      <c r="G458" s="36"/>
      <c r="H458" s="30"/>
      <c r="I458" s="30"/>
      <c r="J458" s="31"/>
      <c r="K458" s="43"/>
      <c r="L458" s="32" t="e">
        <f>DATE(YEAR(K458),MONTH(K458)+VLOOKUP($F456,'[1]Membership Level'!$A$3:$B$15,2,FALSE),DAY(K458))</f>
        <v>#N/A</v>
      </c>
      <c r="M458" s="36"/>
      <c r="N458" s="34" t="e">
        <f>IF($L458&lt;&gt;0,DATE(YEAR($L458),MONTH($L458)-#REF!,DAY($L458)-$M458),"")</f>
        <v>#N/A</v>
      </c>
      <c r="O458" s="33" t="e">
        <f t="shared" ca="1" si="10"/>
        <v>#N/A</v>
      </c>
      <c r="P458" s="34" t="e">
        <f>I458/H458*VLOOKUP(F456,'[1]Membership Level'!$A$3:$C$15,3,FALSE)+K458</f>
        <v>#DIV/0!</v>
      </c>
      <c r="Q458" s="35"/>
    </row>
    <row r="459" spans="3:17" x14ac:dyDescent="0.25">
      <c r="C459" s="36"/>
      <c r="D459" s="36"/>
      <c r="E459" s="35"/>
      <c r="F459" s="36"/>
      <c r="G459" s="36"/>
      <c r="H459" s="30"/>
      <c r="I459" s="30"/>
      <c r="J459" s="31"/>
      <c r="K459" s="43"/>
      <c r="L459" s="32" t="e">
        <f>DATE(YEAR(K459),MONTH(K459)+VLOOKUP($F457,'[1]Membership Level'!$A$3:$B$15,2,FALSE),DAY(K459))</f>
        <v>#N/A</v>
      </c>
      <c r="M459" s="36"/>
      <c r="N459" s="34" t="e">
        <f>IF($L459&lt;&gt;0,DATE(YEAR($L459),MONTH($L459)-#REF!,DAY($L459)-$M459),"")</f>
        <v>#N/A</v>
      </c>
      <c r="O459" s="33" t="e">
        <f t="shared" ca="1" si="10"/>
        <v>#N/A</v>
      </c>
      <c r="P459" s="34" t="e">
        <f>I459/H459*VLOOKUP(F457,'[1]Membership Level'!$A$3:$C$15,3,FALSE)+K459</f>
        <v>#DIV/0!</v>
      </c>
      <c r="Q459" s="36"/>
    </row>
    <row r="460" spans="3:17" x14ac:dyDescent="0.25">
      <c r="C460" s="36"/>
      <c r="D460" s="36"/>
      <c r="E460" s="35"/>
      <c r="F460" s="36"/>
      <c r="G460" s="36"/>
      <c r="H460" s="30"/>
      <c r="I460" s="30"/>
      <c r="J460" s="31"/>
      <c r="K460" s="43"/>
      <c r="L460" s="32" t="e">
        <f>DATE(YEAR(K460),MONTH(K460)+VLOOKUP($F458,'[1]Membership Level'!$A$3:$B$15,2,FALSE),DAY(K460))</f>
        <v>#N/A</v>
      </c>
      <c r="M460" s="36"/>
      <c r="N460" s="34" t="e">
        <f>IF($L460&lt;&gt;0,DATE(YEAR($L460),MONTH($L460)-#REF!,DAY($L460)-$M460),"")</f>
        <v>#N/A</v>
      </c>
      <c r="O460" s="33" t="e">
        <f t="shared" ca="1" si="10"/>
        <v>#N/A</v>
      </c>
      <c r="P460" s="34" t="e">
        <f>I460/H460*VLOOKUP(F458,'[1]Membership Level'!$A$3:$C$15,3,FALSE)+K460</f>
        <v>#DIV/0!</v>
      </c>
      <c r="Q460" s="36"/>
    </row>
    <row r="461" spans="3:17" x14ac:dyDescent="0.25">
      <c r="C461" s="36"/>
      <c r="D461" s="36"/>
      <c r="E461" s="35"/>
      <c r="F461" s="36"/>
      <c r="G461" s="36"/>
      <c r="H461" s="30"/>
      <c r="I461" s="30"/>
      <c r="J461" s="31"/>
      <c r="K461" s="43"/>
      <c r="L461" s="32" t="e">
        <f>DATE(YEAR(K461),MONTH(K461)+VLOOKUP($F459,'[1]Membership Level'!$A$3:$B$15,2,FALSE),DAY(K461))</f>
        <v>#N/A</v>
      </c>
      <c r="M461" s="36"/>
      <c r="N461" s="34" t="e">
        <f>IF($L461&lt;&gt;0,DATE(YEAR($L461),MONTH($L461)-#REF!,DAY($L461)-$M461),"")</f>
        <v>#N/A</v>
      </c>
      <c r="O461" s="33" t="e">
        <f t="shared" ca="1" si="10"/>
        <v>#N/A</v>
      </c>
      <c r="P461" s="34" t="e">
        <f>I461/H461*VLOOKUP(F459,'[1]Membership Level'!$A$3:$C$15,3,FALSE)+K461</f>
        <v>#DIV/0!</v>
      </c>
      <c r="Q461" s="36"/>
    </row>
    <row r="462" spans="3:17" x14ac:dyDescent="0.25">
      <c r="C462" s="36"/>
      <c r="D462" s="36"/>
      <c r="E462" s="35"/>
      <c r="F462" s="36"/>
      <c r="G462" s="36"/>
      <c r="H462" s="30"/>
      <c r="I462" s="30"/>
      <c r="J462" s="31"/>
      <c r="K462" s="43"/>
      <c r="L462" s="32" t="e">
        <f>DATE(YEAR(K462),MONTH(K462)+VLOOKUP($F460,'[1]Membership Level'!$A$3:$B$15,2,FALSE),DAY(K462))</f>
        <v>#N/A</v>
      </c>
      <c r="M462" s="36"/>
      <c r="N462" s="34" t="e">
        <f>IF($L462&lt;&gt;0,DATE(YEAR($L462),MONTH($L462)-#REF!,DAY($L462)-$M462),"")</f>
        <v>#N/A</v>
      </c>
      <c r="O462" s="33" t="e">
        <f t="shared" ca="1" si="10"/>
        <v>#N/A</v>
      </c>
      <c r="P462" s="34" t="e">
        <f>I462/H462*VLOOKUP(F460,'[1]Membership Level'!$A$3:$C$15,3,FALSE)+K462</f>
        <v>#DIV/0!</v>
      </c>
      <c r="Q462" s="36"/>
    </row>
    <row r="463" spans="3:17" x14ac:dyDescent="0.25">
      <c r="C463" s="36"/>
      <c r="D463" s="36"/>
      <c r="E463" s="35"/>
      <c r="F463" s="36"/>
      <c r="G463" s="36"/>
      <c r="H463" s="30"/>
      <c r="I463" s="30"/>
      <c r="J463" s="31"/>
      <c r="K463" s="43"/>
      <c r="L463" s="32" t="e">
        <f>DATE(YEAR(K463),MONTH(K463)+VLOOKUP($F461,'[1]Membership Level'!$A$3:$B$15,2,FALSE),DAY(K463))</f>
        <v>#N/A</v>
      </c>
      <c r="M463" s="36"/>
      <c r="N463" s="34" t="e">
        <f>IF($L463&lt;&gt;0,DATE(YEAR($L463),MONTH($L463)-#REF!,DAY($L463)-$M463),"")</f>
        <v>#N/A</v>
      </c>
      <c r="O463" s="33" t="e">
        <f t="shared" ca="1" si="10"/>
        <v>#N/A</v>
      </c>
      <c r="P463" s="34" t="e">
        <f>I463/H463*VLOOKUP(F461,'[1]Membership Level'!$A$3:$C$15,3,FALSE)+K463</f>
        <v>#DIV/0!</v>
      </c>
      <c r="Q463" s="36"/>
    </row>
    <row r="464" spans="3:17" x14ac:dyDescent="0.25">
      <c r="C464" s="36"/>
      <c r="D464" s="36"/>
      <c r="E464" s="36"/>
      <c r="F464" s="36"/>
      <c r="G464" s="36"/>
      <c r="H464" s="30"/>
      <c r="I464" s="30"/>
      <c r="J464" s="31"/>
      <c r="K464" s="43"/>
      <c r="L464" s="32" t="e">
        <f>DATE(YEAR(K464),MONTH(K464)+VLOOKUP($F462,'[1]Membership Level'!$A$3:$B$15,2,FALSE),DAY(K464))</f>
        <v>#N/A</v>
      </c>
      <c r="M464" s="36"/>
      <c r="N464" s="34" t="e">
        <f>IF($L464&lt;&gt;0,DATE(YEAR($L464),MONTH($L464)-#REF!,DAY($L464)-$M464),"")</f>
        <v>#N/A</v>
      </c>
      <c r="O464" s="33" t="e">
        <f t="shared" ca="1" si="10"/>
        <v>#N/A</v>
      </c>
      <c r="P464" s="34" t="e">
        <f>I464/H464*VLOOKUP(F462,'[1]Membership Level'!$A$3:$C$15,3,FALSE)+K464</f>
        <v>#DIV/0!</v>
      </c>
      <c r="Q464" s="36"/>
    </row>
    <row r="465" spans="3:17" x14ac:dyDescent="0.25">
      <c r="C465" s="36"/>
      <c r="D465" s="36"/>
      <c r="E465" s="36"/>
      <c r="F465" s="36"/>
      <c r="G465" s="36"/>
      <c r="H465" s="30"/>
      <c r="I465" s="30"/>
      <c r="J465" s="31"/>
      <c r="K465" s="43"/>
      <c r="L465" s="32" t="e">
        <f>DATE(YEAR(K465),MONTH(K465)+VLOOKUP($F463,'[1]Membership Level'!$A$3:$B$15,2,FALSE),DAY(K465))</f>
        <v>#N/A</v>
      </c>
      <c r="M465" s="36"/>
      <c r="N465" s="34" t="e">
        <f>IF($L465&lt;&gt;0,DATE(YEAR($L465),MONTH($L465)-#REF!,DAY($L465)-$M465),"")</f>
        <v>#N/A</v>
      </c>
      <c r="O465" s="33" t="e">
        <f t="shared" ca="1" si="10"/>
        <v>#N/A</v>
      </c>
      <c r="P465" s="34" t="e">
        <f>I465/H465*VLOOKUP(F463,'[1]Membership Level'!$A$3:$C$15,3,FALSE)+K465</f>
        <v>#DIV/0!</v>
      </c>
      <c r="Q465" s="36"/>
    </row>
    <row r="466" spans="3:17" x14ac:dyDescent="0.25">
      <c r="C466" s="36"/>
      <c r="D466" s="36"/>
      <c r="E466" s="35"/>
      <c r="F466" s="36"/>
      <c r="G466" s="36"/>
      <c r="H466" s="30"/>
      <c r="I466" s="30"/>
      <c r="J466" s="31"/>
      <c r="K466" s="43"/>
      <c r="L466" s="32" t="e">
        <f>DATE(YEAR(K466),MONTH(K466)+VLOOKUP($F464,'[1]Membership Level'!$A$3:$B$15,2,FALSE),DAY(K466))</f>
        <v>#N/A</v>
      </c>
      <c r="M466" s="36"/>
      <c r="N466" s="34" t="e">
        <f>IF($L466&lt;&gt;0,DATE(YEAR($L466),MONTH($L466)-#REF!,DAY($L466)-$M466),"")</f>
        <v>#N/A</v>
      </c>
      <c r="O466" s="33" t="e">
        <f t="shared" ca="1" si="10"/>
        <v>#N/A</v>
      </c>
      <c r="P466" s="34" t="e">
        <f>I466/H466*VLOOKUP(F464,'[1]Membership Level'!$A$3:$C$15,3,FALSE)+K466</f>
        <v>#DIV/0!</v>
      </c>
      <c r="Q466" s="36"/>
    </row>
    <row r="467" spans="3:17" x14ac:dyDescent="0.25">
      <c r="C467" s="36"/>
      <c r="D467" s="36"/>
      <c r="E467" s="35"/>
      <c r="F467" s="36"/>
      <c r="G467" s="36"/>
      <c r="H467" s="30"/>
      <c r="I467" s="30"/>
      <c r="J467" s="31"/>
      <c r="K467" s="43"/>
      <c r="L467" s="32" t="e">
        <f>DATE(YEAR(K467),MONTH(K467)+VLOOKUP($F465,'[1]Membership Level'!$A$3:$B$15,2,FALSE),DAY(K467))</f>
        <v>#N/A</v>
      </c>
      <c r="M467" s="36"/>
      <c r="N467" s="34" t="e">
        <f>IF($L467&lt;&gt;0,DATE(YEAR($L467),MONTH($L467)-#REF!,DAY($L467)-$M467),"")</f>
        <v>#N/A</v>
      </c>
      <c r="O467" s="33" t="e">
        <f t="shared" ca="1" si="10"/>
        <v>#N/A</v>
      </c>
      <c r="P467" s="34" t="e">
        <f>I467/H467*VLOOKUP(F465,'[1]Membership Level'!$A$3:$C$15,3,FALSE)+K467</f>
        <v>#DIV/0!</v>
      </c>
      <c r="Q467" s="36"/>
    </row>
    <row r="468" spans="3:17" x14ac:dyDescent="0.25">
      <c r="C468" s="36"/>
      <c r="D468" s="36"/>
      <c r="E468" s="35"/>
      <c r="F468" s="36"/>
      <c r="G468" s="36"/>
      <c r="H468" s="30"/>
      <c r="I468" s="30"/>
      <c r="J468" s="31"/>
      <c r="K468" s="43"/>
      <c r="L468" s="32" t="e">
        <f>DATE(YEAR(K468),MONTH(K468)+VLOOKUP($F466,'[1]Membership Level'!$A$3:$B$15,2,FALSE),DAY(K468))</f>
        <v>#N/A</v>
      </c>
      <c r="M468" s="36"/>
      <c r="N468" s="34" t="e">
        <f>IF($L468&lt;&gt;0,DATE(YEAR($L468),MONTH($L468)-#REF!,DAY($L468)-$M468),"")</f>
        <v>#N/A</v>
      </c>
      <c r="O468" s="33" t="e">
        <f t="shared" ca="1" si="10"/>
        <v>#N/A</v>
      </c>
      <c r="P468" s="34" t="e">
        <f>I468/H468*VLOOKUP(F466,'[1]Membership Level'!$A$3:$C$15,3,FALSE)+K468</f>
        <v>#DIV/0!</v>
      </c>
      <c r="Q468" s="36"/>
    </row>
    <row r="469" spans="3:17" x14ac:dyDescent="0.25">
      <c r="C469" s="36"/>
      <c r="D469" s="36"/>
      <c r="E469" s="35"/>
      <c r="F469" s="36"/>
      <c r="G469" s="36"/>
      <c r="H469" s="30"/>
      <c r="I469" s="30"/>
      <c r="J469" s="31"/>
      <c r="K469" s="43"/>
      <c r="L469" s="32" t="e">
        <f>DATE(YEAR(K469),MONTH(K469)+VLOOKUP($F467,'[1]Membership Level'!$A$3:$B$15,2,FALSE),DAY(K469))</f>
        <v>#N/A</v>
      </c>
      <c r="M469" s="36"/>
      <c r="N469" s="34" t="e">
        <f>IF($L469&lt;&gt;0,DATE(YEAR($L469),MONTH($L469)-#REF!,DAY($L469)-$M469),"")</f>
        <v>#N/A</v>
      </c>
      <c r="O469" s="33" t="e">
        <f t="shared" ca="1" si="10"/>
        <v>#N/A</v>
      </c>
      <c r="P469" s="34" t="e">
        <f>I469/H469*VLOOKUP(F467,'[1]Membership Level'!$A$3:$C$15,3,FALSE)+K469</f>
        <v>#DIV/0!</v>
      </c>
      <c r="Q469" s="36"/>
    </row>
    <row r="470" spans="3:17" x14ac:dyDescent="0.25">
      <c r="C470" s="36"/>
      <c r="D470" s="36"/>
      <c r="E470" s="35"/>
      <c r="F470" s="36"/>
      <c r="G470" s="36"/>
      <c r="H470" s="30"/>
      <c r="I470" s="30"/>
      <c r="J470" s="31"/>
      <c r="K470" s="43"/>
      <c r="L470" s="32" t="e">
        <f>DATE(YEAR(K470),MONTH(K470)+VLOOKUP($F468,'[1]Membership Level'!$A$3:$B$15,2,FALSE),DAY(K470))</f>
        <v>#N/A</v>
      </c>
      <c r="M470" s="36"/>
      <c r="N470" s="34" t="e">
        <f>IF($L470&lt;&gt;0,DATE(YEAR($L470),MONTH($L470)-#REF!,DAY($L470)-$M470),"")</f>
        <v>#N/A</v>
      </c>
      <c r="O470" s="33" t="e">
        <f t="shared" ca="1" si="10"/>
        <v>#N/A</v>
      </c>
      <c r="P470" s="34" t="e">
        <f>I470/H470*VLOOKUP(F468,'[1]Membership Level'!$A$3:$C$15,3,FALSE)+K470</f>
        <v>#DIV/0!</v>
      </c>
      <c r="Q470" s="36"/>
    </row>
    <row r="471" spans="3:17" x14ac:dyDescent="0.25">
      <c r="C471" s="36"/>
      <c r="D471" s="36"/>
      <c r="E471" s="35"/>
      <c r="F471" s="36"/>
      <c r="G471" s="36"/>
      <c r="H471" s="30"/>
      <c r="I471" s="30"/>
      <c r="J471" s="31"/>
      <c r="K471" s="43"/>
      <c r="L471" s="32" t="e">
        <f>DATE(YEAR(K471),MONTH(K471)+VLOOKUP($F469,'[1]Membership Level'!$A$3:$B$15,2,FALSE),DAY(K471))</f>
        <v>#N/A</v>
      </c>
      <c r="M471" s="36"/>
      <c r="N471" s="34" t="e">
        <f>IF($L471&lt;&gt;0,DATE(YEAR($L471),MONTH($L471)-#REF!,DAY($L471)-$M471),"")</f>
        <v>#N/A</v>
      </c>
      <c r="O471" s="33" t="e">
        <f t="shared" ca="1" si="10"/>
        <v>#N/A</v>
      </c>
      <c r="P471" s="34" t="e">
        <f>I471/H471*VLOOKUP(F469,'[1]Membership Level'!$A$3:$C$15,3,FALSE)+K471</f>
        <v>#DIV/0!</v>
      </c>
      <c r="Q471" s="36"/>
    </row>
    <row r="472" spans="3:17" x14ac:dyDescent="0.25">
      <c r="C472" s="36"/>
      <c r="D472" s="36"/>
      <c r="E472" s="35"/>
      <c r="F472" s="36"/>
      <c r="G472" s="36"/>
      <c r="H472" s="30"/>
      <c r="I472" s="30"/>
      <c r="J472" s="31"/>
      <c r="K472" s="43"/>
      <c r="L472" s="32" t="e">
        <f>DATE(YEAR(K472),MONTH(K472)+VLOOKUP($F470,'[1]Membership Level'!$A$3:$B$15,2,FALSE),DAY(K472))</f>
        <v>#N/A</v>
      </c>
      <c r="M472" s="36"/>
      <c r="N472" s="34" t="e">
        <f>IF($L472&lt;&gt;0,DATE(YEAR($L472),MONTH($L472)-#REF!,DAY($L472)-$M472),"")</f>
        <v>#N/A</v>
      </c>
      <c r="O472" s="33" t="e">
        <f t="shared" ca="1" si="10"/>
        <v>#N/A</v>
      </c>
      <c r="P472" s="34" t="e">
        <f>I472/H472*VLOOKUP(F470,'[1]Membership Level'!$A$3:$C$15,3,FALSE)+K472</f>
        <v>#DIV/0!</v>
      </c>
      <c r="Q472" s="36"/>
    </row>
    <row r="473" spans="3:17" x14ac:dyDescent="0.25">
      <c r="C473" s="36"/>
      <c r="D473" s="36"/>
      <c r="E473" s="35"/>
      <c r="F473" s="36"/>
      <c r="G473" s="36"/>
      <c r="H473" s="30"/>
      <c r="I473" s="30"/>
      <c r="J473" s="31"/>
      <c r="K473" s="43"/>
      <c r="L473" s="32" t="e">
        <f>DATE(YEAR(K473),MONTH(K473)+VLOOKUP($F471,'[1]Membership Level'!$A$3:$B$15,2,FALSE),DAY(K473))</f>
        <v>#N/A</v>
      </c>
      <c r="M473" s="36"/>
      <c r="N473" s="34" t="e">
        <f>IF($L473&lt;&gt;0,DATE(YEAR($L473),MONTH($L473)-#REF!,DAY($L473)-$M473),"")</f>
        <v>#N/A</v>
      </c>
      <c r="O473" s="33" t="e">
        <f t="shared" ca="1" si="10"/>
        <v>#N/A</v>
      </c>
      <c r="P473" s="34" t="e">
        <f>I473/H473*VLOOKUP(F471,'[1]Membership Level'!$A$3:$C$15,3,FALSE)+K473</f>
        <v>#DIV/0!</v>
      </c>
      <c r="Q473" s="36"/>
    </row>
    <row r="474" spans="3:17" x14ac:dyDescent="0.25">
      <c r="C474" s="36"/>
      <c r="D474" s="36"/>
      <c r="E474" s="35"/>
      <c r="F474" s="36"/>
      <c r="G474" s="36"/>
      <c r="H474" s="30"/>
      <c r="I474" s="30"/>
      <c r="J474" s="31"/>
      <c r="K474" s="43"/>
      <c r="L474" s="32" t="e">
        <f>DATE(YEAR(K474),MONTH(K474)+VLOOKUP($F472,'[1]Membership Level'!$A$3:$B$15,2,FALSE),DAY(K474))</f>
        <v>#N/A</v>
      </c>
      <c r="M474" s="36"/>
      <c r="N474" s="34" t="e">
        <f>IF($L474&lt;&gt;0,DATE(YEAR($L474),MONTH($L474)-#REF!,DAY($L474)-$M474),"")</f>
        <v>#N/A</v>
      </c>
      <c r="O474" s="33" t="e">
        <f t="shared" ca="1" si="10"/>
        <v>#N/A</v>
      </c>
      <c r="P474" s="34" t="e">
        <f>I474/H474*VLOOKUP(F472,'[1]Membership Level'!$A$3:$C$15,3,FALSE)+K474</f>
        <v>#DIV/0!</v>
      </c>
      <c r="Q474" s="36"/>
    </row>
    <row r="475" spans="3:17" x14ac:dyDescent="0.25">
      <c r="C475" s="36"/>
      <c r="D475" s="36"/>
      <c r="E475" s="35"/>
      <c r="F475" s="36"/>
      <c r="G475" s="36"/>
      <c r="H475" s="30"/>
      <c r="I475" s="30"/>
      <c r="J475" s="31"/>
      <c r="K475" s="43"/>
      <c r="L475" s="32" t="e">
        <f>DATE(YEAR(K475),MONTH(K475)+VLOOKUP($F473,'[1]Membership Level'!$A$3:$B$15,2,FALSE),DAY(K475))</f>
        <v>#N/A</v>
      </c>
      <c r="M475" s="36"/>
      <c r="N475" s="34" t="e">
        <f>IF($L475&lt;&gt;0,DATE(YEAR($L475),MONTH($L475)-#REF!,DAY($L475)-$M475),"")</f>
        <v>#N/A</v>
      </c>
      <c r="O475" s="33" t="e">
        <f t="shared" ca="1" si="10"/>
        <v>#N/A</v>
      </c>
      <c r="P475" s="34" t="e">
        <f>I475/H475*VLOOKUP(F473,'[1]Membership Level'!$A$3:$C$15,3,FALSE)+K475</f>
        <v>#DIV/0!</v>
      </c>
      <c r="Q475" s="36"/>
    </row>
    <row r="476" spans="3:17" x14ac:dyDescent="0.25">
      <c r="C476" s="36"/>
      <c r="D476" s="36"/>
      <c r="E476" s="35"/>
      <c r="F476" s="36"/>
      <c r="G476" s="36"/>
      <c r="H476" s="30"/>
      <c r="I476" s="30"/>
      <c r="J476" s="31"/>
      <c r="K476" s="43"/>
      <c r="L476" s="32" t="e">
        <f>DATE(YEAR(K476),MONTH(K476)+VLOOKUP($F474,'[1]Membership Level'!$A$3:$B$15,2,FALSE),DAY(K476))</f>
        <v>#N/A</v>
      </c>
      <c r="M476" s="36"/>
      <c r="N476" s="34" t="e">
        <f>IF($L476&lt;&gt;0,DATE(YEAR($L476),MONTH($L476)-#REF!,DAY($L476)-$M476),"")</f>
        <v>#N/A</v>
      </c>
      <c r="O476" s="33" t="e">
        <f t="shared" ca="1" si="10"/>
        <v>#N/A</v>
      </c>
      <c r="P476" s="34" t="e">
        <f>I476/H476*VLOOKUP(F474,'[1]Membership Level'!$A$3:$C$15,3,FALSE)+K476</f>
        <v>#DIV/0!</v>
      </c>
      <c r="Q476" s="36"/>
    </row>
    <row r="477" spans="3:17" x14ac:dyDescent="0.25">
      <c r="C477" s="36"/>
      <c r="D477" s="36"/>
      <c r="E477" s="35"/>
      <c r="F477" s="36"/>
      <c r="G477" s="36"/>
      <c r="H477" s="30"/>
      <c r="I477" s="30"/>
      <c r="J477" s="31"/>
      <c r="K477" s="43"/>
      <c r="L477" s="32" t="e">
        <f>DATE(YEAR(K477),MONTH(K477)+VLOOKUP($F475,'[1]Membership Level'!$A$3:$B$15,2,FALSE),DAY(K477))</f>
        <v>#N/A</v>
      </c>
      <c r="M477" s="36"/>
      <c r="N477" s="34" t="e">
        <f>IF($L477&lt;&gt;0,DATE(YEAR($L477),MONTH($L477)-#REF!,DAY($L477)-$M477),"")</f>
        <v>#N/A</v>
      </c>
      <c r="O477" s="33" t="e">
        <f t="shared" ca="1" si="10"/>
        <v>#N/A</v>
      </c>
      <c r="P477" s="34" t="e">
        <f>I477/H477*VLOOKUP(F475,'[1]Membership Level'!$A$3:$C$15,3,FALSE)+K477</f>
        <v>#DIV/0!</v>
      </c>
      <c r="Q477" s="36"/>
    </row>
    <row r="478" spans="3:17" x14ac:dyDescent="0.25">
      <c r="C478" s="36"/>
      <c r="D478" s="36"/>
      <c r="E478" s="35"/>
      <c r="F478" s="36"/>
      <c r="G478" s="36"/>
      <c r="H478" s="30"/>
      <c r="I478" s="30"/>
      <c r="J478" s="31"/>
      <c r="K478" s="43"/>
      <c r="L478" s="32" t="e">
        <f>DATE(YEAR(K478),MONTH(K478)+VLOOKUP($F476,'[1]Membership Level'!$A$3:$B$15,2,FALSE),DAY(K478))</f>
        <v>#N/A</v>
      </c>
      <c r="M478" s="36"/>
      <c r="N478" s="34" t="e">
        <f>IF($L478&lt;&gt;0,DATE(YEAR($L478),MONTH($L478)-#REF!,DAY($L478)-$M478),"")</f>
        <v>#N/A</v>
      </c>
      <c r="O478" s="33" t="e">
        <f t="shared" ca="1" si="10"/>
        <v>#N/A</v>
      </c>
      <c r="P478" s="34" t="e">
        <f>I478/H478*VLOOKUP(F476,'[1]Membership Level'!$A$3:$C$15,3,FALSE)+K478</f>
        <v>#DIV/0!</v>
      </c>
      <c r="Q478" s="36"/>
    </row>
    <row r="479" spans="3:17" x14ac:dyDescent="0.25">
      <c r="C479" s="36"/>
      <c r="D479" s="36"/>
      <c r="E479" s="35"/>
      <c r="F479" s="36"/>
      <c r="G479" s="36"/>
      <c r="H479" s="30"/>
      <c r="I479" s="30"/>
      <c r="J479" s="31"/>
      <c r="K479" s="43"/>
      <c r="L479" s="32" t="e">
        <f>DATE(YEAR(K479),MONTH(K479)+VLOOKUP($F477,'[1]Membership Level'!$A$3:$B$15,2,FALSE),DAY(K479))</f>
        <v>#N/A</v>
      </c>
      <c r="M479" s="36"/>
      <c r="N479" s="34" t="e">
        <f>IF($L479&lt;&gt;0,DATE(YEAR($L479),MONTH($L479)-#REF!,DAY($L479)-$M479),"")</f>
        <v>#N/A</v>
      </c>
      <c r="O479" s="33" t="e">
        <f t="shared" ca="1" si="10"/>
        <v>#N/A</v>
      </c>
      <c r="P479" s="34" t="e">
        <f>I479/H479*VLOOKUP(F477,'[1]Membership Level'!$A$3:$C$15,3,FALSE)+K479</f>
        <v>#DIV/0!</v>
      </c>
      <c r="Q479" s="36"/>
    </row>
    <row r="480" spans="3:17" x14ac:dyDescent="0.25">
      <c r="C480" s="36"/>
      <c r="D480" s="36"/>
      <c r="E480" s="35"/>
      <c r="F480" s="36"/>
      <c r="G480" s="36"/>
      <c r="H480" s="30"/>
      <c r="I480" s="30"/>
      <c r="J480" s="31"/>
      <c r="K480" s="43"/>
      <c r="L480" s="32" t="e">
        <f>DATE(YEAR(K480),MONTH(K480)+VLOOKUP($F478,'[1]Membership Level'!$A$3:$B$15,2,FALSE),DAY(K480))</f>
        <v>#N/A</v>
      </c>
      <c r="M480" s="36"/>
      <c r="N480" s="34" t="e">
        <f>IF($L480&lt;&gt;0,DATE(YEAR($L480),MONTH($L480)-#REF!,DAY($L480)-$M480),"")</f>
        <v>#N/A</v>
      </c>
      <c r="O480" s="33" t="e">
        <f t="shared" ca="1" si="10"/>
        <v>#N/A</v>
      </c>
      <c r="P480" s="34" t="e">
        <f>I480/H480*VLOOKUP(F478,'[1]Membership Level'!$A$3:$C$15,3,FALSE)+K480</f>
        <v>#DIV/0!</v>
      </c>
      <c r="Q480" s="36"/>
    </row>
    <row r="481" spans="3:17" x14ac:dyDescent="0.25">
      <c r="C481" s="36"/>
      <c r="D481" s="36"/>
      <c r="E481" s="35"/>
      <c r="F481" s="36"/>
      <c r="G481" s="36"/>
      <c r="H481" s="30"/>
      <c r="I481" s="30"/>
      <c r="J481" s="31"/>
      <c r="K481" s="43"/>
      <c r="L481" s="32" t="e">
        <f>DATE(YEAR(K481),MONTH(K481)+VLOOKUP($F479,'[1]Membership Level'!$A$3:$B$15,2,FALSE),DAY(K481))</f>
        <v>#N/A</v>
      </c>
      <c r="M481" s="36"/>
      <c r="N481" s="34" t="e">
        <f>IF($L481&lt;&gt;0,DATE(YEAR($L481),MONTH($L481)-#REF!,DAY($L481)-$M481),"")</f>
        <v>#N/A</v>
      </c>
      <c r="O481" s="33" t="e">
        <f t="shared" ca="1" si="10"/>
        <v>#N/A</v>
      </c>
      <c r="P481" s="34" t="e">
        <f>I481/H481*VLOOKUP(F479,'[1]Membership Level'!$A$3:$C$15,3,FALSE)+K481</f>
        <v>#DIV/0!</v>
      </c>
      <c r="Q481" s="36"/>
    </row>
    <row r="482" spans="3:17" x14ac:dyDescent="0.25">
      <c r="C482" s="36"/>
      <c r="D482" s="36"/>
      <c r="E482" s="35"/>
      <c r="F482" s="36"/>
      <c r="G482" s="36"/>
      <c r="H482" s="30"/>
      <c r="I482" s="30"/>
      <c r="J482" s="31"/>
      <c r="K482" s="43"/>
      <c r="L482" s="32" t="e">
        <f>DATE(YEAR(K482),MONTH(K482)+VLOOKUP($F480,'[1]Membership Level'!$A$3:$B$15,2,FALSE),DAY(K482))</f>
        <v>#N/A</v>
      </c>
      <c r="M482" s="36"/>
      <c r="N482" s="34" t="e">
        <f>IF($L482&lt;&gt;0,DATE(YEAR($L482),MONTH($L482)-#REF!,DAY($L482)-$M482),"")</f>
        <v>#N/A</v>
      </c>
      <c r="O482" s="33" t="e">
        <f t="shared" ca="1" si="10"/>
        <v>#N/A</v>
      </c>
      <c r="P482" s="34" t="e">
        <f>I482/H482*VLOOKUP(F480,'[1]Membership Level'!$A$3:$C$15,3,FALSE)+K482</f>
        <v>#DIV/0!</v>
      </c>
      <c r="Q482" s="36"/>
    </row>
    <row r="483" spans="3:17" x14ac:dyDescent="0.25">
      <c r="C483" s="36"/>
      <c r="D483" s="36"/>
      <c r="E483" s="35"/>
      <c r="F483" s="36"/>
      <c r="G483" s="36"/>
      <c r="H483" s="30"/>
      <c r="I483" s="30"/>
      <c r="J483" s="31"/>
      <c r="K483" s="43"/>
      <c r="L483" s="32" t="e">
        <f>DATE(YEAR(K483),MONTH(K483)+VLOOKUP($F481,'[1]Membership Level'!$A$3:$B$15,2,FALSE),DAY(K483))</f>
        <v>#N/A</v>
      </c>
      <c r="M483" s="36"/>
      <c r="N483" s="34" t="e">
        <f>IF($L483&lt;&gt;0,DATE(YEAR($L483),MONTH($L483)-#REF!,DAY($L483)-$M483),"")</f>
        <v>#N/A</v>
      </c>
      <c r="O483" s="33" t="e">
        <f t="shared" ca="1" si="10"/>
        <v>#N/A</v>
      </c>
      <c r="P483" s="34" t="e">
        <f>I483/H483*VLOOKUP(F481,'[1]Membership Level'!$A$3:$C$15,3,FALSE)+K483</f>
        <v>#DIV/0!</v>
      </c>
      <c r="Q483" s="36"/>
    </row>
    <row r="484" spans="3:17" x14ac:dyDescent="0.25">
      <c r="C484" s="36"/>
      <c r="D484" s="36"/>
      <c r="E484" s="35"/>
      <c r="F484" s="36"/>
      <c r="G484" s="36"/>
      <c r="H484" s="30"/>
      <c r="I484" s="30"/>
      <c r="J484" s="31"/>
      <c r="K484" s="43"/>
      <c r="L484" s="32" t="e">
        <f>DATE(YEAR(K484),MONTH(K484)+VLOOKUP($F482,'[1]Membership Level'!$A$3:$B$15,2,FALSE),DAY(K484))</f>
        <v>#N/A</v>
      </c>
      <c r="M484" s="36"/>
      <c r="N484" s="34" t="e">
        <f>IF($L484&lt;&gt;0,DATE(YEAR($L484),MONTH($L484)-#REF!,DAY($L484)-$M484),"")</f>
        <v>#N/A</v>
      </c>
      <c r="O484" s="33" t="e">
        <f t="shared" ca="1" si="10"/>
        <v>#N/A</v>
      </c>
      <c r="P484" s="34" t="e">
        <f>I484/H484*VLOOKUP(F482,'[1]Membership Level'!$A$3:$C$15,3,FALSE)+K484</f>
        <v>#DIV/0!</v>
      </c>
      <c r="Q484" s="36"/>
    </row>
    <row r="485" spans="3:17" x14ac:dyDescent="0.25">
      <c r="C485" s="36"/>
      <c r="D485" s="36"/>
      <c r="E485" s="35"/>
      <c r="F485" s="36"/>
      <c r="G485" s="36"/>
      <c r="H485" s="30"/>
      <c r="I485" s="30"/>
      <c r="J485" s="31"/>
      <c r="K485" s="43"/>
      <c r="L485" s="32" t="e">
        <f>DATE(YEAR(K485),MONTH(K485)+VLOOKUP($F483,'[1]Membership Level'!$A$3:$B$15,2,FALSE),DAY(K485))</f>
        <v>#N/A</v>
      </c>
      <c r="M485" s="36"/>
      <c r="N485" s="34" t="e">
        <f>IF($L485&lt;&gt;0,DATE(YEAR($L485),MONTH($L485)-#REF!,DAY($L485)-$M485),"")</f>
        <v>#N/A</v>
      </c>
      <c r="O485" s="33" t="e">
        <f t="shared" ca="1" si="10"/>
        <v>#N/A</v>
      </c>
      <c r="P485" s="34" t="e">
        <f>I485/H485*VLOOKUP(F483,'[1]Membership Level'!$A$3:$C$15,3,FALSE)+K485</f>
        <v>#DIV/0!</v>
      </c>
      <c r="Q485" s="36"/>
    </row>
    <row r="486" spans="3:17" x14ac:dyDescent="0.25">
      <c r="C486" s="36"/>
      <c r="D486" s="36"/>
      <c r="E486" s="35"/>
      <c r="F486" s="36"/>
      <c r="G486" s="36"/>
      <c r="H486" s="30"/>
      <c r="I486" s="30"/>
      <c r="J486" s="31"/>
      <c r="K486" s="43"/>
      <c r="L486" s="32" t="e">
        <f>DATE(YEAR(K486),MONTH(K486)+VLOOKUP($F484,'[1]Membership Level'!$A$3:$B$15,2,FALSE),DAY(K486))</f>
        <v>#N/A</v>
      </c>
      <c r="M486" s="36"/>
      <c r="N486" s="34" t="e">
        <f>IF($L486&lt;&gt;0,DATE(YEAR($L486),MONTH($L486)-#REF!,DAY($L486)-$M486),"")</f>
        <v>#N/A</v>
      </c>
      <c r="O486" s="33" t="e">
        <f t="shared" ca="1" si="10"/>
        <v>#N/A</v>
      </c>
      <c r="P486" s="34" t="e">
        <f>I486/H486*VLOOKUP(F484,'[1]Membership Level'!$A$3:$C$15,3,FALSE)+K486</f>
        <v>#DIV/0!</v>
      </c>
      <c r="Q486" s="36"/>
    </row>
    <row r="487" spans="3:17" x14ac:dyDescent="0.25">
      <c r="C487" s="36"/>
      <c r="D487" s="36"/>
      <c r="E487" s="35"/>
      <c r="F487" s="36"/>
      <c r="G487" s="36"/>
      <c r="H487" s="30"/>
      <c r="I487" s="30"/>
      <c r="J487" s="31"/>
      <c r="K487" s="43"/>
      <c r="L487" s="32" t="e">
        <f>DATE(YEAR(K487),MONTH(K487)+VLOOKUP($F485,'[1]Membership Level'!$A$3:$B$15,2,FALSE),DAY(K487))</f>
        <v>#N/A</v>
      </c>
      <c r="M487" s="36"/>
      <c r="N487" s="34" t="e">
        <f>IF($L487&lt;&gt;0,DATE(YEAR($L487),MONTH($L487)-#REF!,DAY($L487)-$M487),"")</f>
        <v>#N/A</v>
      </c>
      <c r="O487" s="33" t="e">
        <f t="shared" ca="1" si="10"/>
        <v>#N/A</v>
      </c>
      <c r="P487" s="34" t="e">
        <f>I487/H487*VLOOKUP(F485,'[1]Membership Level'!$A$3:$C$15,3,FALSE)+K487</f>
        <v>#DIV/0!</v>
      </c>
      <c r="Q487" s="36"/>
    </row>
    <row r="488" spans="3:17" x14ac:dyDescent="0.25">
      <c r="C488" s="36"/>
      <c r="D488" s="36"/>
      <c r="E488" s="35"/>
      <c r="F488" s="36"/>
      <c r="G488" s="36"/>
      <c r="H488" s="30"/>
      <c r="I488" s="30"/>
      <c r="J488" s="31"/>
      <c r="K488" s="43"/>
      <c r="L488" s="32" t="e">
        <f>DATE(YEAR(K488),MONTH(K488)+VLOOKUP($F486,'[1]Membership Level'!$A$3:$B$15,2,FALSE),DAY(K488))</f>
        <v>#N/A</v>
      </c>
      <c r="M488" s="36"/>
      <c r="N488" s="34" t="e">
        <f>IF($L488&lt;&gt;0,DATE(YEAR($L488),MONTH($L488)-#REF!,DAY($L488)-$M488),"")</f>
        <v>#N/A</v>
      </c>
      <c r="O488" s="33" t="e">
        <f t="shared" ca="1" si="10"/>
        <v>#N/A</v>
      </c>
      <c r="P488" s="34" t="e">
        <f>I488/H488*VLOOKUP(F486,'[1]Membership Level'!$A$3:$C$15,3,FALSE)+K488</f>
        <v>#DIV/0!</v>
      </c>
      <c r="Q488" s="36"/>
    </row>
    <row r="489" spans="3:17" x14ac:dyDescent="0.25">
      <c r="C489" s="36"/>
      <c r="D489" s="36"/>
      <c r="E489" s="35"/>
      <c r="F489" s="36"/>
      <c r="G489" s="36"/>
      <c r="H489" s="30"/>
      <c r="I489" s="30"/>
      <c r="J489" s="31"/>
      <c r="K489" s="43"/>
      <c r="L489" s="32" t="e">
        <f>DATE(YEAR(K489),MONTH(K489)+VLOOKUP($F487,'[1]Membership Level'!$A$3:$B$15,2,FALSE),DAY(K489))</f>
        <v>#N/A</v>
      </c>
      <c r="M489" s="36"/>
      <c r="N489" s="34" t="e">
        <f>IF($L489&lt;&gt;0,DATE(YEAR($L489),MONTH($L489)-#REF!,DAY($L489)-$M489),"")</f>
        <v>#N/A</v>
      </c>
      <c r="O489" s="33" t="e">
        <f t="shared" ca="1" si="10"/>
        <v>#N/A</v>
      </c>
      <c r="P489" s="34" t="e">
        <f>I489/H489*VLOOKUP(F487,'[1]Membership Level'!$A$3:$C$15,3,FALSE)+K489</f>
        <v>#DIV/0!</v>
      </c>
      <c r="Q489" s="36"/>
    </row>
    <row r="490" spans="3:17" x14ac:dyDescent="0.25">
      <c r="C490" s="36"/>
      <c r="D490" s="36"/>
      <c r="E490" s="35"/>
      <c r="F490" s="36"/>
      <c r="G490" s="36"/>
      <c r="H490" s="30"/>
      <c r="I490" s="30"/>
      <c r="J490" s="31"/>
      <c r="K490" s="43"/>
      <c r="L490" s="32" t="e">
        <f>DATE(YEAR(K490),MONTH(K490)+VLOOKUP($F488,'[1]Membership Level'!$A$3:$B$15,2,FALSE),DAY(K490))</f>
        <v>#N/A</v>
      </c>
      <c r="M490" s="36"/>
      <c r="N490" s="34" t="e">
        <f>IF($L490&lt;&gt;0,DATE(YEAR($L490),MONTH($L490)-#REF!,DAY($L490)-$M490),"")</f>
        <v>#N/A</v>
      </c>
      <c r="O490" s="33" t="e">
        <f t="shared" ca="1" si="10"/>
        <v>#N/A</v>
      </c>
      <c r="P490" s="34" t="e">
        <f>I490/H490*VLOOKUP(F488,'[1]Membership Level'!$A$3:$C$15,3,FALSE)+K490</f>
        <v>#DIV/0!</v>
      </c>
      <c r="Q490" s="36"/>
    </row>
    <row r="491" spans="3:17" x14ac:dyDescent="0.25">
      <c r="C491" s="36"/>
      <c r="D491" s="36"/>
      <c r="E491" s="35"/>
      <c r="F491" s="36"/>
      <c r="G491" s="36"/>
      <c r="H491" s="30"/>
      <c r="I491" s="30"/>
      <c r="J491" s="31"/>
      <c r="K491" s="43"/>
      <c r="L491" s="32" t="e">
        <f>DATE(YEAR(K491),MONTH(K491)+VLOOKUP($F489,'[1]Membership Level'!$A$3:$B$15,2,FALSE),DAY(K491))</f>
        <v>#N/A</v>
      </c>
      <c r="M491" s="36"/>
      <c r="N491" s="34" t="e">
        <f>IF($L491&lt;&gt;0,DATE(YEAR($L491),MONTH($L491)-#REF!,DAY($L491)-$M491),"")</f>
        <v>#N/A</v>
      </c>
      <c r="O491" s="33" t="e">
        <f t="shared" ca="1" si="10"/>
        <v>#N/A</v>
      </c>
      <c r="P491" s="34" t="e">
        <f>I491/H491*VLOOKUP(F489,'[1]Membership Level'!$A$3:$C$15,3,FALSE)+K491</f>
        <v>#DIV/0!</v>
      </c>
      <c r="Q491" s="36"/>
    </row>
    <row r="492" spans="3:17" x14ac:dyDescent="0.25">
      <c r="C492" s="36"/>
      <c r="D492" s="36"/>
      <c r="E492" s="35"/>
      <c r="F492" s="36"/>
      <c r="G492" s="36"/>
      <c r="H492" s="30"/>
      <c r="I492" s="30"/>
      <c r="J492" s="31"/>
      <c r="K492" s="43"/>
      <c r="L492" s="32" t="e">
        <f>DATE(YEAR(K492),MONTH(K492)+VLOOKUP($F490,'[1]Membership Level'!$A$3:$B$15,2,FALSE),DAY(K492))</f>
        <v>#N/A</v>
      </c>
      <c r="M492" s="36"/>
      <c r="N492" s="34" t="e">
        <f>IF($L492&lt;&gt;0,DATE(YEAR($L492),MONTH($L492)-#REF!,DAY($L492)-$M492),"")</f>
        <v>#N/A</v>
      </c>
      <c r="O492" s="33" t="e">
        <f t="shared" ca="1" si="10"/>
        <v>#N/A</v>
      </c>
      <c r="P492" s="34" t="e">
        <f>I492/H492*VLOOKUP(F490,'[1]Membership Level'!$A$3:$C$15,3,FALSE)+K492</f>
        <v>#DIV/0!</v>
      </c>
      <c r="Q492" s="36"/>
    </row>
    <row r="493" spans="3:17" x14ac:dyDescent="0.25">
      <c r="C493" s="36"/>
      <c r="D493" s="36"/>
      <c r="E493" s="35"/>
      <c r="F493" s="36"/>
      <c r="G493" s="36"/>
      <c r="H493" s="30"/>
      <c r="I493" s="30"/>
      <c r="J493" s="31"/>
      <c r="K493" s="43"/>
      <c r="L493" s="32" t="e">
        <f>DATE(YEAR(K493),MONTH(K493)+VLOOKUP($F491,'[1]Membership Level'!$A$3:$B$15,2,FALSE),DAY(K493))</f>
        <v>#N/A</v>
      </c>
      <c r="M493" s="36"/>
      <c r="N493" s="34" t="e">
        <f>IF($L493&lt;&gt;0,DATE(YEAR($L493),MONTH($L493)-#REF!,DAY($L493)-$M493),"")</f>
        <v>#N/A</v>
      </c>
      <c r="O493" s="33" t="e">
        <f t="shared" ca="1" si="10"/>
        <v>#N/A</v>
      </c>
      <c r="P493" s="34" t="e">
        <f>I493/H493*VLOOKUP(F491,'[1]Membership Level'!$A$3:$C$15,3,FALSE)+K493</f>
        <v>#DIV/0!</v>
      </c>
      <c r="Q493" s="36" t="s">
        <v>243</v>
      </c>
    </row>
    <row r="494" spans="3:17" x14ac:dyDescent="0.25">
      <c r="C494" s="36"/>
      <c r="D494" s="36"/>
      <c r="E494" s="35"/>
      <c r="F494" s="36"/>
      <c r="G494" s="36"/>
      <c r="H494" s="30"/>
      <c r="I494" s="30"/>
      <c r="J494" s="31"/>
      <c r="K494" s="43"/>
      <c r="L494" s="32" t="e">
        <f>DATE(YEAR(K494),MONTH(K494)+VLOOKUP($F492,'[1]Membership Level'!$A$3:$B$15,2,FALSE),DAY(K494))</f>
        <v>#N/A</v>
      </c>
      <c r="M494" s="36"/>
      <c r="N494" s="34" t="e">
        <f>IF($L494&lt;&gt;0,DATE(YEAR($L494),MONTH($L494)-#REF!,DAY($L494)-$M494),"")</f>
        <v>#N/A</v>
      </c>
      <c r="O494" s="33" t="e">
        <f t="shared" ca="1" si="10"/>
        <v>#N/A</v>
      </c>
      <c r="P494" s="34" t="e">
        <f>I494/H494*VLOOKUP(F492,'[1]Membership Level'!$A$3:$C$15,3,FALSE)+K494</f>
        <v>#DIV/0!</v>
      </c>
      <c r="Q494" s="36"/>
    </row>
    <row r="495" spans="3:17" x14ac:dyDescent="0.25">
      <c r="C495" s="36"/>
      <c r="D495" s="36"/>
      <c r="E495" s="35"/>
      <c r="F495" s="36"/>
      <c r="G495" s="36"/>
      <c r="H495" s="30"/>
      <c r="I495" s="30"/>
      <c r="J495" s="31"/>
      <c r="K495" s="43"/>
      <c r="L495" s="32" t="e">
        <f>DATE(YEAR(K495),MONTH(K495)+VLOOKUP($F493,'[1]Membership Level'!$A$3:$B$15,2,FALSE),DAY(K495))</f>
        <v>#N/A</v>
      </c>
      <c r="M495" s="36"/>
      <c r="N495" s="34" t="e">
        <f>IF($L495&lt;&gt;0,DATE(YEAR($L495),MONTH($L495)-#REF!,DAY($L495)-$M495),"")</f>
        <v>#N/A</v>
      </c>
      <c r="O495" s="33" t="e">
        <f t="shared" ca="1" si="10"/>
        <v>#N/A</v>
      </c>
      <c r="P495" s="34" t="e">
        <f>I495/H495*VLOOKUP(F493,'[1]Membership Level'!$A$3:$C$15,3,FALSE)+K495</f>
        <v>#DIV/0!</v>
      </c>
      <c r="Q495" s="36"/>
    </row>
    <row r="496" spans="3:17" x14ac:dyDescent="0.25">
      <c r="C496" s="36"/>
      <c r="D496" s="36"/>
      <c r="E496" s="35"/>
      <c r="F496" s="36"/>
      <c r="G496" s="36"/>
      <c r="H496" s="30"/>
      <c r="I496" s="30"/>
      <c r="J496" s="31"/>
      <c r="K496" s="43"/>
      <c r="L496" s="32" t="e">
        <f>DATE(YEAR(K496),MONTH(K496)+VLOOKUP($F494,'[1]Membership Level'!$A$3:$B$15,2,FALSE),DAY(K496))</f>
        <v>#N/A</v>
      </c>
      <c r="M496" s="36"/>
      <c r="N496" s="34" t="e">
        <f>IF($L496&lt;&gt;0,DATE(YEAR($L496),MONTH($L496)-#REF!,DAY($L496)-$M496),"")</f>
        <v>#N/A</v>
      </c>
      <c r="O496" s="33" t="e">
        <f t="shared" ca="1" si="10"/>
        <v>#N/A</v>
      </c>
      <c r="P496" s="34" t="e">
        <f>I496/H496*VLOOKUP(F494,'[1]Membership Level'!$A$3:$C$15,3,FALSE)+K496</f>
        <v>#DIV/0!</v>
      </c>
      <c r="Q496" s="36"/>
    </row>
    <row r="497" spans="3:17" x14ac:dyDescent="0.25">
      <c r="C497" s="36"/>
      <c r="D497" s="36"/>
      <c r="E497" s="35"/>
      <c r="F497" s="36"/>
      <c r="G497" s="36"/>
      <c r="H497" s="30"/>
      <c r="I497" s="30"/>
      <c r="J497" s="31"/>
      <c r="K497" s="43"/>
      <c r="L497" s="32" t="e">
        <f>DATE(YEAR(K497),MONTH(K497)+VLOOKUP($F495,'[1]Membership Level'!$A$3:$B$15,2,FALSE),DAY(K497))</f>
        <v>#N/A</v>
      </c>
      <c r="M497" s="36"/>
      <c r="N497" s="34" t="e">
        <f>IF($L497&lt;&gt;0,DATE(YEAR($L497),MONTH($L497)-#REF!,DAY($L497)-$M497),"")</f>
        <v>#N/A</v>
      </c>
      <c r="O497" s="33" t="e">
        <f t="shared" ca="1" si="10"/>
        <v>#N/A</v>
      </c>
      <c r="P497" s="34" t="e">
        <f>I497/H497*VLOOKUP(F495,'[1]Membership Level'!$A$3:$C$15,3,FALSE)+K497</f>
        <v>#DIV/0!</v>
      </c>
      <c r="Q497" s="36"/>
    </row>
    <row r="498" spans="3:17" x14ac:dyDescent="0.25">
      <c r="C498" s="36"/>
      <c r="D498" s="36"/>
      <c r="E498" s="35"/>
      <c r="F498" s="45"/>
      <c r="G498" s="36"/>
      <c r="H498" s="30"/>
      <c r="I498" s="30"/>
      <c r="J498" s="31"/>
      <c r="K498" s="43"/>
      <c r="L498" s="32" t="e">
        <f>DATE(YEAR(K498),MONTH(K498)+VLOOKUP($F496,'[1]Membership Level'!$A$3:$B$15,2,FALSE),DAY(K498))</f>
        <v>#N/A</v>
      </c>
      <c r="M498" s="36"/>
      <c r="N498" s="34" t="e">
        <f>IF($L498&lt;&gt;0,DATE(YEAR($L498),MONTH($L498)-#REF!,DAY($L498)-$M498),"")</f>
        <v>#N/A</v>
      </c>
      <c r="O498" s="33" t="e">
        <f t="shared" ca="1" si="10"/>
        <v>#N/A</v>
      </c>
      <c r="P498" s="34" t="e">
        <f>I498/H498*VLOOKUP(F496,'[1]Membership Level'!$A$3:$C$15,3,FALSE)+K498</f>
        <v>#DIV/0!</v>
      </c>
      <c r="Q498" s="36"/>
    </row>
    <row r="499" spans="3:17" x14ac:dyDescent="0.25">
      <c r="C499" s="36"/>
      <c r="D499" s="36"/>
      <c r="E499" s="67"/>
      <c r="F499" s="36"/>
      <c r="G499" s="36"/>
      <c r="H499" s="30"/>
      <c r="I499" s="30"/>
      <c r="J499" s="31"/>
      <c r="K499" s="43"/>
      <c r="L499" s="32" t="e">
        <f>DATE(YEAR(K499),MONTH(K499)+VLOOKUP($F497,'[1]Membership Level'!$A$3:$B$15,2,FALSE),DAY(K499))</f>
        <v>#N/A</v>
      </c>
      <c r="M499" s="36"/>
      <c r="N499" s="34" t="e">
        <f>IF($L499&lt;&gt;0,DATE(YEAR($L499),MONTH($L499)-#REF!,DAY($L499)-$M499),"")</f>
        <v>#N/A</v>
      </c>
      <c r="O499" s="33" t="e">
        <f t="shared" ca="1" si="10"/>
        <v>#N/A</v>
      </c>
      <c r="P499" s="34" t="e">
        <f>I499/H499*VLOOKUP(F497,'[1]Membership Level'!$A$3:$C$15,3,FALSE)+K499</f>
        <v>#DIV/0!</v>
      </c>
      <c r="Q499" s="36"/>
    </row>
    <row r="500" spans="3:17" s="27" customFormat="1" x14ac:dyDescent="0.25">
      <c r="C500" s="45"/>
      <c r="D500" s="45"/>
      <c r="E500" s="35"/>
      <c r="F500" s="36"/>
      <c r="G500" s="45"/>
      <c r="H500" s="64"/>
      <c r="I500" s="64"/>
      <c r="J500" s="65"/>
      <c r="K500" s="60"/>
      <c r="L500" s="60" t="e">
        <f>DATE(YEAR(K500),MONTH(K500)+VLOOKUP($F498,'[1]Membership Level'!$A$3:$B$15,2,FALSE),DAY(K500))</f>
        <v>#N/A</v>
      </c>
      <c r="M500" s="36"/>
      <c r="N500" s="46" t="e">
        <f>IF($L500&lt;&gt;0,DATE(YEAR($L500),MONTH($L500)-#REF!,DAY($L500)-$M500),"")</f>
        <v>#N/A</v>
      </c>
      <c r="O500" s="45" t="e">
        <f t="shared" ca="1" si="10"/>
        <v>#N/A</v>
      </c>
      <c r="P500" s="46" t="e">
        <f>I500/H500*VLOOKUP(F498,'[1]Membership Level'!$A$3:$C$15,3,FALSE)+K500</f>
        <v>#DIV/0!</v>
      </c>
      <c r="Q500" s="45"/>
    </row>
    <row r="501" spans="3:17" x14ac:dyDescent="0.25">
      <c r="C501" s="36"/>
      <c r="D501" s="36"/>
      <c r="E501" s="35"/>
      <c r="F501" s="36"/>
      <c r="G501" s="36"/>
      <c r="H501" s="30"/>
      <c r="I501" s="30"/>
      <c r="J501" s="31"/>
      <c r="K501" s="43"/>
      <c r="L501" s="32" t="e">
        <f>DATE(YEAR(K501),MONTH(K501)+VLOOKUP($F499,'[1]Membership Level'!$A$3:$B$15,2,FALSE),DAY(K501))</f>
        <v>#N/A</v>
      </c>
      <c r="M501" s="36"/>
      <c r="N501" s="34" t="e">
        <f>IF($L501&lt;&gt;0,DATE(YEAR($L501),MONTH($L501)-#REF!,DAY($L501)-$M501),"")</f>
        <v>#N/A</v>
      </c>
      <c r="O501" s="33" t="e">
        <f t="shared" ca="1" si="10"/>
        <v>#N/A</v>
      </c>
      <c r="P501" s="34" t="e">
        <f>I501/H501*VLOOKUP(F499,'[1]Membership Level'!$A$3:$C$15,3,FALSE)+K501</f>
        <v>#DIV/0!</v>
      </c>
      <c r="Q501" s="36"/>
    </row>
    <row r="502" spans="3:17" x14ac:dyDescent="0.25">
      <c r="C502" s="36"/>
      <c r="D502" s="36"/>
      <c r="E502" s="35"/>
      <c r="F502" s="36"/>
      <c r="G502" s="36"/>
      <c r="H502" s="30"/>
      <c r="I502" s="30"/>
      <c r="J502" s="31"/>
      <c r="K502" s="43"/>
      <c r="L502" s="32" t="e">
        <f>DATE(YEAR(K502),MONTH(K502)+VLOOKUP($F500,'[1]Membership Level'!$A$3:$B$15,2,FALSE),DAY(K502))</f>
        <v>#N/A</v>
      </c>
      <c r="M502" s="36"/>
      <c r="N502" s="34" t="e">
        <f>IF($L502&lt;&gt;0,DATE(YEAR($L502),MONTH($L502)-#REF!,DAY($L502)-$M502),"")</f>
        <v>#N/A</v>
      </c>
      <c r="O502" s="33" t="e">
        <f t="shared" ca="1" si="10"/>
        <v>#N/A</v>
      </c>
      <c r="P502" s="34" t="e">
        <f>I502/H502*VLOOKUP(F500,'[1]Membership Level'!$A$3:$C$15,3,FALSE)+K502</f>
        <v>#DIV/0!</v>
      </c>
      <c r="Q502" s="36"/>
    </row>
    <row r="503" spans="3:17" x14ac:dyDescent="0.25">
      <c r="C503" s="36"/>
      <c r="D503" s="36"/>
      <c r="E503" s="35"/>
      <c r="F503" s="36"/>
      <c r="G503" s="36"/>
      <c r="H503" s="30"/>
      <c r="I503" s="30"/>
      <c r="J503" s="31"/>
      <c r="K503" s="43"/>
      <c r="L503" s="32" t="e">
        <f>DATE(YEAR(K503),MONTH(K503)+VLOOKUP($F501,'[1]Membership Level'!$A$3:$B$15,2,FALSE),DAY(K503))</f>
        <v>#N/A</v>
      </c>
      <c r="M503" s="36"/>
      <c r="N503" s="34" t="e">
        <f>IF($L503&lt;&gt;0,DATE(YEAR($L503),MONTH($L503)-#REF!,DAY($L503)-$M503),"")</f>
        <v>#N/A</v>
      </c>
      <c r="O503" s="33" t="e">
        <f t="shared" ca="1" si="10"/>
        <v>#N/A</v>
      </c>
      <c r="P503" s="34" t="e">
        <f>I503/H503*VLOOKUP(F501,'[1]Membership Level'!$A$3:$C$15,3,FALSE)+K503</f>
        <v>#DIV/0!</v>
      </c>
      <c r="Q503" s="36"/>
    </row>
    <row r="504" spans="3:17" x14ac:dyDescent="0.25">
      <c r="C504" s="36"/>
      <c r="D504" s="36"/>
      <c r="E504" s="35"/>
      <c r="F504" s="36"/>
      <c r="G504" s="36"/>
      <c r="H504" s="30"/>
      <c r="I504" s="30"/>
      <c r="J504" s="31"/>
      <c r="K504" s="43"/>
      <c r="L504" s="32" t="e">
        <f>DATE(YEAR(K504),MONTH(K504)+VLOOKUP($F502,'[1]Membership Level'!$A$3:$B$15,2,FALSE),DAY(K504))</f>
        <v>#N/A</v>
      </c>
      <c r="M504" s="36"/>
      <c r="N504" s="34" t="e">
        <f>IF($L504&lt;&gt;0,DATE(YEAR($L504),MONTH($L504)-#REF!,DAY($L504)-$M504),"")</f>
        <v>#N/A</v>
      </c>
      <c r="O504" s="33" t="e">
        <f t="shared" ca="1" si="10"/>
        <v>#N/A</v>
      </c>
      <c r="P504" s="34" t="e">
        <f>I504/H504*VLOOKUP(F502,'[1]Membership Level'!$A$3:$C$15,3,FALSE)+K504</f>
        <v>#DIV/0!</v>
      </c>
      <c r="Q504" s="36"/>
    </row>
    <row r="505" spans="3:17" x14ac:dyDescent="0.25">
      <c r="C505" s="36"/>
      <c r="D505" s="36"/>
      <c r="E505" s="35"/>
      <c r="F505" s="36"/>
      <c r="G505" s="36"/>
      <c r="H505" s="30"/>
      <c r="I505" s="30"/>
      <c r="J505" s="31"/>
      <c r="K505" s="43"/>
      <c r="L505" s="32" t="e">
        <f>DATE(YEAR(K505),MONTH(K505)+VLOOKUP($F503,'[1]Membership Level'!$A$3:$B$15,2,FALSE),DAY(K505))</f>
        <v>#N/A</v>
      </c>
      <c r="M505" s="36"/>
      <c r="N505" s="34" t="e">
        <f>IF($L505&lt;&gt;0,DATE(YEAR($L505),MONTH($L505)-#REF!,DAY($L505)-$M505),"")</f>
        <v>#N/A</v>
      </c>
      <c r="O505" s="33" t="e">
        <f t="shared" ca="1" si="10"/>
        <v>#N/A</v>
      </c>
      <c r="P505" s="34" t="e">
        <f>I505/H505*VLOOKUP(F503,'[1]Membership Level'!$A$3:$C$15,3,FALSE)+K505</f>
        <v>#DIV/0!</v>
      </c>
      <c r="Q505" s="36"/>
    </row>
    <row r="506" spans="3:17" x14ac:dyDescent="0.25">
      <c r="C506" s="36"/>
      <c r="D506" s="36"/>
      <c r="E506" s="36"/>
      <c r="F506" s="36"/>
      <c r="G506" s="36"/>
      <c r="H506" s="30"/>
      <c r="I506" s="30"/>
      <c r="J506" s="31"/>
      <c r="K506" s="43"/>
      <c r="L506" s="32" t="e">
        <f>DATE(YEAR(K506),MONTH(K506)+VLOOKUP($F504,'[1]Membership Level'!$A$3:$B$15,2,FALSE),DAY(K506))</f>
        <v>#N/A</v>
      </c>
      <c r="M506" s="36"/>
      <c r="N506" s="34" t="e">
        <f>IF($L506&lt;&gt;0,DATE(YEAR($L506),MONTH($L506)-#REF!,DAY($L506)-$M506),"")</f>
        <v>#N/A</v>
      </c>
      <c r="O506" s="33" t="e">
        <f t="shared" ca="1" si="10"/>
        <v>#N/A</v>
      </c>
      <c r="P506" s="34" t="e">
        <f>I506/H506*VLOOKUP(F504,'[1]Membership Level'!$A$3:$C$15,3,FALSE)+K506</f>
        <v>#DIV/0!</v>
      </c>
      <c r="Q506" s="36"/>
    </row>
    <row r="507" spans="3:17" x14ac:dyDescent="0.25">
      <c r="C507" s="36"/>
      <c r="D507" s="36"/>
      <c r="E507" s="35"/>
      <c r="F507" s="36"/>
      <c r="G507" s="36"/>
      <c r="H507" s="30"/>
      <c r="I507" s="30"/>
      <c r="J507" s="31"/>
      <c r="K507" s="43"/>
      <c r="L507" s="32" t="e">
        <f>DATE(YEAR(K507),MONTH(K507)+VLOOKUP($F505,'[1]Membership Level'!$A$3:$B$15,2,FALSE),DAY(K507))</f>
        <v>#N/A</v>
      </c>
      <c r="M507" s="36"/>
      <c r="N507" s="34" t="e">
        <f>IF($L507&lt;&gt;0,DATE(YEAR($L507),MONTH($L507)-#REF!,DAY($L507)-$M507),"")</f>
        <v>#N/A</v>
      </c>
      <c r="O507" s="33" t="e">
        <f t="shared" ca="1" si="10"/>
        <v>#N/A</v>
      </c>
      <c r="P507" s="34" t="e">
        <f>I507/H507*VLOOKUP(F505,'[1]Membership Level'!$A$3:$C$15,3,FALSE)+K507</f>
        <v>#DIV/0!</v>
      </c>
      <c r="Q507" s="36"/>
    </row>
    <row r="508" spans="3:17" x14ac:dyDescent="0.25">
      <c r="C508" s="36"/>
      <c r="D508" s="36"/>
      <c r="E508" s="66"/>
      <c r="F508" s="36"/>
      <c r="G508" s="36"/>
      <c r="H508" s="30"/>
      <c r="I508" s="30"/>
      <c r="J508" s="31"/>
      <c r="K508" s="43"/>
      <c r="L508" s="32" t="e">
        <f>DATE(YEAR(K508),MONTH(K508)+VLOOKUP($F506,'[1]Membership Level'!$A$3:$B$15,2,FALSE),DAY(K508))</f>
        <v>#N/A</v>
      </c>
      <c r="M508" s="36"/>
      <c r="N508" s="34" t="e">
        <f>IF($L508&lt;&gt;0,DATE(YEAR($L508),MONTH($L508)-#REF!,DAY($L508)-$M508),"")</f>
        <v>#N/A</v>
      </c>
      <c r="O508" s="33" t="e">
        <f t="shared" ca="1" si="10"/>
        <v>#N/A</v>
      </c>
      <c r="P508" s="34" t="e">
        <f>I508/H508*VLOOKUP(F506,'[1]Membership Level'!$A$3:$C$15,3,FALSE)+K508</f>
        <v>#DIV/0!</v>
      </c>
      <c r="Q508" s="36"/>
    </row>
    <row r="509" spans="3:17" x14ac:dyDescent="0.25">
      <c r="C509" s="36"/>
      <c r="D509" s="36"/>
      <c r="E509" s="66"/>
      <c r="F509" s="36"/>
      <c r="G509" s="36"/>
      <c r="H509" s="30"/>
      <c r="I509" s="30"/>
      <c r="J509" s="31"/>
      <c r="K509" s="43"/>
      <c r="L509" s="32" t="e">
        <f>DATE(YEAR(K509),MONTH(K509)+VLOOKUP($F507,'[1]Membership Level'!$A$3:$B$15,2,FALSE),DAY(K509))</f>
        <v>#N/A</v>
      </c>
      <c r="M509" s="36"/>
      <c r="N509" s="34" t="e">
        <f>IF($L509&lt;&gt;0,DATE(YEAR($L509),MONTH($L509)-#REF!,DAY($L509)-$M509),"")</f>
        <v>#N/A</v>
      </c>
      <c r="O509" s="33" t="e">
        <f t="shared" ref="O509:O572" ca="1" si="11">IF(DAYS360(NOW(), $L509) &gt;= 0, DAYS360(NOW(), $L509), "")</f>
        <v>#N/A</v>
      </c>
      <c r="P509" s="34" t="e">
        <f>I509/H509*VLOOKUP(F507,'[1]Membership Level'!$A$3:$C$15,3,FALSE)+K509</f>
        <v>#DIV/0!</v>
      </c>
      <c r="Q509" s="36"/>
    </row>
    <row r="510" spans="3:17" x14ac:dyDescent="0.25">
      <c r="C510" s="36"/>
      <c r="D510" s="36"/>
      <c r="E510" s="35"/>
      <c r="F510" s="36"/>
      <c r="G510" s="36"/>
      <c r="H510" s="30"/>
      <c r="I510" s="30"/>
      <c r="J510" s="31"/>
      <c r="K510" s="43"/>
      <c r="L510" s="32" t="e">
        <f>DATE(YEAR(K510),MONTH(K510)+VLOOKUP($F508,'[1]Membership Level'!$A$3:$B$15,2,FALSE),DAY(K510))</f>
        <v>#N/A</v>
      </c>
      <c r="M510" s="36"/>
      <c r="N510" s="34" t="e">
        <f>IF($L510&lt;&gt;0,DATE(YEAR($L510),MONTH($L510)-#REF!,DAY($L510)-$M510),"")</f>
        <v>#N/A</v>
      </c>
      <c r="O510" s="33" t="e">
        <f t="shared" ca="1" si="11"/>
        <v>#N/A</v>
      </c>
      <c r="P510" s="34" t="e">
        <f>I510/H510*VLOOKUP(F508,'[1]Membership Level'!$A$3:$C$15,3,FALSE)+K510</f>
        <v>#DIV/0!</v>
      </c>
      <c r="Q510" s="36"/>
    </row>
    <row r="511" spans="3:17" x14ac:dyDescent="0.25">
      <c r="C511" s="36"/>
      <c r="D511" s="36"/>
      <c r="E511" s="35"/>
      <c r="F511" s="36"/>
      <c r="G511" s="36"/>
      <c r="H511" s="30"/>
      <c r="I511" s="30"/>
      <c r="J511" s="31"/>
      <c r="K511" s="43"/>
      <c r="L511" s="32" t="e">
        <f>DATE(YEAR(K511),MONTH(K511)+VLOOKUP($F509,'[1]Membership Level'!$A$3:$B$15,2,FALSE),DAY(K511))</f>
        <v>#N/A</v>
      </c>
      <c r="M511" s="36"/>
      <c r="N511" s="34" t="e">
        <f>IF($L511&lt;&gt;0,DATE(YEAR($L511),MONTH($L511)-#REF!,DAY($L511)-$M511),"")</f>
        <v>#N/A</v>
      </c>
      <c r="O511" s="33" t="e">
        <f t="shared" ca="1" si="11"/>
        <v>#N/A</v>
      </c>
      <c r="P511" s="34" t="e">
        <f>I511/H511*VLOOKUP(F509,'[1]Membership Level'!$A$3:$C$15,3,FALSE)+K511</f>
        <v>#DIV/0!</v>
      </c>
      <c r="Q511" s="36"/>
    </row>
    <row r="512" spans="3:17" x14ac:dyDescent="0.25">
      <c r="C512" s="36"/>
      <c r="D512" s="36"/>
      <c r="E512" s="35"/>
      <c r="F512" s="36"/>
      <c r="G512" s="36"/>
      <c r="H512" s="30"/>
      <c r="I512" s="30"/>
      <c r="J512" s="31"/>
      <c r="K512" s="43"/>
      <c r="L512" s="32" t="e">
        <f>DATE(YEAR(K512),MONTH(K512)+VLOOKUP($F510,'[1]Membership Level'!$A$3:$B$15,2,FALSE),DAY(K512))</f>
        <v>#N/A</v>
      </c>
      <c r="M512" s="36"/>
      <c r="N512" s="34" t="e">
        <f>IF($L512&lt;&gt;0,DATE(YEAR($L512),MONTH($L512)-#REF!,DAY($L512)-$M512),"")</f>
        <v>#N/A</v>
      </c>
      <c r="O512" s="33" t="e">
        <f t="shared" ca="1" si="11"/>
        <v>#N/A</v>
      </c>
      <c r="P512" s="34" t="e">
        <f>I512/H512*VLOOKUP(F510,'[1]Membership Level'!$A$3:$C$15,3,FALSE)+K512</f>
        <v>#DIV/0!</v>
      </c>
      <c r="Q512" s="36"/>
    </row>
    <row r="513" spans="3:17" x14ac:dyDescent="0.25">
      <c r="C513" s="36"/>
      <c r="D513" s="36"/>
      <c r="E513" s="35"/>
      <c r="F513" s="36"/>
      <c r="G513" s="36"/>
      <c r="H513" s="30"/>
      <c r="I513" s="30"/>
      <c r="J513" s="31"/>
      <c r="K513" s="43"/>
      <c r="L513" s="32" t="e">
        <f>DATE(YEAR(K513),MONTH(K513)+VLOOKUP($F511,'[1]Membership Level'!$A$3:$B$15,2,FALSE),DAY(K513))</f>
        <v>#N/A</v>
      </c>
      <c r="M513" s="36"/>
      <c r="N513" s="34" t="e">
        <f>IF($L513&lt;&gt;0,DATE(YEAR($L513),MONTH($L513)-#REF!,DAY($L513)-$M513),"")</f>
        <v>#N/A</v>
      </c>
      <c r="O513" s="33" t="e">
        <f t="shared" ca="1" si="11"/>
        <v>#N/A</v>
      </c>
      <c r="P513" s="34" t="e">
        <f>I513/H513*VLOOKUP(F511,'[1]Membership Level'!$A$3:$C$15,3,FALSE)+K513</f>
        <v>#DIV/0!</v>
      </c>
      <c r="Q513" s="36"/>
    </row>
    <row r="514" spans="3:17" x14ac:dyDescent="0.25">
      <c r="C514" s="36"/>
      <c r="D514" s="36"/>
      <c r="E514" s="35"/>
      <c r="F514" s="36"/>
      <c r="G514" s="36"/>
      <c r="H514" s="30"/>
      <c r="I514" s="30"/>
      <c r="J514" s="31"/>
      <c r="K514" s="43"/>
      <c r="L514" s="32" t="e">
        <f>DATE(YEAR(K514),MONTH(K514)+VLOOKUP($F512,'[1]Membership Level'!$A$3:$B$15,2,FALSE),DAY(K514))</f>
        <v>#N/A</v>
      </c>
      <c r="M514" s="36"/>
      <c r="N514" s="34" t="e">
        <f>IF($L514&lt;&gt;0,DATE(YEAR($L514),MONTH($L514)-#REF!,DAY($L514)-$M514),"")</f>
        <v>#N/A</v>
      </c>
      <c r="O514" s="33" t="e">
        <f t="shared" ca="1" si="11"/>
        <v>#N/A</v>
      </c>
      <c r="P514" s="34" t="e">
        <f>I514/H514*VLOOKUP(F512,'[1]Membership Level'!$A$3:$C$15,3,FALSE)+K514</f>
        <v>#DIV/0!</v>
      </c>
      <c r="Q514" s="36"/>
    </row>
    <row r="515" spans="3:17" x14ac:dyDescent="0.25">
      <c r="C515" s="36"/>
      <c r="D515" s="36"/>
      <c r="E515" s="35"/>
      <c r="F515" s="36"/>
      <c r="G515" s="36"/>
      <c r="H515" s="30"/>
      <c r="I515" s="30"/>
      <c r="J515" s="31"/>
      <c r="K515" s="43"/>
      <c r="L515" s="32" t="e">
        <f>DATE(YEAR(K515),MONTH(K515)+VLOOKUP($F513,'[1]Membership Level'!$A$3:$B$15,2,FALSE),DAY(K515))</f>
        <v>#N/A</v>
      </c>
      <c r="M515" s="36"/>
      <c r="N515" s="34" t="e">
        <f>IF($L515&lt;&gt;0,DATE(YEAR($L515),MONTH($L515)-#REF!,DAY($L515)-$M515),"")</f>
        <v>#N/A</v>
      </c>
      <c r="O515" s="33" t="e">
        <f t="shared" ca="1" si="11"/>
        <v>#N/A</v>
      </c>
      <c r="P515" s="34" t="e">
        <f>I515/H515*VLOOKUP(F513,'[1]Membership Level'!$A$3:$C$15,3,FALSE)+K515</f>
        <v>#DIV/0!</v>
      </c>
      <c r="Q515" s="36"/>
    </row>
    <row r="516" spans="3:17" x14ac:dyDescent="0.25">
      <c r="C516" s="36"/>
      <c r="D516" s="36"/>
      <c r="E516" s="35"/>
      <c r="F516" s="36"/>
      <c r="G516" s="36"/>
      <c r="H516" s="30"/>
      <c r="I516" s="30"/>
      <c r="J516" s="31"/>
      <c r="K516" s="43"/>
      <c r="L516" s="32" t="e">
        <f>DATE(YEAR(K516),MONTH(K516)+VLOOKUP($F514,'[1]Membership Level'!$A$3:$B$15,2,FALSE),DAY(K516))</f>
        <v>#N/A</v>
      </c>
      <c r="M516" s="36"/>
      <c r="N516" s="34" t="e">
        <f>IF($L516&lt;&gt;0,DATE(YEAR($L516),MONTH($L516)-#REF!,DAY($L516)-$M516),"")</f>
        <v>#N/A</v>
      </c>
      <c r="O516" s="33" t="e">
        <f t="shared" ca="1" si="11"/>
        <v>#N/A</v>
      </c>
      <c r="P516" s="34" t="e">
        <f>I516/H516*VLOOKUP(F514,'[1]Membership Level'!$A$3:$C$15,3,FALSE)+K516</f>
        <v>#DIV/0!</v>
      </c>
      <c r="Q516" s="36"/>
    </row>
    <row r="517" spans="3:17" x14ac:dyDescent="0.25">
      <c r="C517" s="36"/>
      <c r="D517" s="36"/>
      <c r="E517" s="35"/>
      <c r="F517" s="36"/>
      <c r="G517" s="36"/>
      <c r="H517" s="30"/>
      <c r="I517" s="30"/>
      <c r="J517" s="31"/>
      <c r="K517" s="43"/>
      <c r="L517" s="32" t="e">
        <f>DATE(YEAR(K517),MONTH(K517)+VLOOKUP($F515,'[1]Membership Level'!$A$3:$B$15,2,FALSE),DAY(K517))</f>
        <v>#N/A</v>
      </c>
      <c r="M517" s="36"/>
      <c r="N517" s="34" t="e">
        <f>IF($L517&lt;&gt;0,DATE(YEAR($L517),MONTH($L517)-#REF!,DAY($L517)-$M517),"")</f>
        <v>#N/A</v>
      </c>
      <c r="O517" s="33" t="e">
        <f t="shared" ca="1" si="11"/>
        <v>#N/A</v>
      </c>
      <c r="P517" s="34" t="e">
        <f>I517/H517*VLOOKUP(F515,'[1]Membership Level'!$A$3:$C$15,3,FALSE)+K517</f>
        <v>#DIV/0!</v>
      </c>
      <c r="Q517" s="36"/>
    </row>
    <row r="518" spans="3:17" x14ac:dyDescent="0.25">
      <c r="C518" s="36"/>
      <c r="D518" s="36"/>
      <c r="E518" s="35"/>
      <c r="F518" s="36"/>
      <c r="G518" s="36"/>
      <c r="H518" s="30"/>
      <c r="I518" s="30"/>
      <c r="J518" s="31"/>
      <c r="K518" s="43"/>
      <c r="L518" s="32" t="e">
        <f>DATE(YEAR(K518),MONTH(K518)+VLOOKUP($F516,'[1]Membership Level'!$A$3:$B$15,2,FALSE),DAY(K518))</f>
        <v>#N/A</v>
      </c>
      <c r="M518" s="36"/>
      <c r="N518" s="34" t="e">
        <f>IF($L518&lt;&gt;0,DATE(YEAR($L518),MONTH($L518)-#REF!,DAY($L518)-$M518),"")</f>
        <v>#N/A</v>
      </c>
      <c r="O518" s="33" t="e">
        <f t="shared" ca="1" si="11"/>
        <v>#N/A</v>
      </c>
      <c r="P518" s="34" t="e">
        <f>I518/H518*VLOOKUP(F516,'[1]Membership Level'!$A$3:$C$15,3,FALSE)+K518</f>
        <v>#DIV/0!</v>
      </c>
      <c r="Q518" s="36"/>
    </row>
    <row r="519" spans="3:17" x14ac:dyDescent="0.25">
      <c r="C519" s="36"/>
      <c r="D519" s="36"/>
      <c r="E519" s="35"/>
      <c r="F519" s="36"/>
      <c r="G519" s="36"/>
      <c r="H519" s="30"/>
      <c r="I519" s="30"/>
      <c r="J519" s="31"/>
      <c r="K519" s="43"/>
      <c r="L519" s="32" t="e">
        <f>DATE(YEAR(K519),MONTH(K519)+VLOOKUP($F517,'[1]Membership Level'!$A$3:$B$15,2,FALSE),DAY(K519))</f>
        <v>#N/A</v>
      </c>
      <c r="M519" s="36"/>
      <c r="N519" s="34" t="e">
        <f>IF($L519&lt;&gt;0,DATE(YEAR($L519),MONTH($L519)-#REF!,DAY($L519)-$M519),"")</f>
        <v>#N/A</v>
      </c>
      <c r="O519" s="33" t="e">
        <f t="shared" ca="1" si="11"/>
        <v>#N/A</v>
      </c>
      <c r="P519" s="34" t="e">
        <f>I519/H519*VLOOKUP(F517,'[1]Membership Level'!$A$3:$C$15,3,FALSE)+K519</f>
        <v>#DIV/0!</v>
      </c>
      <c r="Q519" s="36"/>
    </row>
    <row r="520" spans="3:17" x14ac:dyDescent="0.25">
      <c r="C520" s="36"/>
      <c r="D520" s="36"/>
      <c r="E520" s="35"/>
      <c r="F520" s="36"/>
      <c r="G520" s="36"/>
      <c r="H520" s="30"/>
      <c r="I520" s="30"/>
      <c r="J520" s="31"/>
      <c r="K520" s="43"/>
      <c r="L520" s="32" t="e">
        <f>DATE(YEAR(K520),MONTH(K520)+VLOOKUP($F518,'[1]Membership Level'!$A$3:$B$15,2,FALSE),DAY(K520))</f>
        <v>#N/A</v>
      </c>
      <c r="M520" s="36"/>
      <c r="N520" s="34" t="e">
        <f>IF($L520&lt;&gt;0,DATE(YEAR($L520),MONTH($L520)-#REF!,DAY($L520)-$M520),"")</f>
        <v>#N/A</v>
      </c>
      <c r="O520" s="33" t="e">
        <f t="shared" ca="1" si="11"/>
        <v>#N/A</v>
      </c>
      <c r="P520" s="34" t="e">
        <f>I520/H520*VLOOKUP(F518,'[1]Membership Level'!$A$3:$C$15,3,FALSE)+K520</f>
        <v>#DIV/0!</v>
      </c>
      <c r="Q520" s="36"/>
    </row>
    <row r="521" spans="3:17" x14ac:dyDescent="0.25">
      <c r="C521" s="36"/>
      <c r="D521" s="36"/>
      <c r="E521" s="35"/>
      <c r="F521" s="36"/>
      <c r="G521" s="36"/>
      <c r="H521" s="30"/>
      <c r="I521" s="30"/>
      <c r="J521" s="31"/>
      <c r="K521" s="43"/>
      <c r="L521" s="32" t="e">
        <f>DATE(YEAR(K521),MONTH(K521)+VLOOKUP($F519,'[1]Membership Level'!$A$3:$B$15,2,FALSE),DAY(K521))</f>
        <v>#N/A</v>
      </c>
      <c r="M521" s="36"/>
      <c r="N521" s="34" t="e">
        <f>IF($L521&lt;&gt;0,DATE(YEAR($L521),MONTH($L521)-#REF!,DAY($L521)-$M521),"")</f>
        <v>#N/A</v>
      </c>
      <c r="O521" s="33" t="e">
        <f t="shared" ca="1" si="11"/>
        <v>#N/A</v>
      </c>
      <c r="P521" s="34" t="e">
        <f>I521/H521*VLOOKUP(F519,'[1]Membership Level'!$A$3:$C$15,3,FALSE)+K521</f>
        <v>#DIV/0!</v>
      </c>
      <c r="Q521" s="36"/>
    </row>
    <row r="522" spans="3:17" x14ac:dyDescent="0.25">
      <c r="C522" s="36"/>
      <c r="D522" s="36"/>
      <c r="E522" s="35"/>
      <c r="F522" s="36"/>
      <c r="G522" s="36"/>
      <c r="H522" s="30"/>
      <c r="I522" s="30"/>
      <c r="J522" s="31"/>
      <c r="K522" s="43"/>
      <c r="L522" s="32" t="e">
        <f>DATE(YEAR(K522),MONTH(K522)+VLOOKUP($F520,'[1]Membership Level'!$A$3:$B$15,2,FALSE),DAY(K522))</f>
        <v>#N/A</v>
      </c>
      <c r="M522" s="36"/>
      <c r="N522" s="34" t="e">
        <f>IF($L522&lt;&gt;0,DATE(YEAR($L522),MONTH($L522)-#REF!,DAY($L522)-$M522),"")</f>
        <v>#N/A</v>
      </c>
      <c r="O522" s="33" t="e">
        <f t="shared" ca="1" si="11"/>
        <v>#N/A</v>
      </c>
      <c r="P522" s="34" t="e">
        <f>I522/H522*VLOOKUP(F520,'[1]Membership Level'!$A$3:$C$15,3,FALSE)+K522</f>
        <v>#DIV/0!</v>
      </c>
      <c r="Q522" s="36"/>
    </row>
    <row r="523" spans="3:17" x14ac:dyDescent="0.25">
      <c r="C523" s="36"/>
      <c r="D523" s="36"/>
      <c r="E523" s="36"/>
      <c r="F523" s="36"/>
      <c r="G523" s="36"/>
      <c r="H523" s="30"/>
      <c r="I523" s="30"/>
      <c r="J523" s="31"/>
      <c r="K523" s="43"/>
      <c r="L523" s="32" t="e">
        <f>DATE(YEAR(K523),MONTH(K523)+VLOOKUP($F521,'[1]Membership Level'!$A$3:$B$15,2,FALSE),DAY(K523))</f>
        <v>#N/A</v>
      </c>
      <c r="M523" s="36"/>
      <c r="N523" s="34" t="e">
        <f>IF($L523&lt;&gt;0,DATE(YEAR($L523),MONTH($L523)-#REF!,DAY($L523)-$M523),"")</f>
        <v>#N/A</v>
      </c>
      <c r="O523" s="33" t="e">
        <f t="shared" ca="1" si="11"/>
        <v>#N/A</v>
      </c>
      <c r="P523" s="34" t="e">
        <f>I523/H523*VLOOKUP(F521,'[1]Membership Level'!$A$3:$C$15,3,FALSE)+K523</f>
        <v>#DIV/0!</v>
      </c>
      <c r="Q523" s="36"/>
    </row>
    <row r="524" spans="3:17" x14ac:dyDescent="0.25">
      <c r="C524" s="36"/>
      <c r="D524" s="36"/>
      <c r="E524" s="35"/>
      <c r="F524" s="36"/>
      <c r="G524" s="36"/>
      <c r="H524" s="30"/>
      <c r="I524" s="30"/>
      <c r="J524" s="31"/>
      <c r="K524" s="43"/>
      <c r="L524" s="32" t="e">
        <f>DATE(YEAR(K524),MONTH(K524)+VLOOKUP($F522,'[1]Membership Level'!$A$3:$B$15,2,FALSE),DAY(K524))</f>
        <v>#N/A</v>
      </c>
      <c r="M524" s="36"/>
      <c r="N524" s="34" t="e">
        <f>IF($L524&lt;&gt;0,DATE(YEAR($L524),MONTH($L524)-#REF!,DAY($L524)-$M524),"")</f>
        <v>#N/A</v>
      </c>
      <c r="O524" s="33" t="e">
        <f t="shared" ca="1" si="11"/>
        <v>#N/A</v>
      </c>
      <c r="P524" s="34" t="e">
        <f>I524/H524*VLOOKUP(F522,'[1]Membership Level'!$A$3:$C$15,3,FALSE)+K524</f>
        <v>#DIV/0!</v>
      </c>
      <c r="Q524" s="36"/>
    </row>
    <row r="525" spans="3:17" x14ac:dyDescent="0.25">
      <c r="C525" s="36"/>
      <c r="D525" s="36"/>
      <c r="E525" s="35"/>
      <c r="F525" s="36"/>
      <c r="G525" s="36"/>
      <c r="H525" s="30"/>
      <c r="I525" s="30"/>
      <c r="J525" s="31"/>
      <c r="K525" s="43"/>
      <c r="L525" s="32" t="e">
        <f>DATE(YEAR(K525),MONTH(K525)+VLOOKUP($F523,'[1]Membership Level'!$A$3:$B$15,2,FALSE),DAY(K525))</f>
        <v>#N/A</v>
      </c>
      <c r="M525" s="36"/>
      <c r="N525" s="34" t="e">
        <f>IF($L525&lt;&gt;0,DATE(YEAR($L525),MONTH($L525)-#REF!,DAY($L525)-$M525),"")</f>
        <v>#N/A</v>
      </c>
      <c r="O525" s="33" t="e">
        <f t="shared" ca="1" si="11"/>
        <v>#N/A</v>
      </c>
      <c r="P525" s="34" t="e">
        <f>I525/H525*VLOOKUP(F523,'[1]Membership Level'!$A$3:$C$15,3,FALSE)+K525</f>
        <v>#DIV/0!</v>
      </c>
      <c r="Q525" s="36"/>
    </row>
    <row r="526" spans="3:17" x14ac:dyDescent="0.25">
      <c r="C526" s="36"/>
      <c r="D526" s="36"/>
      <c r="E526" s="35"/>
      <c r="F526" s="36"/>
      <c r="G526" s="36"/>
      <c r="H526" s="30"/>
      <c r="I526" s="30"/>
      <c r="J526" s="31"/>
      <c r="K526" s="43"/>
      <c r="L526" s="32" t="e">
        <f>DATE(YEAR(K526),MONTH(K526)+VLOOKUP($F524,'[1]Membership Level'!$A$3:$B$15,2,FALSE),DAY(K526))</f>
        <v>#N/A</v>
      </c>
      <c r="M526" s="36"/>
      <c r="N526" s="34" t="e">
        <f>IF($L526&lt;&gt;0,DATE(YEAR($L526),MONTH($L526)-#REF!,DAY($L526)-$M526),"")</f>
        <v>#N/A</v>
      </c>
      <c r="O526" s="33" t="e">
        <f t="shared" ca="1" si="11"/>
        <v>#N/A</v>
      </c>
      <c r="P526" s="34" t="e">
        <f>I526/H526*VLOOKUP(F524,'[1]Membership Level'!$A$3:$C$15,3,FALSE)+K526</f>
        <v>#DIV/0!</v>
      </c>
      <c r="Q526" s="36"/>
    </row>
    <row r="527" spans="3:17" x14ac:dyDescent="0.25">
      <c r="C527" s="36"/>
      <c r="D527" s="36"/>
      <c r="E527" s="35"/>
      <c r="F527" s="36"/>
      <c r="G527" s="36"/>
      <c r="H527" s="30"/>
      <c r="I527" s="30"/>
      <c r="J527" s="31"/>
      <c r="K527" s="43"/>
      <c r="L527" s="32" t="e">
        <f>DATE(YEAR(K527),MONTH(K527)+VLOOKUP($F525,'[1]Membership Level'!$A$3:$B$15,2,FALSE),DAY(K527))</f>
        <v>#N/A</v>
      </c>
      <c r="M527" s="36"/>
      <c r="N527" s="34" t="e">
        <f>IF($L527&lt;&gt;0,DATE(YEAR($L527),MONTH($L527)-#REF!,DAY($L527)-$M527),"")</f>
        <v>#N/A</v>
      </c>
      <c r="O527" s="33" t="e">
        <f t="shared" ca="1" si="11"/>
        <v>#N/A</v>
      </c>
      <c r="P527" s="34" t="e">
        <f>I527/H527*VLOOKUP(F525,'[1]Membership Level'!$A$3:$C$15,3,FALSE)+K527</f>
        <v>#DIV/0!</v>
      </c>
      <c r="Q527" s="36"/>
    </row>
    <row r="528" spans="3:17" x14ac:dyDescent="0.25">
      <c r="C528" s="36"/>
      <c r="D528" s="36"/>
      <c r="E528" s="35"/>
      <c r="F528" s="36"/>
      <c r="G528" s="36"/>
      <c r="H528" s="30"/>
      <c r="I528" s="30"/>
      <c r="J528" s="31"/>
      <c r="K528" s="43"/>
      <c r="L528" s="32" t="e">
        <f>DATE(YEAR(K528),MONTH(K528)+VLOOKUP($F526,'[1]Membership Level'!$A$3:$B$15,2,FALSE),DAY(K528))</f>
        <v>#N/A</v>
      </c>
      <c r="M528" s="36"/>
      <c r="N528" s="34" t="e">
        <f>IF($L528&lt;&gt;0,DATE(YEAR($L528),MONTH($L528)-#REF!,DAY($L528)-$M528),"")</f>
        <v>#N/A</v>
      </c>
      <c r="O528" s="33" t="e">
        <f t="shared" ca="1" si="11"/>
        <v>#N/A</v>
      </c>
      <c r="P528" s="34" t="e">
        <f>I528/H528*VLOOKUP(F526,'[1]Membership Level'!$A$3:$C$15,3,FALSE)+K528</f>
        <v>#DIV/0!</v>
      </c>
      <c r="Q528" s="36"/>
    </row>
    <row r="529" spans="3:17" x14ac:dyDescent="0.25">
      <c r="C529" s="36"/>
      <c r="D529" s="36"/>
      <c r="E529" s="35"/>
      <c r="F529" s="36"/>
      <c r="G529" s="36"/>
      <c r="H529" s="30"/>
      <c r="I529" s="30"/>
      <c r="J529" s="31"/>
      <c r="K529" s="43"/>
      <c r="L529" s="32" t="e">
        <f>DATE(YEAR(K529),MONTH(K529)+VLOOKUP($F527,'[1]Membership Level'!$A$3:$B$15,2,FALSE),DAY(K529))</f>
        <v>#N/A</v>
      </c>
      <c r="M529" s="36"/>
      <c r="N529" s="34" t="e">
        <f>IF($L529&lt;&gt;0,DATE(YEAR($L529),MONTH($L529)-#REF!,DAY($L529)-$M529),"")</f>
        <v>#N/A</v>
      </c>
      <c r="O529" s="33" t="e">
        <f t="shared" ca="1" si="11"/>
        <v>#N/A</v>
      </c>
      <c r="P529" s="34" t="e">
        <f>I529/H529*VLOOKUP(F527,'[1]Membership Level'!$A$3:$C$15,3,FALSE)+K529</f>
        <v>#DIV/0!</v>
      </c>
      <c r="Q529" s="36"/>
    </row>
    <row r="530" spans="3:17" x14ac:dyDescent="0.25">
      <c r="C530" s="36"/>
      <c r="D530" s="36"/>
      <c r="E530" s="35"/>
      <c r="F530" s="36"/>
      <c r="G530" s="36"/>
      <c r="H530" s="30"/>
      <c r="I530" s="30"/>
      <c r="J530" s="31"/>
      <c r="K530" s="43"/>
      <c r="L530" s="32" t="e">
        <f>DATE(YEAR(K530),MONTH(K530)+VLOOKUP($F528,'[1]Membership Level'!$A$3:$B$15,2,FALSE),DAY(K530))</f>
        <v>#N/A</v>
      </c>
      <c r="M530" s="36"/>
      <c r="N530" s="34" t="e">
        <f>IF($L530&lt;&gt;0,DATE(YEAR($L530),MONTH($L530)-#REF!,DAY($L530)-$M530),"")</f>
        <v>#N/A</v>
      </c>
      <c r="O530" s="33" t="e">
        <f t="shared" ca="1" si="11"/>
        <v>#N/A</v>
      </c>
      <c r="P530" s="34" t="e">
        <f>I530/H530*VLOOKUP(F528,'[1]Membership Level'!$A$3:$C$15,3,FALSE)+K530</f>
        <v>#DIV/0!</v>
      </c>
      <c r="Q530" s="36"/>
    </row>
    <row r="531" spans="3:17" x14ac:dyDescent="0.25">
      <c r="C531" s="36"/>
      <c r="D531" s="36"/>
      <c r="E531" s="35"/>
      <c r="F531" s="36"/>
      <c r="G531" s="36"/>
      <c r="H531" s="30"/>
      <c r="I531" s="30"/>
      <c r="J531" s="31"/>
      <c r="K531" s="43"/>
      <c r="L531" s="32" t="e">
        <f>DATE(YEAR(K531),MONTH(K531)+VLOOKUP($F529,'[1]Membership Level'!$A$3:$B$15,2,FALSE),DAY(K531))</f>
        <v>#N/A</v>
      </c>
      <c r="M531" s="36"/>
      <c r="N531" s="34" t="e">
        <f>IF($L531&lt;&gt;0,DATE(YEAR($L531),MONTH($L531)-#REF!,DAY($L531)-$M531),"")</f>
        <v>#N/A</v>
      </c>
      <c r="O531" s="33" t="e">
        <f t="shared" ca="1" si="11"/>
        <v>#N/A</v>
      </c>
      <c r="P531" s="34" t="e">
        <f>I531/H531*VLOOKUP(F529,'[1]Membership Level'!$A$3:$C$15,3,FALSE)+K531</f>
        <v>#DIV/0!</v>
      </c>
      <c r="Q531" s="35"/>
    </row>
    <row r="532" spans="3:17" x14ac:dyDescent="0.25">
      <c r="C532" s="36"/>
      <c r="D532" s="36"/>
      <c r="E532" s="35"/>
      <c r="F532" s="36"/>
      <c r="G532" s="36"/>
      <c r="H532" s="30"/>
      <c r="I532" s="30"/>
      <c r="J532" s="31"/>
      <c r="K532" s="43"/>
      <c r="L532" s="32" t="e">
        <f>DATE(YEAR(K532),MONTH(K532)+VLOOKUP($F530,'[1]Membership Level'!$A$3:$B$15,2,FALSE),DAY(K532))</f>
        <v>#N/A</v>
      </c>
      <c r="M532" s="36"/>
      <c r="N532" s="34" t="e">
        <f>IF($L532&lt;&gt;0,DATE(YEAR($L532),MONTH($L532)-#REF!,DAY($L532)-$M532),"")</f>
        <v>#N/A</v>
      </c>
      <c r="O532" s="33" t="e">
        <f t="shared" ca="1" si="11"/>
        <v>#N/A</v>
      </c>
      <c r="P532" s="34" t="e">
        <f>I532/H532*VLOOKUP(F530,'[1]Membership Level'!$A$3:$C$15,3,FALSE)+K532</f>
        <v>#DIV/0!</v>
      </c>
      <c r="Q532" s="35"/>
    </row>
    <row r="533" spans="3:17" x14ac:dyDescent="0.25">
      <c r="C533" s="36"/>
      <c r="D533" s="36"/>
      <c r="E533" s="35"/>
      <c r="F533" s="36"/>
      <c r="G533" s="36"/>
      <c r="H533" s="30"/>
      <c r="I533" s="30"/>
      <c r="J533" s="31"/>
      <c r="K533" s="43"/>
      <c r="L533" s="32" t="e">
        <f>DATE(YEAR(K533),MONTH(K533)+VLOOKUP($F531,'[1]Membership Level'!$A$3:$B$15,2,FALSE),DAY(K533))</f>
        <v>#N/A</v>
      </c>
      <c r="M533" s="36"/>
      <c r="N533" s="34" t="e">
        <f>IF($L533&lt;&gt;0,DATE(YEAR($L533),MONTH($L533)-#REF!,DAY($L533)-$M533),"")</f>
        <v>#N/A</v>
      </c>
      <c r="O533" s="33" t="e">
        <f t="shared" ca="1" si="11"/>
        <v>#N/A</v>
      </c>
      <c r="P533" s="34" t="e">
        <f>I533/H533*VLOOKUP(F531,'[1]Membership Level'!$A$3:$C$15,3,FALSE)+K533</f>
        <v>#DIV/0!</v>
      </c>
      <c r="Q533" s="36"/>
    </row>
    <row r="534" spans="3:17" x14ac:dyDescent="0.25">
      <c r="C534" s="36"/>
      <c r="D534" s="36"/>
      <c r="E534" s="35"/>
      <c r="F534" s="36"/>
      <c r="G534" s="36"/>
      <c r="H534" s="30"/>
      <c r="I534" s="30"/>
      <c r="J534" s="31"/>
      <c r="K534" s="43"/>
      <c r="L534" s="32" t="e">
        <f>DATE(YEAR(K534),MONTH(K534)+VLOOKUP($F532,'[1]Membership Level'!$A$3:$B$15,2,FALSE),DAY(K534))</f>
        <v>#N/A</v>
      </c>
      <c r="M534" s="36"/>
      <c r="N534" s="34" t="e">
        <f>IF($L534&lt;&gt;0,DATE(YEAR($L534),MONTH($L534)-#REF!,DAY($L534)-$M534),"")</f>
        <v>#N/A</v>
      </c>
      <c r="O534" s="33" t="e">
        <f t="shared" ca="1" si="11"/>
        <v>#N/A</v>
      </c>
      <c r="P534" s="34" t="e">
        <f>I534/H534*VLOOKUP(F532,'[1]Membership Level'!$A$3:$C$15,3,FALSE)+K534</f>
        <v>#DIV/0!</v>
      </c>
      <c r="Q534" s="36"/>
    </row>
    <row r="535" spans="3:17" x14ac:dyDescent="0.25">
      <c r="C535" s="36"/>
      <c r="D535" s="36"/>
      <c r="E535" s="35"/>
      <c r="F535" s="36"/>
      <c r="G535" s="36"/>
      <c r="H535" s="30"/>
      <c r="I535" s="30"/>
      <c r="J535" s="31"/>
      <c r="K535" s="43"/>
      <c r="L535" s="32" t="e">
        <f>DATE(YEAR(K535),MONTH(K535)+VLOOKUP($F533,'[1]Membership Level'!$A$3:$B$15,2,FALSE),DAY(K535))</f>
        <v>#N/A</v>
      </c>
      <c r="M535" s="36"/>
      <c r="N535" s="34" t="e">
        <f>IF($L535&lt;&gt;0,DATE(YEAR($L535),MONTH($L535)-#REF!,DAY($L535)-$M535),"")</f>
        <v>#N/A</v>
      </c>
      <c r="O535" s="33" t="e">
        <f t="shared" ca="1" si="11"/>
        <v>#N/A</v>
      </c>
      <c r="P535" s="34" t="e">
        <f>I535/H535*VLOOKUP(F533,'[1]Membership Level'!$A$3:$C$15,3,FALSE)+K535</f>
        <v>#DIV/0!</v>
      </c>
      <c r="Q535" s="36"/>
    </row>
    <row r="536" spans="3:17" x14ac:dyDescent="0.25">
      <c r="C536" s="36"/>
      <c r="D536" s="36"/>
      <c r="E536" s="35"/>
      <c r="F536" s="36"/>
      <c r="G536" s="36"/>
      <c r="H536" s="30"/>
      <c r="I536" s="30"/>
      <c r="J536" s="31"/>
      <c r="K536" s="43"/>
      <c r="L536" s="32" t="e">
        <f>DATE(YEAR(K536),MONTH(K536)+VLOOKUP($F534,'[1]Membership Level'!$A$3:$B$15,2,FALSE),DAY(K536))</f>
        <v>#N/A</v>
      </c>
      <c r="M536" s="36"/>
      <c r="N536" s="34" t="e">
        <f>IF($L536&lt;&gt;0,DATE(YEAR($L536),MONTH($L536)-#REF!,DAY($L536)-$M536),"")</f>
        <v>#N/A</v>
      </c>
      <c r="O536" s="33" t="e">
        <f t="shared" ca="1" si="11"/>
        <v>#N/A</v>
      </c>
      <c r="P536" s="34" t="e">
        <f>I536/H536*VLOOKUP(F534,'[1]Membership Level'!$A$3:$C$15,3,FALSE)+K536</f>
        <v>#DIV/0!</v>
      </c>
      <c r="Q536" s="36"/>
    </row>
    <row r="537" spans="3:17" x14ac:dyDescent="0.25">
      <c r="C537" s="36"/>
      <c r="D537" s="36"/>
      <c r="E537" s="35"/>
      <c r="F537" s="36"/>
      <c r="G537" s="36"/>
      <c r="H537" s="30"/>
      <c r="I537" s="30"/>
      <c r="J537" s="31"/>
      <c r="K537" s="43"/>
      <c r="L537" s="32" t="e">
        <f>DATE(YEAR(K537),MONTH(K537)+VLOOKUP($F535,'[1]Membership Level'!$A$3:$B$15,2,FALSE),DAY(K537))</f>
        <v>#N/A</v>
      </c>
      <c r="M537" s="36"/>
      <c r="N537" s="34" t="e">
        <f>IF($L537&lt;&gt;0,DATE(YEAR($L537),MONTH($L537)-#REF!,DAY($L537)-$M537),"")</f>
        <v>#N/A</v>
      </c>
      <c r="O537" s="33" t="e">
        <f t="shared" ca="1" si="11"/>
        <v>#N/A</v>
      </c>
      <c r="P537" s="34" t="e">
        <f>I537/H537*VLOOKUP(F535,'[1]Membership Level'!$A$3:$C$15,3,FALSE)+K537</f>
        <v>#DIV/0!</v>
      </c>
      <c r="Q537" s="36"/>
    </row>
    <row r="538" spans="3:17" x14ac:dyDescent="0.25">
      <c r="C538" s="36"/>
      <c r="D538" s="36"/>
      <c r="E538" s="36"/>
      <c r="F538" s="36"/>
      <c r="G538" s="36"/>
      <c r="H538" s="30"/>
      <c r="I538" s="30"/>
      <c r="J538" s="31"/>
      <c r="K538" s="43"/>
      <c r="L538" s="32" t="e">
        <f>DATE(YEAR(K538),MONTH(K538)+VLOOKUP($F536,'[1]Membership Level'!$A$3:$B$15,2,FALSE),DAY(K538))</f>
        <v>#N/A</v>
      </c>
      <c r="M538" s="36"/>
      <c r="N538" s="34" t="e">
        <f>IF($L538&lt;&gt;0,DATE(YEAR($L538),MONTH($L538)-#REF!,DAY($L538)-$M538),"")</f>
        <v>#N/A</v>
      </c>
      <c r="O538" s="33" t="e">
        <f t="shared" ca="1" si="11"/>
        <v>#N/A</v>
      </c>
      <c r="P538" s="34" t="e">
        <f>I538/H538*VLOOKUP(F536,'[1]Membership Level'!$A$3:$C$15,3,FALSE)+K538</f>
        <v>#DIV/0!</v>
      </c>
      <c r="Q538" s="36"/>
    </row>
    <row r="539" spans="3:17" x14ac:dyDescent="0.25">
      <c r="C539" s="36"/>
      <c r="D539" s="36"/>
      <c r="E539" s="35"/>
      <c r="F539" s="36"/>
      <c r="G539" s="36"/>
      <c r="H539" s="30"/>
      <c r="I539" s="30"/>
      <c r="J539" s="31"/>
      <c r="K539" s="43"/>
      <c r="L539" s="32" t="e">
        <f>DATE(YEAR(K539),MONTH(K539)+VLOOKUP($F537,'[1]Membership Level'!$A$3:$B$15,2,FALSE),DAY(K539))</f>
        <v>#N/A</v>
      </c>
      <c r="M539" s="36"/>
      <c r="N539" s="34" t="e">
        <f>IF($L539&lt;&gt;0,DATE(YEAR($L539),MONTH($L539)-#REF!,DAY($L539)-$M539),"")</f>
        <v>#N/A</v>
      </c>
      <c r="O539" s="33" t="e">
        <f t="shared" ca="1" si="11"/>
        <v>#N/A</v>
      </c>
      <c r="P539" s="34" t="e">
        <f>I539/H539*VLOOKUP(F537,'[1]Membership Level'!$A$3:$C$15,3,FALSE)+K539</f>
        <v>#DIV/0!</v>
      </c>
      <c r="Q539" s="36"/>
    </row>
    <row r="540" spans="3:17" x14ac:dyDescent="0.25">
      <c r="C540" s="36"/>
      <c r="D540" s="36"/>
      <c r="E540" s="35"/>
      <c r="F540" s="36"/>
      <c r="G540" s="36"/>
      <c r="H540" s="30"/>
      <c r="I540" s="30"/>
      <c r="J540" s="31"/>
      <c r="K540" s="43"/>
      <c r="L540" s="32" t="e">
        <f>DATE(YEAR(K540),MONTH(K540)+VLOOKUP($F538,'[1]Membership Level'!$A$3:$B$15,2,FALSE),DAY(K540))</f>
        <v>#N/A</v>
      </c>
      <c r="M540" s="36"/>
      <c r="N540" s="34" t="e">
        <f>IF($L540&lt;&gt;0,DATE(YEAR($L540),MONTH($L540)-#REF!,DAY($L540)-$M540),"")</f>
        <v>#N/A</v>
      </c>
      <c r="O540" s="33" t="e">
        <f t="shared" ca="1" si="11"/>
        <v>#N/A</v>
      </c>
      <c r="P540" s="34" t="e">
        <f>I540/H540*VLOOKUP(F538,'[1]Membership Level'!$A$3:$C$15,3,FALSE)+K540</f>
        <v>#DIV/0!</v>
      </c>
      <c r="Q540" s="36"/>
    </row>
    <row r="541" spans="3:17" x14ac:dyDescent="0.25">
      <c r="C541" s="36"/>
      <c r="D541" s="36"/>
      <c r="E541" s="35"/>
      <c r="F541" s="36"/>
      <c r="G541" s="36"/>
      <c r="H541" s="30"/>
      <c r="I541" s="30"/>
      <c r="J541" s="31"/>
      <c r="K541" s="43"/>
      <c r="L541" s="32" t="e">
        <f>DATE(YEAR(K541),MONTH(K541)+VLOOKUP($F539,'[1]Membership Level'!$A$3:$B$15,2,FALSE),DAY(K541))</f>
        <v>#N/A</v>
      </c>
      <c r="M541" s="36"/>
      <c r="N541" s="34" t="e">
        <f>IF($L541&lt;&gt;0,DATE(YEAR($L541),MONTH($L541)-#REF!,DAY($L541)-$M541),"")</f>
        <v>#N/A</v>
      </c>
      <c r="O541" s="33" t="e">
        <f t="shared" ca="1" si="11"/>
        <v>#N/A</v>
      </c>
      <c r="P541" s="34" t="e">
        <f>I541/H541*VLOOKUP(F539,'[1]Membership Level'!$A$3:$C$15,3,FALSE)+K541</f>
        <v>#DIV/0!</v>
      </c>
      <c r="Q541" s="36"/>
    </row>
    <row r="542" spans="3:17" x14ac:dyDescent="0.25">
      <c r="C542" s="36"/>
      <c r="D542" s="36"/>
      <c r="E542" s="35"/>
      <c r="F542" s="36"/>
      <c r="G542" s="36"/>
      <c r="H542" s="30"/>
      <c r="I542" s="30"/>
      <c r="J542" s="31"/>
      <c r="K542" s="43"/>
      <c r="L542" s="32" t="e">
        <f>DATE(YEAR(K542),MONTH(K542)+VLOOKUP($F540,'[1]Membership Level'!$A$3:$B$15,2,FALSE),DAY(K542))</f>
        <v>#N/A</v>
      </c>
      <c r="M542" s="36"/>
      <c r="N542" s="34" t="e">
        <f>IF($L542&lt;&gt;0,DATE(YEAR($L542),MONTH($L542)-#REF!,DAY($L542)-$M542),"")</f>
        <v>#N/A</v>
      </c>
      <c r="O542" s="33" t="e">
        <f t="shared" ca="1" si="11"/>
        <v>#N/A</v>
      </c>
      <c r="P542" s="34" t="e">
        <f>I542/H542*VLOOKUP(F540,'[1]Membership Level'!$A$3:$C$15,3,FALSE)+K542</f>
        <v>#DIV/0!</v>
      </c>
      <c r="Q542" s="36"/>
    </row>
    <row r="543" spans="3:17" x14ac:dyDescent="0.25">
      <c r="C543" s="36"/>
      <c r="D543" s="36"/>
      <c r="E543" s="35"/>
      <c r="F543" s="36"/>
      <c r="G543" s="36"/>
      <c r="H543" s="30"/>
      <c r="I543" s="30"/>
      <c r="J543" s="31"/>
      <c r="K543" s="43"/>
      <c r="L543" s="32" t="e">
        <f>DATE(YEAR(K543),MONTH(K543)+VLOOKUP($F541,'[1]Membership Level'!$A$3:$B$15,2,FALSE),DAY(K543))</f>
        <v>#N/A</v>
      </c>
      <c r="M543" s="36"/>
      <c r="N543" s="34" t="e">
        <f>IF($L543&lt;&gt;0,DATE(YEAR($L543),MONTH($L543)-#REF!,DAY($L543)-$M543),"")</f>
        <v>#N/A</v>
      </c>
      <c r="O543" s="33" t="e">
        <f t="shared" ca="1" si="11"/>
        <v>#N/A</v>
      </c>
      <c r="P543" s="34" t="e">
        <f>I543/H543*VLOOKUP(F541,'[1]Membership Level'!$A$3:$C$15,3,FALSE)+K543</f>
        <v>#DIV/0!</v>
      </c>
      <c r="Q543" s="36"/>
    </row>
    <row r="544" spans="3:17" x14ac:dyDescent="0.25">
      <c r="C544" s="36"/>
      <c r="D544" s="36"/>
      <c r="E544" s="35"/>
      <c r="F544" s="36"/>
      <c r="G544" s="36"/>
      <c r="H544" s="30"/>
      <c r="I544" s="30"/>
      <c r="J544" s="31"/>
      <c r="K544" s="43"/>
      <c r="L544" s="32" t="e">
        <f>DATE(YEAR(K544),MONTH(K544)+VLOOKUP($F542,'[1]Membership Level'!$A$3:$B$15,2,FALSE),DAY(K544))</f>
        <v>#N/A</v>
      </c>
      <c r="M544" s="36"/>
      <c r="N544" s="34" t="e">
        <f>IF($L544&lt;&gt;0,DATE(YEAR($L544),MONTH($L544)-#REF!,DAY($L544)-$M544),"")</f>
        <v>#N/A</v>
      </c>
      <c r="O544" s="33" t="e">
        <f t="shared" ca="1" si="11"/>
        <v>#N/A</v>
      </c>
      <c r="P544" s="34" t="e">
        <f>I544/H544*VLOOKUP(F542,'[1]Membership Level'!$A$3:$C$15,3,FALSE)+K544</f>
        <v>#DIV/0!</v>
      </c>
      <c r="Q544" s="36"/>
    </row>
    <row r="545" spans="3:17" x14ac:dyDescent="0.25">
      <c r="C545" s="36"/>
      <c r="D545" s="36"/>
      <c r="E545" s="35"/>
      <c r="F545" s="36"/>
      <c r="G545" s="36"/>
      <c r="H545" s="30"/>
      <c r="I545" s="30"/>
      <c r="J545" s="31"/>
      <c r="K545" s="43"/>
      <c r="L545" s="32" t="e">
        <f>DATE(YEAR(K545),MONTH(K545)+VLOOKUP($F543,'[1]Membership Level'!$A$3:$B$15,2,FALSE),DAY(K545))</f>
        <v>#N/A</v>
      </c>
      <c r="M545" s="36"/>
      <c r="N545" s="34" t="e">
        <f>IF($L545&lt;&gt;0,DATE(YEAR($L545),MONTH($L545)-#REF!,DAY($L545)-$M545),"")</f>
        <v>#N/A</v>
      </c>
      <c r="O545" s="33" t="e">
        <f t="shared" ca="1" si="11"/>
        <v>#N/A</v>
      </c>
      <c r="P545" s="34" t="e">
        <f>I545/H545*VLOOKUP(F543,'[1]Membership Level'!$A$3:$C$15,3,FALSE)+K545</f>
        <v>#DIV/0!</v>
      </c>
      <c r="Q545" s="36"/>
    </row>
    <row r="546" spans="3:17" x14ac:dyDescent="0.25">
      <c r="C546" s="36"/>
      <c r="D546" s="36"/>
      <c r="E546" s="35"/>
      <c r="F546" s="36"/>
      <c r="G546" s="36"/>
      <c r="H546" s="30"/>
      <c r="I546" s="30"/>
      <c r="J546" s="31"/>
      <c r="K546" s="43"/>
      <c r="L546" s="32" t="e">
        <f>DATE(YEAR(K546),MONTH(K546)+VLOOKUP($F544,'[1]Membership Level'!$A$3:$B$15,2,FALSE),DAY(K546))</f>
        <v>#N/A</v>
      </c>
      <c r="M546" s="36"/>
      <c r="N546" s="34" t="e">
        <f>IF($L546&lt;&gt;0,DATE(YEAR($L546),MONTH($L546)-#REF!,DAY($L546)-$M546),"")</f>
        <v>#N/A</v>
      </c>
      <c r="O546" s="33" t="e">
        <f t="shared" ca="1" si="11"/>
        <v>#N/A</v>
      </c>
      <c r="P546" s="34" t="e">
        <f>I546/H546*VLOOKUP(F544,'[1]Membership Level'!$A$3:$C$15,3,FALSE)+K546</f>
        <v>#DIV/0!</v>
      </c>
      <c r="Q546" s="36"/>
    </row>
    <row r="547" spans="3:17" x14ac:dyDescent="0.25">
      <c r="C547" s="36"/>
      <c r="D547" s="36"/>
      <c r="E547" s="35"/>
      <c r="F547" s="36"/>
      <c r="G547" s="36"/>
      <c r="H547" s="30"/>
      <c r="I547" s="30"/>
      <c r="J547" s="31"/>
      <c r="K547" s="43"/>
      <c r="L547" s="32" t="e">
        <f>DATE(YEAR(K547),MONTH(K547)+VLOOKUP($F545,'[1]Membership Level'!$A$3:$B$15,2,FALSE),DAY(K547))</f>
        <v>#N/A</v>
      </c>
      <c r="M547" s="36"/>
      <c r="N547" s="34" t="e">
        <f>IF($L547&lt;&gt;0,DATE(YEAR($L547),MONTH($L547)-#REF!,DAY($L547)-$M547),"")</f>
        <v>#N/A</v>
      </c>
      <c r="O547" s="33" t="e">
        <f t="shared" ca="1" si="11"/>
        <v>#N/A</v>
      </c>
      <c r="P547" s="34" t="e">
        <f>I547/H547*VLOOKUP(F545,'[1]Membership Level'!$A$3:$C$15,3,FALSE)+K547</f>
        <v>#DIV/0!</v>
      </c>
      <c r="Q547" s="36"/>
    </row>
    <row r="548" spans="3:17" x14ac:dyDescent="0.25">
      <c r="C548" s="36"/>
      <c r="D548" s="36"/>
      <c r="E548" s="35"/>
      <c r="F548" s="36"/>
      <c r="G548" s="36"/>
      <c r="H548" s="30"/>
      <c r="I548" s="30"/>
      <c r="J548" s="31"/>
      <c r="K548" s="43"/>
      <c r="L548" s="32" t="e">
        <f>DATE(YEAR(K548),MONTH(K548)+VLOOKUP($F546,'[1]Membership Level'!$A$3:$B$15,2,FALSE),DAY(K548))</f>
        <v>#N/A</v>
      </c>
      <c r="M548" s="36"/>
      <c r="N548" s="34" t="e">
        <f>IF($L548&lt;&gt;0,DATE(YEAR($L548),MONTH($L548)-#REF!,DAY($L548)-$M548),"")</f>
        <v>#N/A</v>
      </c>
      <c r="O548" s="33" t="e">
        <f t="shared" ca="1" si="11"/>
        <v>#N/A</v>
      </c>
      <c r="P548" s="34" t="e">
        <f>I548/H548*VLOOKUP(F546,'[1]Membership Level'!$A$3:$C$15,3,FALSE)+K548</f>
        <v>#DIV/0!</v>
      </c>
      <c r="Q548" s="36"/>
    </row>
    <row r="549" spans="3:17" x14ac:dyDescent="0.25">
      <c r="C549" s="36"/>
      <c r="D549" s="36"/>
      <c r="E549" s="35"/>
      <c r="F549" s="36"/>
      <c r="G549" s="36"/>
      <c r="H549" s="30"/>
      <c r="I549" s="30"/>
      <c r="J549" s="31"/>
      <c r="K549" s="43"/>
      <c r="L549" s="32" t="e">
        <f>DATE(YEAR(K549),MONTH(K549)+VLOOKUP($F547,'[1]Membership Level'!$A$3:$B$15,2,FALSE),DAY(K549))</f>
        <v>#N/A</v>
      </c>
      <c r="M549" s="36"/>
      <c r="N549" s="34" t="e">
        <f>IF($L549&lt;&gt;0,DATE(YEAR($L549),MONTH($L549)-#REF!,DAY($L549)-$M549),"")</f>
        <v>#N/A</v>
      </c>
      <c r="O549" s="33" t="e">
        <f t="shared" ca="1" si="11"/>
        <v>#N/A</v>
      </c>
      <c r="P549" s="34" t="e">
        <f>I549/H549*VLOOKUP(F547,'[1]Membership Level'!$A$3:$C$15,3,FALSE)+K549</f>
        <v>#DIV/0!</v>
      </c>
      <c r="Q549" s="36"/>
    </row>
    <row r="550" spans="3:17" x14ac:dyDescent="0.25">
      <c r="C550" s="36"/>
      <c r="D550" s="36"/>
      <c r="E550" s="35"/>
      <c r="F550" s="36"/>
      <c r="G550" s="36"/>
      <c r="H550" s="30"/>
      <c r="I550" s="30"/>
      <c r="J550" s="31"/>
      <c r="K550" s="43"/>
      <c r="L550" s="32" t="e">
        <f>DATE(YEAR(K550),MONTH(K550)+VLOOKUP($F548,'[1]Membership Level'!$A$3:$B$15,2,FALSE),DAY(K550))</f>
        <v>#N/A</v>
      </c>
      <c r="M550" s="36"/>
      <c r="N550" s="34" t="e">
        <f>IF($L550&lt;&gt;0,DATE(YEAR($L550),MONTH($L550)-#REF!,DAY($L550)-$M550),"")</f>
        <v>#N/A</v>
      </c>
      <c r="O550" s="33" t="e">
        <f t="shared" ca="1" si="11"/>
        <v>#N/A</v>
      </c>
      <c r="P550" s="34" t="e">
        <f>I550/H550*VLOOKUP(F548,'[1]Membership Level'!$A$3:$C$15,3,FALSE)+K550</f>
        <v>#DIV/0!</v>
      </c>
      <c r="Q550" s="36"/>
    </row>
    <row r="551" spans="3:17" x14ac:dyDescent="0.25">
      <c r="C551" s="36"/>
      <c r="D551" s="36"/>
      <c r="E551" s="35"/>
      <c r="F551" s="36"/>
      <c r="G551" s="36"/>
      <c r="H551" s="30"/>
      <c r="I551" s="30"/>
      <c r="J551" s="31"/>
      <c r="K551" s="43"/>
      <c r="L551" s="32" t="e">
        <f>DATE(YEAR(K551),MONTH(K551)+VLOOKUP($F549,'[1]Membership Level'!$A$3:$B$15,2,FALSE),DAY(K551))</f>
        <v>#N/A</v>
      </c>
      <c r="M551" s="36"/>
      <c r="N551" s="34" t="e">
        <f>IF($L551&lt;&gt;0,DATE(YEAR($L551),MONTH($L551)-#REF!,DAY($L551)-$M551),"")</f>
        <v>#N/A</v>
      </c>
      <c r="O551" s="33" t="e">
        <f t="shared" ca="1" si="11"/>
        <v>#N/A</v>
      </c>
      <c r="P551" s="34" t="e">
        <f>I551/H551*VLOOKUP(F549,'[1]Membership Level'!$A$3:$C$15,3,FALSE)+K551</f>
        <v>#DIV/0!</v>
      </c>
      <c r="Q551" s="36"/>
    </row>
    <row r="552" spans="3:17" x14ac:dyDescent="0.25">
      <c r="C552" s="36"/>
      <c r="D552" s="36"/>
      <c r="E552" s="35"/>
      <c r="F552" s="36"/>
      <c r="G552" s="36"/>
      <c r="H552" s="30"/>
      <c r="I552" s="30"/>
      <c r="J552" s="31"/>
      <c r="K552" s="43"/>
      <c r="L552" s="32" t="e">
        <f>DATE(YEAR(K552),MONTH(K552)+VLOOKUP($F550,'[1]Membership Level'!$A$3:$B$15,2,FALSE),DAY(K552))</f>
        <v>#N/A</v>
      </c>
      <c r="M552" s="36"/>
      <c r="N552" s="34" t="e">
        <f>IF($L552&lt;&gt;0,DATE(YEAR($L552),MONTH($L552)-#REF!,DAY($L552)-$M552),"")</f>
        <v>#N/A</v>
      </c>
      <c r="O552" s="33" t="e">
        <f t="shared" ca="1" si="11"/>
        <v>#N/A</v>
      </c>
      <c r="P552" s="34" t="e">
        <f>I552/H552*VLOOKUP(F550,'[1]Membership Level'!$A$3:$C$15,3,FALSE)+K552</f>
        <v>#DIV/0!</v>
      </c>
      <c r="Q552" s="36"/>
    </row>
    <row r="553" spans="3:17" x14ac:dyDescent="0.25">
      <c r="C553" s="36"/>
      <c r="D553" s="36"/>
      <c r="E553" s="35"/>
      <c r="F553" s="36"/>
      <c r="G553" s="36"/>
      <c r="H553" s="30"/>
      <c r="I553" s="30"/>
      <c r="J553" s="31"/>
      <c r="K553" s="43"/>
      <c r="L553" s="32" t="e">
        <f>DATE(YEAR(K553),MONTH(K553)+VLOOKUP($F551,'[1]Membership Level'!$A$3:$B$15,2,FALSE),DAY(K553))</f>
        <v>#N/A</v>
      </c>
      <c r="M553" s="36"/>
      <c r="N553" s="34" t="e">
        <f>IF($L553&lt;&gt;0,DATE(YEAR($L553),MONTH($L553)-#REF!,DAY($L553)-$M553),"")</f>
        <v>#N/A</v>
      </c>
      <c r="O553" s="33" t="e">
        <f t="shared" ca="1" si="11"/>
        <v>#N/A</v>
      </c>
      <c r="P553" s="34" t="e">
        <f>I553/H553*VLOOKUP(F551,'[1]Membership Level'!$A$3:$C$15,3,FALSE)+K553</f>
        <v>#DIV/0!</v>
      </c>
      <c r="Q553" s="36"/>
    </row>
    <row r="554" spans="3:17" x14ac:dyDescent="0.25">
      <c r="C554" s="36"/>
      <c r="D554" s="36"/>
      <c r="E554" s="35"/>
      <c r="F554" s="36"/>
      <c r="G554" s="36"/>
      <c r="H554" s="30"/>
      <c r="I554" s="30"/>
      <c r="J554" s="31"/>
      <c r="K554" s="43"/>
      <c r="L554" s="32" t="e">
        <f>DATE(YEAR(K554),MONTH(K554)+VLOOKUP($F552,'[1]Membership Level'!$A$3:$B$15,2,FALSE),DAY(K554))</f>
        <v>#N/A</v>
      </c>
      <c r="M554" s="36"/>
      <c r="N554" s="34" t="e">
        <f>IF($L554&lt;&gt;0,DATE(YEAR($L554),MONTH($L554)-#REF!,DAY($L554)-$M554),"")</f>
        <v>#N/A</v>
      </c>
      <c r="O554" s="33" t="e">
        <f t="shared" ca="1" si="11"/>
        <v>#N/A</v>
      </c>
      <c r="P554" s="34" t="e">
        <f>I554/H554*VLOOKUP(F552,'[1]Membership Level'!$A$3:$C$15,3,FALSE)+K554</f>
        <v>#DIV/0!</v>
      </c>
      <c r="Q554" s="36"/>
    </row>
    <row r="555" spans="3:17" x14ac:dyDescent="0.25">
      <c r="C555" s="36"/>
      <c r="D555" s="36"/>
      <c r="E555" s="35"/>
      <c r="F555" s="36"/>
      <c r="G555" s="36"/>
      <c r="H555" s="30"/>
      <c r="I555" s="30"/>
      <c r="J555" s="31"/>
      <c r="K555" s="43"/>
      <c r="L555" s="32" t="e">
        <f>DATE(YEAR(K555),MONTH(K555)+VLOOKUP($F553,'[1]Membership Level'!$A$3:$B$15,2,FALSE),DAY(K555))</f>
        <v>#N/A</v>
      </c>
      <c r="M555" s="36"/>
      <c r="N555" s="34" t="e">
        <f>IF($L555&lt;&gt;0,DATE(YEAR($L555),MONTH($L555)-#REF!,DAY($L555)-$M555),"")</f>
        <v>#N/A</v>
      </c>
      <c r="O555" s="33" t="e">
        <f t="shared" ca="1" si="11"/>
        <v>#N/A</v>
      </c>
      <c r="P555" s="34" t="e">
        <f>I555/H555*VLOOKUP(F553,'[1]Membership Level'!$A$3:$C$15,3,FALSE)+K555</f>
        <v>#DIV/0!</v>
      </c>
      <c r="Q555" s="36"/>
    </row>
    <row r="556" spans="3:17" s="68" customFormat="1" x14ac:dyDescent="0.25">
      <c r="C556" s="36"/>
      <c r="D556" s="36"/>
      <c r="E556" s="66"/>
      <c r="F556" s="33"/>
      <c r="G556" s="36"/>
      <c r="H556" s="30"/>
      <c r="I556" s="30"/>
      <c r="J556" s="31"/>
      <c r="K556" s="43"/>
      <c r="L556" s="32" t="e">
        <f>DATE(YEAR(K556),MONTH(K556)+VLOOKUP($F554,'[1]Membership Level'!$A$3:$B$15,2,FALSE),DAY(K556))</f>
        <v>#N/A</v>
      </c>
      <c r="M556" s="36"/>
      <c r="N556" s="34" t="e">
        <f>IF($L556&lt;&gt;0,DATE(YEAR($L556),MONTH($L556)-#REF!,DAY($L556)-$M556),"")</f>
        <v>#N/A</v>
      </c>
      <c r="O556" s="33" t="e">
        <f t="shared" ca="1" si="11"/>
        <v>#N/A</v>
      </c>
      <c r="P556" s="34" t="e">
        <f>I556/H556*VLOOKUP(F554,'[1]Membership Level'!$A$3:$C$15,3,FALSE)+K556</f>
        <v>#DIV/0!</v>
      </c>
      <c r="Q556" s="36"/>
    </row>
    <row r="557" spans="3:17" x14ac:dyDescent="0.25">
      <c r="C557" s="36"/>
      <c r="D557" s="36"/>
      <c r="E557" s="66"/>
      <c r="F557" s="36"/>
      <c r="G557" s="36"/>
      <c r="H557" s="30"/>
      <c r="I557" s="30"/>
      <c r="J557" s="31"/>
      <c r="K557" s="43"/>
      <c r="L557" s="32" t="e">
        <f>DATE(YEAR(K557),MONTH(K557)+VLOOKUP($F555,'[1]Membership Level'!$A$3:$B$15,2,FALSE),DAY(K557))</f>
        <v>#N/A</v>
      </c>
      <c r="M557" s="36"/>
      <c r="N557" s="34" t="e">
        <f>IF($L557&lt;&gt;0,DATE(YEAR($L557),MONTH($L557)-#REF!,DAY($L557)-$M557),"")</f>
        <v>#N/A</v>
      </c>
      <c r="O557" s="33" t="e">
        <f t="shared" ca="1" si="11"/>
        <v>#N/A</v>
      </c>
      <c r="P557" s="34" t="e">
        <f>I557/H557*VLOOKUP(F555,'[1]Membership Level'!$A$3:$C$15,3,FALSE)+K557</f>
        <v>#DIV/0!</v>
      </c>
      <c r="Q557" s="36"/>
    </row>
    <row r="558" spans="3:17" s="22" customFormat="1" x14ac:dyDescent="0.25">
      <c r="C558" s="33"/>
      <c r="D558" s="33"/>
      <c r="E558" s="35"/>
      <c r="F558" s="36"/>
      <c r="G558" s="33"/>
      <c r="H558" s="44"/>
      <c r="I558" s="44"/>
      <c r="J558" s="31"/>
      <c r="K558" s="32"/>
      <c r="L558" s="32" t="e">
        <f>DATE(YEAR(K558),MONTH(K558)+VLOOKUP($F556,'[1]Membership Level'!$A$3:$B$15,2,FALSE),DAY(K558))</f>
        <v>#N/A</v>
      </c>
      <c r="M558" s="33"/>
      <c r="N558" s="34" t="e">
        <f>IF($L558&lt;&gt;0,DATE(YEAR($L558),MONTH($L558)-#REF!,DAY($L558)-$M558),"")</f>
        <v>#N/A</v>
      </c>
      <c r="O558" s="33" t="e">
        <f t="shared" ca="1" si="11"/>
        <v>#N/A</v>
      </c>
      <c r="P558" s="34" t="e">
        <f>I558/H558*VLOOKUP(F556,'[1]Membership Level'!$A$3:$C$15,3,FALSE)+K558</f>
        <v>#DIV/0!</v>
      </c>
      <c r="Q558" s="33"/>
    </row>
    <row r="559" spans="3:17" x14ac:dyDescent="0.25">
      <c r="C559" s="36"/>
      <c r="D559" s="36"/>
      <c r="E559" s="35"/>
      <c r="F559" s="36"/>
      <c r="G559" s="36"/>
      <c r="H559" s="30"/>
      <c r="I559" s="30"/>
      <c r="J559" s="31"/>
      <c r="K559" s="43"/>
      <c r="L559" s="32" t="e">
        <f>DATE(YEAR(K559),MONTH(K559)+VLOOKUP($F557,'[1]Membership Level'!$A$3:$B$15,2,FALSE),DAY(K559))</f>
        <v>#N/A</v>
      </c>
      <c r="M559" s="36"/>
      <c r="N559" s="34" t="e">
        <f>IF($L559&lt;&gt;0,DATE(YEAR($L559),MONTH($L559)-#REF!,DAY($L559)-$M559),"")</f>
        <v>#N/A</v>
      </c>
      <c r="O559" s="33" t="e">
        <f t="shared" ca="1" si="11"/>
        <v>#N/A</v>
      </c>
      <c r="P559" s="34" t="e">
        <f>I559/H559*VLOOKUP(F557,'[1]Membership Level'!$A$3:$C$15,3,FALSE)+K559</f>
        <v>#DIV/0!</v>
      </c>
      <c r="Q559" s="36"/>
    </row>
    <row r="560" spans="3:17" x14ac:dyDescent="0.25">
      <c r="C560" s="36"/>
      <c r="D560" s="36"/>
      <c r="E560" s="35"/>
      <c r="F560" s="36"/>
      <c r="G560" s="36"/>
      <c r="H560" s="30"/>
      <c r="I560" s="30"/>
      <c r="J560" s="31"/>
      <c r="K560" s="43"/>
      <c r="L560" s="32" t="e">
        <f>DATE(YEAR(K560),MONTH(K560)+VLOOKUP($F558,'[1]Membership Level'!$A$3:$B$15,2,FALSE),DAY(K560))</f>
        <v>#N/A</v>
      </c>
      <c r="M560" s="36"/>
      <c r="N560" s="34" t="e">
        <f>IF($L560&lt;&gt;0,DATE(YEAR($L560),MONTH($L560)-#REF!,DAY($L560)-$M560),"")</f>
        <v>#N/A</v>
      </c>
      <c r="O560" s="33" t="e">
        <f t="shared" ca="1" si="11"/>
        <v>#N/A</v>
      </c>
      <c r="P560" s="34" t="e">
        <f>I560/H560*VLOOKUP(F558,'[1]Membership Level'!$A$3:$C$15,3,FALSE)+K560</f>
        <v>#DIV/0!</v>
      </c>
      <c r="Q560" s="35"/>
    </row>
    <row r="561" spans="3:17" x14ac:dyDescent="0.25">
      <c r="C561" s="36"/>
      <c r="D561" s="36"/>
      <c r="E561" s="35"/>
      <c r="F561" s="36"/>
      <c r="G561" s="36"/>
      <c r="H561" s="30"/>
      <c r="I561" s="30"/>
      <c r="J561" s="31"/>
      <c r="K561" s="43"/>
      <c r="L561" s="32" t="e">
        <f>DATE(YEAR(K561),MONTH(K561)+VLOOKUP($F559,'[1]Membership Level'!$A$3:$B$15,2,FALSE),DAY(K561))</f>
        <v>#N/A</v>
      </c>
      <c r="M561" s="36"/>
      <c r="N561" s="34" t="e">
        <f>IF($L561&lt;&gt;0,DATE(YEAR($L561),MONTH($L561)-#REF!,DAY($L561)-$M561),"")</f>
        <v>#N/A</v>
      </c>
      <c r="O561" s="33" t="e">
        <f t="shared" ca="1" si="11"/>
        <v>#N/A</v>
      </c>
      <c r="P561" s="34" t="e">
        <f>I561/H561*VLOOKUP(F559,'[1]Membership Level'!$A$3:$C$15,3,FALSE)+K561</f>
        <v>#DIV/0!</v>
      </c>
      <c r="Q561" s="36"/>
    </row>
    <row r="562" spans="3:17" x14ac:dyDescent="0.25">
      <c r="C562" s="36"/>
      <c r="D562" s="36"/>
      <c r="E562" s="35"/>
      <c r="F562" s="36"/>
      <c r="G562" s="36"/>
      <c r="H562" s="30"/>
      <c r="I562" s="30"/>
      <c r="J562" s="31"/>
      <c r="K562" s="43"/>
      <c r="L562" s="32" t="e">
        <f>DATE(YEAR(K562),MONTH(K562)+VLOOKUP($F560,'[1]Membership Level'!$A$3:$B$15,2,FALSE),DAY(K562))</f>
        <v>#N/A</v>
      </c>
      <c r="M562" s="36"/>
      <c r="N562" s="34" t="e">
        <f>IF($L562&lt;&gt;0,DATE(YEAR($L562),MONTH($L562)-#REF!,DAY($L562)-$M562),"")</f>
        <v>#N/A</v>
      </c>
      <c r="O562" s="33" t="e">
        <f t="shared" ca="1" si="11"/>
        <v>#N/A</v>
      </c>
      <c r="P562" s="34" t="e">
        <f>I562/H562*VLOOKUP(F560,'[1]Membership Level'!$A$3:$C$15,3,FALSE)+K562</f>
        <v>#DIV/0!</v>
      </c>
      <c r="Q562" s="35"/>
    </row>
    <row r="563" spans="3:17" x14ac:dyDescent="0.25">
      <c r="C563" s="36"/>
      <c r="D563" s="36"/>
      <c r="E563" s="35"/>
      <c r="F563" s="36"/>
      <c r="G563" s="36"/>
      <c r="H563" s="30"/>
      <c r="I563" s="30"/>
      <c r="J563" s="31"/>
      <c r="K563" s="43"/>
      <c r="L563" s="32" t="e">
        <f>DATE(YEAR(K563),MONTH(K563)+VLOOKUP($F561,'[1]Membership Level'!$A$3:$B$15,2,FALSE),DAY(K563))</f>
        <v>#N/A</v>
      </c>
      <c r="M563" s="36"/>
      <c r="N563" s="34" t="e">
        <f>IF($L563&lt;&gt;0,DATE(YEAR($L563),MONTH($L563)-#REF!,DAY($L563)-$M563),"")</f>
        <v>#N/A</v>
      </c>
      <c r="O563" s="33" t="e">
        <f t="shared" ca="1" si="11"/>
        <v>#N/A</v>
      </c>
      <c r="P563" s="34" t="e">
        <f>I563/H563*VLOOKUP(F561,'[1]Membership Level'!$A$3:$C$15,3,FALSE)+K563</f>
        <v>#DIV/0!</v>
      </c>
      <c r="Q563" s="36"/>
    </row>
    <row r="564" spans="3:17" x14ac:dyDescent="0.25">
      <c r="C564" s="36"/>
      <c r="D564" s="36"/>
      <c r="E564" s="35"/>
      <c r="F564" s="36"/>
      <c r="G564" s="36"/>
      <c r="H564" s="30"/>
      <c r="I564" s="30"/>
      <c r="J564" s="31"/>
      <c r="K564" s="43"/>
      <c r="L564" s="32" t="e">
        <f>DATE(YEAR(K564),MONTH(K564)+VLOOKUP($F562,'[1]Membership Level'!$A$3:$B$15,2,FALSE),DAY(K564))</f>
        <v>#N/A</v>
      </c>
      <c r="M564" s="36"/>
      <c r="N564" s="34" t="e">
        <f>IF($L564&lt;&gt;0,DATE(YEAR($L564),MONTH($L564)-#REF!,DAY($L564)-$M564),"")</f>
        <v>#N/A</v>
      </c>
      <c r="O564" s="33" t="e">
        <f t="shared" ca="1" si="11"/>
        <v>#N/A</v>
      </c>
      <c r="P564" s="34" t="e">
        <f>I564/H564*VLOOKUP(F562,'[1]Membership Level'!$A$3:$C$15,3,FALSE)+K564</f>
        <v>#DIV/0!</v>
      </c>
      <c r="Q564" s="36"/>
    </row>
    <row r="565" spans="3:17" x14ac:dyDescent="0.25">
      <c r="C565" s="36"/>
      <c r="D565" s="36"/>
      <c r="E565" s="35"/>
      <c r="F565" s="36"/>
      <c r="G565" s="36"/>
      <c r="H565" s="30"/>
      <c r="I565" s="30"/>
      <c r="J565" s="31"/>
      <c r="K565" s="43"/>
      <c r="L565" s="32" t="e">
        <f>DATE(YEAR(K565),MONTH(K565)+VLOOKUP($F563,'[1]Membership Level'!$A$3:$B$15,2,FALSE),DAY(K565))</f>
        <v>#N/A</v>
      </c>
      <c r="M565" s="36"/>
      <c r="N565" s="34" t="e">
        <f>IF($L565&lt;&gt;0,DATE(YEAR($L565),MONTH($L565)-#REF!,DAY($L565)-$M565),"")</f>
        <v>#N/A</v>
      </c>
      <c r="O565" s="33" t="e">
        <f t="shared" ca="1" si="11"/>
        <v>#N/A</v>
      </c>
      <c r="P565" s="34" t="e">
        <f>I565/H565*VLOOKUP(F563,'[1]Membership Level'!$A$3:$C$15,3,FALSE)+K565</f>
        <v>#DIV/0!</v>
      </c>
      <c r="Q565" s="35"/>
    </row>
    <row r="566" spans="3:17" x14ac:dyDescent="0.25">
      <c r="C566" s="36"/>
      <c r="D566" s="36"/>
      <c r="E566" s="35"/>
      <c r="F566" s="36"/>
      <c r="G566" s="36"/>
      <c r="H566" s="30"/>
      <c r="I566" s="30"/>
      <c r="J566" s="31"/>
      <c r="K566" s="43"/>
      <c r="L566" s="32" t="e">
        <f>DATE(YEAR(K566),MONTH(K566)+VLOOKUP($F564,'[1]Membership Level'!$A$3:$B$15,2,FALSE),DAY(K566))</f>
        <v>#N/A</v>
      </c>
      <c r="M566" s="36"/>
      <c r="N566" s="34" t="e">
        <f>IF($L566&lt;&gt;0,DATE(YEAR($L566),MONTH($L566)-#REF!,DAY($L566)-$M566),"")</f>
        <v>#N/A</v>
      </c>
      <c r="O566" s="33" t="e">
        <f t="shared" ca="1" si="11"/>
        <v>#N/A</v>
      </c>
      <c r="P566" s="34" t="e">
        <f>I566/H566*VLOOKUP(F564,'[1]Membership Level'!$A$3:$C$15,3,FALSE)+K566</f>
        <v>#DIV/0!</v>
      </c>
      <c r="Q566" s="36"/>
    </row>
    <row r="567" spans="3:17" x14ac:dyDescent="0.25">
      <c r="C567" s="36"/>
      <c r="D567" s="36"/>
      <c r="E567" s="35"/>
      <c r="F567" s="36"/>
      <c r="G567" s="36"/>
      <c r="H567" s="30"/>
      <c r="I567" s="30"/>
      <c r="J567" s="31"/>
      <c r="K567" s="43"/>
      <c r="L567" s="32" t="e">
        <f>DATE(YEAR(K567),MONTH(K567)+VLOOKUP($F565,'[1]Membership Level'!$A$3:$B$15,2,FALSE),DAY(K567))</f>
        <v>#N/A</v>
      </c>
      <c r="M567" s="36"/>
      <c r="N567" s="34" t="e">
        <f>IF($L567&lt;&gt;0,DATE(YEAR($L567),MONTH($L567)-#REF!,DAY($L567)-$M567),"")</f>
        <v>#N/A</v>
      </c>
      <c r="O567" s="33" t="e">
        <f t="shared" ca="1" si="11"/>
        <v>#N/A</v>
      </c>
      <c r="P567" s="34" t="e">
        <f>I567/H567*VLOOKUP(F565,'[1]Membership Level'!$A$3:$C$15,3,FALSE)+K567</f>
        <v>#DIV/0!</v>
      </c>
      <c r="Q567" s="36"/>
    </row>
    <row r="568" spans="3:17" x14ac:dyDescent="0.25">
      <c r="C568" s="36"/>
      <c r="D568" s="36"/>
      <c r="E568" s="35"/>
      <c r="F568" s="36"/>
      <c r="G568" s="36"/>
      <c r="H568" s="30"/>
      <c r="I568" s="30"/>
      <c r="J568" s="31"/>
      <c r="K568" s="43"/>
      <c r="L568" s="32" t="e">
        <f>DATE(YEAR(K568),MONTH(K568)+VLOOKUP($F566,'[1]Membership Level'!$A$3:$B$15,2,FALSE),DAY(K568))</f>
        <v>#N/A</v>
      </c>
      <c r="M568" s="36"/>
      <c r="N568" s="34" t="e">
        <f>IF($L568&lt;&gt;0,DATE(YEAR($L568),MONTH($L568)-#REF!,DAY($L568)-$M568),"")</f>
        <v>#N/A</v>
      </c>
      <c r="O568" s="33" t="e">
        <f t="shared" ca="1" si="11"/>
        <v>#N/A</v>
      </c>
      <c r="P568" s="34" t="e">
        <f>I568/H568*VLOOKUP(F566,'[1]Membership Level'!$A$3:$C$15,3,FALSE)+K568</f>
        <v>#DIV/0!</v>
      </c>
      <c r="Q568" s="36"/>
    </row>
    <row r="569" spans="3:17" x14ac:dyDescent="0.25">
      <c r="C569" s="36"/>
      <c r="D569" s="36"/>
      <c r="E569" s="35"/>
      <c r="F569" s="36"/>
      <c r="G569" s="36"/>
      <c r="H569" s="30"/>
      <c r="I569" s="30"/>
      <c r="J569" s="31"/>
      <c r="K569" s="43"/>
      <c r="L569" s="32" t="e">
        <f>DATE(YEAR(K569),MONTH(K569)+VLOOKUP($F567,'[1]Membership Level'!$A$3:$B$15,2,FALSE),DAY(K569))</f>
        <v>#N/A</v>
      </c>
      <c r="M569" s="36"/>
      <c r="N569" s="34" t="e">
        <f>IF($L569&lt;&gt;0,DATE(YEAR($L569),MONTH($L569)-#REF!,DAY($L569)-$M569),"")</f>
        <v>#N/A</v>
      </c>
      <c r="O569" s="33" t="e">
        <f t="shared" ca="1" si="11"/>
        <v>#N/A</v>
      </c>
      <c r="P569" s="34" t="e">
        <f>I569/H569*VLOOKUP(F567,'[1]Membership Level'!$A$3:$C$15,3,FALSE)+K569</f>
        <v>#DIV/0!</v>
      </c>
      <c r="Q569" s="36"/>
    </row>
    <row r="570" spans="3:17" x14ac:dyDescent="0.25">
      <c r="C570" s="36"/>
      <c r="D570" s="36"/>
      <c r="E570" s="35"/>
      <c r="F570" s="45"/>
      <c r="G570" s="36"/>
      <c r="H570" s="30"/>
      <c r="I570" s="30"/>
      <c r="J570" s="31"/>
      <c r="K570" s="43"/>
      <c r="L570" s="32" t="e">
        <f>DATE(YEAR(K570),MONTH(K570)+VLOOKUP($F568,'[1]Membership Level'!$A$3:$B$15,2,FALSE),DAY(K570))</f>
        <v>#N/A</v>
      </c>
      <c r="M570" s="36"/>
      <c r="N570" s="34" t="e">
        <f>IF($L570&lt;&gt;0,DATE(YEAR($L570),MONTH($L570)-#REF!,DAY($L570)-$M570),"")</f>
        <v>#N/A</v>
      </c>
      <c r="O570" s="33" t="e">
        <f t="shared" ca="1" si="11"/>
        <v>#N/A</v>
      </c>
      <c r="P570" s="34" t="e">
        <f>I570/H570*VLOOKUP(F568,'[1]Membership Level'!$A$3:$C$15,3,FALSE)+K570</f>
        <v>#DIV/0!</v>
      </c>
      <c r="Q570" s="36"/>
    </row>
    <row r="571" spans="3:17" x14ac:dyDescent="0.25">
      <c r="C571" s="36"/>
      <c r="D571" s="36"/>
      <c r="E571" s="67"/>
      <c r="F571" s="36"/>
      <c r="G571" s="36"/>
      <c r="H571" s="30"/>
      <c r="I571" s="30"/>
      <c r="J571" s="31"/>
      <c r="K571" s="43"/>
      <c r="L571" s="32" t="e">
        <f>DATE(YEAR(K571),MONTH(K571)+VLOOKUP($F569,'[1]Membership Level'!$A$3:$B$15,2,FALSE),DAY(K571))</f>
        <v>#N/A</v>
      </c>
      <c r="M571" s="36"/>
      <c r="N571" s="34" t="e">
        <f>IF($L571&lt;&gt;0,DATE(YEAR($L571),MONTH($L571)-#REF!,DAY($L571)-$M571),"")</f>
        <v>#N/A</v>
      </c>
      <c r="O571" s="33" t="e">
        <f t="shared" ca="1" si="11"/>
        <v>#N/A</v>
      </c>
      <c r="P571" s="34" t="e">
        <f>I571/H571*VLOOKUP(F569,'[1]Membership Level'!$A$3:$C$15,3,FALSE)+K571</f>
        <v>#DIV/0!</v>
      </c>
      <c r="Q571" s="36"/>
    </row>
    <row r="572" spans="3:17" s="27" customFormat="1" x14ac:dyDescent="0.25">
      <c r="C572" s="45"/>
      <c r="D572" s="45"/>
      <c r="E572" s="66"/>
      <c r="F572" s="36"/>
      <c r="G572" s="45"/>
      <c r="H572" s="64"/>
      <c r="I572" s="64"/>
      <c r="J572" s="65"/>
      <c r="K572" s="60"/>
      <c r="L572" s="60" t="e">
        <f>DATE(YEAR(K572),MONTH(K572)+VLOOKUP($F570,'[1]Membership Level'!$A$3:$B$15,2,FALSE),DAY(K572))</f>
        <v>#N/A</v>
      </c>
      <c r="M572" s="36"/>
      <c r="N572" s="46" t="e">
        <f>IF($L572&lt;&gt;0,DATE(YEAR($L572),MONTH($L572)-#REF!,DAY($L572)-$M572),"")</f>
        <v>#N/A</v>
      </c>
      <c r="O572" s="45" t="e">
        <f t="shared" ca="1" si="11"/>
        <v>#N/A</v>
      </c>
      <c r="P572" s="46" t="e">
        <f>I572/H572*VLOOKUP(F570,'[1]Membership Level'!$A$3:$C$15,3,FALSE)+K572</f>
        <v>#DIV/0!</v>
      </c>
      <c r="Q572" s="45"/>
    </row>
    <row r="573" spans="3:17" x14ac:dyDescent="0.25">
      <c r="C573" s="36"/>
      <c r="D573" s="36"/>
      <c r="E573" s="35"/>
      <c r="F573" s="36"/>
      <c r="G573" s="36"/>
      <c r="H573" s="30"/>
      <c r="I573" s="30"/>
      <c r="J573" s="31"/>
      <c r="K573" s="43"/>
      <c r="L573" s="32" t="e">
        <f>DATE(YEAR(K573),MONTH(K573)+VLOOKUP($F571,'[1]Membership Level'!$A$3:$B$15,2,FALSE),DAY(K573))</f>
        <v>#N/A</v>
      </c>
      <c r="M573" s="36"/>
      <c r="N573" s="34" t="e">
        <f>IF($L573&lt;&gt;0,DATE(YEAR($L573),MONTH($L573)-#REF!,DAY($L573)-$M573),"")</f>
        <v>#N/A</v>
      </c>
      <c r="O573" s="33" t="e">
        <f t="shared" ref="O573:O636" ca="1" si="12">IF(DAYS360(NOW(), $L573) &gt;= 0, DAYS360(NOW(), $L573), "")</f>
        <v>#N/A</v>
      </c>
      <c r="P573" s="34" t="e">
        <f>I573/H573*VLOOKUP(F571,'[1]Membership Level'!$A$3:$C$15,3,FALSE)+K573</f>
        <v>#DIV/0!</v>
      </c>
      <c r="Q573" s="36"/>
    </row>
    <row r="574" spans="3:17" x14ac:dyDescent="0.25">
      <c r="C574" s="36"/>
      <c r="D574" s="36"/>
      <c r="E574" s="35"/>
      <c r="F574" s="36"/>
      <c r="G574" s="36"/>
      <c r="H574" s="30"/>
      <c r="I574" s="30"/>
      <c r="J574" s="31"/>
      <c r="K574" s="43"/>
      <c r="L574" s="32" t="e">
        <f>DATE(YEAR(K574),MONTH(K574)+VLOOKUP($F572,'[1]Membership Level'!$A$3:$B$15,2,FALSE),DAY(K574))</f>
        <v>#N/A</v>
      </c>
      <c r="M574" s="36"/>
      <c r="N574" s="34" t="e">
        <f>IF($L574&lt;&gt;0,DATE(YEAR($L574),MONTH($L574)-#REF!,DAY($L574)-$M574),"")</f>
        <v>#N/A</v>
      </c>
      <c r="O574" s="33" t="e">
        <f t="shared" ca="1" si="12"/>
        <v>#N/A</v>
      </c>
      <c r="P574" s="34" t="e">
        <f>I574/H574*VLOOKUP(F572,'[1]Membership Level'!$A$3:$C$15,3,FALSE)+K574</f>
        <v>#DIV/0!</v>
      </c>
      <c r="Q574" s="36"/>
    </row>
    <row r="575" spans="3:17" x14ac:dyDescent="0.25">
      <c r="C575" s="36"/>
      <c r="D575" s="36"/>
      <c r="E575" s="35"/>
      <c r="F575" s="36"/>
      <c r="G575" s="36"/>
      <c r="H575" s="30"/>
      <c r="I575" s="30"/>
      <c r="J575" s="31"/>
      <c r="K575" s="43"/>
      <c r="L575" s="32" t="e">
        <f>DATE(YEAR(K575),MONTH(K575)+VLOOKUP($F573,'[1]Membership Level'!$A$3:$B$15,2,FALSE),DAY(K575))</f>
        <v>#N/A</v>
      </c>
      <c r="M575" s="36"/>
      <c r="N575" s="34" t="e">
        <f>IF($L575&lt;&gt;0,DATE(YEAR($L575),MONTH($L575)-#REF!,DAY($L575)-$M575),"")</f>
        <v>#N/A</v>
      </c>
      <c r="O575" s="33" t="e">
        <f t="shared" ca="1" si="12"/>
        <v>#N/A</v>
      </c>
      <c r="P575" s="34" t="e">
        <f>I575/H575*VLOOKUP(F573,'[1]Membership Level'!$A$3:$C$15,3,FALSE)+K575</f>
        <v>#DIV/0!</v>
      </c>
      <c r="Q575" s="36"/>
    </row>
    <row r="576" spans="3:17" x14ac:dyDescent="0.25">
      <c r="C576" s="36"/>
      <c r="D576" s="36"/>
      <c r="E576" s="35"/>
      <c r="F576" s="36"/>
      <c r="G576" s="36"/>
      <c r="H576" s="30"/>
      <c r="I576" s="30"/>
      <c r="J576" s="31"/>
      <c r="K576" s="43"/>
      <c r="L576" s="32" t="e">
        <f>DATE(YEAR(K576),MONTH(K576)+VLOOKUP($F574,'[1]Membership Level'!$A$3:$B$15,2,FALSE),DAY(K576))</f>
        <v>#N/A</v>
      </c>
      <c r="M576" s="36"/>
      <c r="N576" s="34" t="e">
        <f>IF($L576&lt;&gt;0,DATE(YEAR($L576),MONTH($L576)-#REF!,DAY($L576)-$M576),"")</f>
        <v>#N/A</v>
      </c>
      <c r="O576" s="33" t="e">
        <f t="shared" ca="1" si="12"/>
        <v>#N/A</v>
      </c>
      <c r="P576" s="34" t="e">
        <f>I576/H576*VLOOKUP(F574,'[1]Membership Level'!$A$3:$C$15,3,FALSE)+K576</f>
        <v>#DIV/0!</v>
      </c>
      <c r="Q576" s="36"/>
    </row>
    <row r="577" spans="3:17" x14ac:dyDescent="0.25">
      <c r="C577" s="36"/>
      <c r="D577" s="36"/>
      <c r="E577" s="35"/>
      <c r="F577" s="36"/>
      <c r="G577" s="36"/>
      <c r="H577" s="30"/>
      <c r="I577" s="30"/>
      <c r="J577" s="31"/>
      <c r="K577" s="43"/>
      <c r="L577" s="32" t="e">
        <f>DATE(YEAR(K577),MONTH(K577)+VLOOKUP($F575,'[1]Membership Level'!$A$3:$B$15,2,FALSE),DAY(K577))</f>
        <v>#N/A</v>
      </c>
      <c r="M577" s="36"/>
      <c r="N577" s="34" t="e">
        <f>IF($L577&lt;&gt;0,DATE(YEAR($L577),MONTH($L577)-#REF!,DAY($L577)-$M577),"")</f>
        <v>#N/A</v>
      </c>
      <c r="O577" s="33" t="e">
        <f t="shared" ca="1" si="12"/>
        <v>#N/A</v>
      </c>
      <c r="P577" s="34" t="e">
        <f>I577/H577*VLOOKUP(F575,'[1]Membership Level'!$A$3:$C$15,3,FALSE)+K577</f>
        <v>#DIV/0!</v>
      </c>
      <c r="Q577" s="36"/>
    </row>
    <row r="578" spans="3:17" x14ac:dyDescent="0.25">
      <c r="C578" s="36"/>
      <c r="D578" s="36"/>
      <c r="E578" s="35"/>
      <c r="F578" s="36"/>
      <c r="G578" s="36"/>
      <c r="H578" s="30"/>
      <c r="I578" s="30"/>
      <c r="J578" s="31"/>
      <c r="K578" s="43"/>
      <c r="L578" s="32" t="e">
        <f>DATE(YEAR(K578),MONTH(K578)+VLOOKUP($F576,'[1]Membership Level'!$A$3:$B$15,2,FALSE),DAY(K578))</f>
        <v>#N/A</v>
      </c>
      <c r="M578" s="36"/>
      <c r="N578" s="34" t="e">
        <f>IF($L578&lt;&gt;0,DATE(YEAR($L578),MONTH($L578)-#REF!,DAY($L578)-$M578),"")</f>
        <v>#N/A</v>
      </c>
      <c r="O578" s="33" t="e">
        <f t="shared" ca="1" si="12"/>
        <v>#N/A</v>
      </c>
      <c r="P578" s="34" t="e">
        <f>I578/H578*VLOOKUP(F576,'[1]Membership Level'!$A$3:$C$15,3,FALSE)+K578</f>
        <v>#DIV/0!</v>
      </c>
      <c r="Q578" s="36"/>
    </row>
    <row r="579" spans="3:17" x14ac:dyDescent="0.25">
      <c r="C579" s="36"/>
      <c r="D579" s="36"/>
      <c r="E579" s="35"/>
      <c r="F579" s="36"/>
      <c r="G579" s="36"/>
      <c r="H579" s="30"/>
      <c r="I579" s="30"/>
      <c r="J579" s="31"/>
      <c r="K579" s="43"/>
      <c r="L579" s="32" t="e">
        <f>DATE(YEAR(K579),MONTH(K579)+VLOOKUP($F577,'[1]Membership Level'!$A$3:$B$15,2,FALSE),DAY(K579))</f>
        <v>#N/A</v>
      </c>
      <c r="M579" s="36"/>
      <c r="N579" s="34" t="e">
        <f>IF($L579&lt;&gt;0,DATE(YEAR($L579),MONTH($L579)-#REF!,DAY($L579)-$M579),"")</f>
        <v>#N/A</v>
      </c>
      <c r="O579" s="33" t="e">
        <f t="shared" ca="1" si="12"/>
        <v>#N/A</v>
      </c>
      <c r="P579" s="34" t="e">
        <f>I579/H579*VLOOKUP(F577,'[1]Membership Level'!$A$3:$C$15,3,FALSE)+K579</f>
        <v>#DIV/0!</v>
      </c>
      <c r="Q579" s="36"/>
    </row>
    <row r="580" spans="3:17" x14ac:dyDescent="0.25">
      <c r="C580" s="36"/>
      <c r="D580" s="36"/>
      <c r="E580" s="35"/>
      <c r="F580" s="36"/>
      <c r="G580" s="36"/>
      <c r="H580" s="30"/>
      <c r="I580" s="30"/>
      <c r="J580" s="31"/>
      <c r="K580" s="43"/>
      <c r="L580" s="32" t="e">
        <f>DATE(YEAR(K580),MONTH(K580)+VLOOKUP($F578,'[1]Membership Level'!$A$3:$B$15,2,FALSE),DAY(K580))</f>
        <v>#N/A</v>
      </c>
      <c r="M580" s="36"/>
      <c r="N580" s="34" t="e">
        <f>IF($L580&lt;&gt;0,DATE(YEAR($L580),MONTH($L580)-#REF!,DAY($L580)-$M580),"")</f>
        <v>#N/A</v>
      </c>
      <c r="O580" s="33" t="e">
        <f t="shared" ca="1" si="12"/>
        <v>#N/A</v>
      </c>
      <c r="P580" s="34" t="e">
        <f>I580/H580*VLOOKUP(F578,'[1]Membership Level'!$A$3:$C$15,3,FALSE)+K580</f>
        <v>#DIV/0!</v>
      </c>
      <c r="Q580" s="36"/>
    </row>
    <row r="581" spans="3:17" x14ac:dyDescent="0.25">
      <c r="C581" s="36"/>
      <c r="D581" s="36"/>
      <c r="E581" s="66"/>
      <c r="F581" s="36"/>
      <c r="G581" s="36"/>
      <c r="H581" s="30"/>
      <c r="I581" s="30"/>
      <c r="J581" s="31"/>
      <c r="K581" s="43"/>
      <c r="L581" s="32" t="e">
        <f>DATE(YEAR(K581),MONTH(K581)+VLOOKUP($F579,'[1]Membership Level'!$A$3:$B$15,2,FALSE),DAY(K581))</f>
        <v>#N/A</v>
      </c>
      <c r="M581" s="36"/>
      <c r="N581" s="34" t="e">
        <f>IF($L581&lt;&gt;0,DATE(YEAR($L581),MONTH($L581)-#REF!,DAY($L581)-$M581),"")</f>
        <v>#N/A</v>
      </c>
      <c r="O581" s="33" t="e">
        <f t="shared" ca="1" si="12"/>
        <v>#N/A</v>
      </c>
      <c r="P581" s="34" t="e">
        <f>I581/H581*VLOOKUP(F579,'[1]Membership Level'!$A$3:$C$15,3,FALSE)+K581</f>
        <v>#DIV/0!</v>
      </c>
      <c r="Q581" s="36"/>
    </row>
    <row r="582" spans="3:17" x14ac:dyDescent="0.25">
      <c r="C582" s="36"/>
      <c r="D582" s="36"/>
      <c r="E582" s="35"/>
      <c r="F582" s="36"/>
      <c r="G582" s="36"/>
      <c r="H582" s="30"/>
      <c r="I582" s="30"/>
      <c r="J582" s="31"/>
      <c r="K582" s="43"/>
      <c r="L582" s="32" t="e">
        <f>DATE(YEAR(K582),MONTH(K582)+VLOOKUP($F580,'[1]Membership Level'!$A$3:$B$15,2,FALSE),DAY(K582))</f>
        <v>#N/A</v>
      </c>
      <c r="M582" s="36"/>
      <c r="N582" s="34" t="e">
        <f>IF($L582&lt;&gt;0,DATE(YEAR($L582),MONTH($L582)-#REF!,DAY($L582)-$M582),"")</f>
        <v>#N/A</v>
      </c>
      <c r="O582" s="33" t="e">
        <f t="shared" ca="1" si="12"/>
        <v>#N/A</v>
      </c>
      <c r="P582" s="34" t="e">
        <f>I582/H582*VLOOKUP(F580,'[1]Membership Level'!$A$3:$C$15,3,FALSE)+K582</f>
        <v>#DIV/0!</v>
      </c>
      <c r="Q582" s="36"/>
    </row>
    <row r="583" spans="3:17" s="68" customFormat="1" x14ac:dyDescent="0.25">
      <c r="C583" s="36"/>
      <c r="D583" s="36"/>
      <c r="E583" s="35"/>
      <c r="F583" s="36"/>
      <c r="G583" s="36"/>
      <c r="H583" s="30"/>
      <c r="I583" s="30"/>
      <c r="J583" s="31"/>
      <c r="K583" s="43"/>
      <c r="L583" s="32" t="e">
        <f>DATE(YEAR(K583),MONTH(K583)+VLOOKUP($F581,'[1]Membership Level'!$A$3:$B$15,2,FALSE),DAY(K583))</f>
        <v>#N/A</v>
      </c>
      <c r="M583" s="36"/>
      <c r="N583" s="34" t="e">
        <f>IF($L583&lt;&gt;0,DATE(YEAR($L583),MONTH($L583)-#REF!,DAY($L583)-$M583),"")</f>
        <v>#N/A</v>
      </c>
      <c r="O583" s="33" t="e">
        <f t="shared" ca="1" si="12"/>
        <v>#N/A</v>
      </c>
      <c r="P583" s="34" t="e">
        <f>I583/H583*VLOOKUP(F581,'[1]Membership Level'!$A$3:$C$15,3,FALSE)+K583</f>
        <v>#DIV/0!</v>
      </c>
      <c r="Q583" s="36"/>
    </row>
    <row r="584" spans="3:17" x14ac:dyDescent="0.25">
      <c r="C584" s="36"/>
      <c r="D584" s="36"/>
      <c r="E584" s="35"/>
      <c r="F584" s="36"/>
      <c r="G584" s="36"/>
      <c r="H584" s="30"/>
      <c r="I584" s="30"/>
      <c r="J584" s="31"/>
      <c r="K584" s="43"/>
      <c r="L584" s="32" t="e">
        <f>DATE(YEAR(K584),MONTH(K584)+VLOOKUP($F582,'[1]Membership Level'!$A$3:$B$15,2,FALSE),DAY(K584))</f>
        <v>#N/A</v>
      </c>
      <c r="M584" s="36"/>
      <c r="N584" s="34" t="e">
        <f>IF($L584&lt;&gt;0,DATE(YEAR($L584),MONTH($L584)-#REF!,DAY($L584)-$M584),"")</f>
        <v>#N/A</v>
      </c>
      <c r="O584" s="33" t="e">
        <f t="shared" ca="1" si="12"/>
        <v>#N/A</v>
      </c>
      <c r="P584" s="34" t="e">
        <f>I584/H584*VLOOKUP(F582,'[1]Membership Level'!$A$3:$C$15,3,FALSE)+K584</f>
        <v>#DIV/0!</v>
      </c>
      <c r="Q584" s="36"/>
    </row>
    <row r="585" spans="3:17" x14ac:dyDescent="0.25">
      <c r="C585" s="36"/>
      <c r="D585" s="36"/>
      <c r="E585" s="36"/>
      <c r="F585" s="36"/>
      <c r="G585" s="36"/>
      <c r="H585" s="30"/>
      <c r="I585" s="30"/>
      <c r="J585" s="31"/>
      <c r="K585" s="43"/>
      <c r="L585" s="32" t="e">
        <f>DATE(YEAR(K585),MONTH(K585)+VLOOKUP($F583,'[1]Membership Level'!$A$3:$B$15,2,FALSE),DAY(K585))</f>
        <v>#N/A</v>
      </c>
      <c r="M585" s="36"/>
      <c r="N585" s="34" t="e">
        <f>IF($L585&lt;&gt;0,DATE(YEAR($L585),MONTH($L585)-#REF!,DAY($L585)-$M585),"")</f>
        <v>#N/A</v>
      </c>
      <c r="O585" s="33" t="e">
        <f t="shared" ca="1" si="12"/>
        <v>#N/A</v>
      </c>
      <c r="P585" s="34" t="e">
        <f>I585/H585*VLOOKUP(F583,'[1]Membership Level'!$A$3:$C$15,3,FALSE)+K585</f>
        <v>#DIV/0!</v>
      </c>
      <c r="Q585" s="36"/>
    </row>
    <row r="586" spans="3:17" x14ac:dyDescent="0.25">
      <c r="C586" s="36"/>
      <c r="D586" s="36"/>
      <c r="E586" s="35"/>
      <c r="F586" s="36"/>
      <c r="G586" s="36"/>
      <c r="H586" s="30"/>
      <c r="I586" s="30"/>
      <c r="J586" s="31"/>
      <c r="K586" s="43"/>
      <c r="L586" s="32" t="e">
        <f>DATE(YEAR(K586),MONTH(K586)+VLOOKUP($F584,'[1]Membership Level'!$A$3:$B$15,2,FALSE),DAY(K586))</f>
        <v>#N/A</v>
      </c>
      <c r="M586" s="36"/>
      <c r="N586" s="34" t="e">
        <f>IF($L586&lt;&gt;0,DATE(YEAR($L586),MONTH($L586)-#REF!,DAY($L586)-$M586),"")</f>
        <v>#N/A</v>
      </c>
      <c r="O586" s="33" t="e">
        <f t="shared" ca="1" si="12"/>
        <v>#N/A</v>
      </c>
      <c r="P586" s="34" t="e">
        <f>I586/H586*VLOOKUP(F584,'[1]Membership Level'!$A$3:$C$15,3,FALSE)+K586</f>
        <v>#DIV/0!</v>
      </c>
      <c r="Q586" s="36"/>
    </row>
    <row r="587" spans="3:17" x14ac:dyDescent="0.25">
      <c r="C587" s="33"/>
      <c r="D587" s="33"/>
      <c r="E587" s="35"/>
      <c r="F587" s="36"/>
      <c r="G587" s="36"/>
      <c r="H587" s="30"/>
      <c r="I587" s="30"/>
      <c r="J587" s="31"/>
      <c r="K587" s="43"/>
      <c r="L587" s="32" t="e">
        <f>DATE(YEAR(K587),MONTH(K587)+VLOOKUP($F585,'[1]Membership Level'!$A$3:$B$15,2,FALSE),DAY(K587))</f>
        <v>#N/A</v>
      </c>
      <c r="M587" s="36"/>
      <c r="N587" s="34" t="e">
        <f>IF($L587&lt;&gt;0,DATE(YEAR($L587),MONTH($L587)-#REF!,DAY($L587)-$M587),"")</f>
        <v>#N/A</v>
      </c>
      <c r="O587" s="33" t="e">
        <f t="shared" ca="1" si="12"/>
        <v>#N/A</v>
      </c>
      <c r="P587" s="34" t="e">
        <f>I587/H587*VLOOKUP(F585,'[1]Membership Level'!$A$3:$C$15,3,FALSE)+K587</f>
        <v>#DIV/0!</v>
      </c>
      <c r="Q587" s="36"/>
    </row>
    <row r="588" spans="3:17" x14ac:dyDescent="0.25">
      <c r="C588" s="33"/>
      <c r="D588" s="33"/>
      <c r="E588" s="35"/>
      <c r="F588" s="36"/>
      <c r="G588" s="36"/>
      <c r="H588" s="30"/>
      <c r="I588" s="30"/>
      <c r="J588" s="31"/>
      <c r="K588" s="43"/>
      <c r="L588" s="32" t="e">
        <f>DATE(YEAR(K588),MONTH(K588)+VLOOKUP($F586,'[1]Membership Level'!$A$3:$B$15,2,FALSE),DAY(K588))</f>
        <v>#N/A</v>
      </c>
      <c r="M588" s="36"/>
      <c r="N588" s="34" t="e">
        <f>IF($L588&lt;&gt;0,DATE(YEAR($L588),MONTH($L588)-#REF!,DAY($L588)-$M588),"")</f>
        <v>#N/A</v>
      </c>
      <c r="O588" s="33" t="e">
        <f t="shared" ca="1" si="12"/>
        <v>#N/A</v>
      </c>
      <c r="P588" s="34" t="e">
        <f>I588/H588*VLOOKUP(F586,'[1]Membership Level'!$A$3:$C$15,3,FALSE)+K588</f>
        <v>#DIV/0!</v>
      </c>
      <c r="Q588" s="36"/>
    </row>
    <row r="589" spans="3:17" x14ac:dyDescent="0.25">
      <c r="C589" s="36"/>
      <c r="D589" s="36"/>
      <c r="E589" s="35"/>
      <c r="F589" s="36"/>
      <c r="G589" s="36"/>
      <c r="H589" s="30"/>
      <c r="I589" s="30"/>
      <c r="J589" s="31"/>
      <c r="K589" s="43"/>
      <c r="L589" s="32" t="e">
        <f>DATE(YEAR(K589),MONTH(K589)+VLOOKUP($F587,'[1]Membership Level'!$A$3:$B$15,2,FALSE),DAY(K589))</f>
        <v>#N/A</v>
      </c>
      <c r="M589" s="36"/>
      <c r="N589" s="34" t="e">
        <f>IF($L589&lt;&gt;0,DATE(YEAR($L589),MONTH($L589)-#REF!,DAY($L589)-$M589),"")</f>
        <v>#N/A</v>
      </c>
      <c r="O589" s="33" t="e">
        <f t="shared" ca="1" si="12"/>
        <v>#N/A</v>
      </c>
      <c r="P589" s="34" t="e">
        <f>I589/H589*VLOOKUP(F587,'[1]Membership Level'!$A$3:$C$15,3,FALSE)+K589</f>
        <v>#DIV/0!</v>
      </c>
      <c r="Q589" s="36"/>
    </row>
    <row r="590" spans="3:17" x14ac:dyDescent="0.25">
      <c r="C590" s="36"/>
      <c r="D590" s="36"/>
      <c r="E590" s="35"/>
      <c r="F590" s="36"/>
      <c r="G590" s="36"/>
      <c r="H590" s="30"/>
      <c r="I590" s="30"/>
      <c r="J590" s="31"/>
      <c r="K590" s="43"/>
      <c r="L590" s="32" t="e">
        <f>DATE(YEAR(K590),MONTH(K590)+VLOOKUP($F588,'[1]Membership Level'!$A$3:$B$15,2,FALSE),DAY(K590))</f>
        <v>#N/A</v>
      </c>
      <c r="M590" s="36"/>
      <c r="N590" s="34" t="e">
        <f>IF($L590&lt;&gt;0,DATE(YEAR($L590),MONTH($L590)-#REF!,DAY($L590)-$M590),"")</f>
        <v>#N/A</v>
      </c>
      <c r="O590" s="33" t="e">
        <f t="shared" ca="1" si="12"/>
        <v>#N/A</v>
      </c>
      <c r="P590" s="34" t="e">
        <f>I590/H590*VLOOKUP(F588,'[1]Membership Level'!$A$3:$C$15,3,FALSE)+K590</f>
        <v>#DIV/0!</v>
      </c>
      <c r="Q590" s="36"/>
    </row>
    <row r="591" spans="3:17" x14ac:dyDescent="0.25">
      <c r="C591" s="36"/>
      <c r="D591" s="36"/>
      <c r="E591" s="35"/>
      <c r="F591" s="36"/>
      <c r="G591" s="36"/>
      <c r="H591" s="30"/>
      <c r="I591" s="30"/>
      <c r="J591" s="31"/>
      <c r="K591" s="43"/>
      <c r="L591" s="32" t="e">
        <f>DATE(YEAR(K591),MONTH(K591)+VLOOKUP($F589,'[1]Membership Level'!$A$3:$B$15,2,FALSE),DAY(K591))</f>
        <v>#N/A</v>
      </c>
      <c r="M591" s="36"/>
      <c r="N591" s="34" t="e">
        <f>IF($L591&lt;&gt;0,DATE(YEAR($L591),MONTH($L591)-#REF!,DAY($L591)-$M591),"")</f>
        <v>#N/A</v>
      </c>
      <c r="O591" s="33" t="e">
        <f t="shared" ca="1" si="12"/>
        <v>#N/A</v>
      </c>
      <c r="P591" s="34" t="e">
        <f>I591/H591*VLOOKUP(F589,'[1]Membership Level'!$A$3:$C$15,3,FALSE)+K591</f>
        <v>#DIV/0!</v>
      </c>
      <c r="Q591" s="36"/>
    </row>
    <row r="592" spans="3:17" x14ac:dyDescent="0.25">
      <c r="C592" s="36"/>
      <c r="D592" s="36"/>
      <c r="E592" s="35"/>
      <c r="F592" s="36"/>
      <c r="G592" s="36"/>
      <c r="H592" s="30"/>
      <c r="I592" s="30"/>
      <c r="J592" s="31"/>
      <c r="K592" s="43"/>
      <c r="L592" s="32" t="e">
        <f>DATE(YEAR(K592),MONTH(K592)+VLOOKUP($F590,'[1]Membership Level'!$A$3:$B$15,2,FALSE),DAY(K592))</f>
        <v>#N/A</v>
      </c>
      <c r="M592" s="36"/>
      <c r="N592" s="34" t="e">
        <f>IF($L592&lt;&gt;0,DATE(YEAR($L592),MONTH($L592)-#REF!,DAY($L592)-$M592),"")</f>
        <v>#N/A</v>
      </c>
      <c r="O592" s="33" t="e">
        <f t="shared" ca="1" si="12"/>
        <v>#N/A</v>
      </c>
      <c r="P592" s="34" t="e">
        <f>I592/H592*VLOOKUP(F590,'[1]Membership Level'!$A$3:$C$15,3,FALSE)+K592</f>
        <v>#DIV/0!</v>
      </c>
      <c r="Q592" s="36"/>
    </row>
    <row r="593" spans="3:17" x14ac:dyDescent="0.25">
      <c r="C593" s="36"/>
      <c r="D593" s="36"/>
      <c r="E593" s="36"/>
      <c r="F593" s="36"/>
      <c r="G593" s="36"/>
      <c r="H593" s="30"/>
      <c r="I593" s="30"/>
      <c r="J593" s="31"/>
      <c r="K593" s="43"/>
      <c r="L593" s="32" t="e">
        <f>DATE(YEAR(K593),MONTH(K593)+VLOOKUP($F591,'[1]Membership Level'!$A$3:$B$15,2,FALSE),DAY(K593))</f>
        <v>#N/A</v>
      </c>
      <c r="M593" s="36"/>
      <c r="N593" s="34" t="e">
        <f>IF($L593&lt;&gt;0,DATE(YEAR($L593),MONTH($L593)-#REF!,DAY($L593)-$M593),"")</f>
        <v>#N/A</v>
      </c>
      <c r="O593" s="33" t="e">
        <f t="shared" ca="1" si="12"/>
        <v>#N/A</v>
      </c>
      <c r="P593" s="34" t="e">
        <f>I593/H593*VLOOKUP(F591,'[1]Membership Level'!$A$3:$C$15,3,FALSE)+K593</f>
        <v>#DIV/0!</v>
      </c>
      <c r="Q593" s="36"/>
    </row>
    <row r="594" spans="3:17" x14ac:dyDescent="0.25">
      <c r="C594" s="36"/>
      <c r="D594" s="36"/>
      <c r="E594" s="35"/>
      <c r="F594" s="36"/>
      <c r="G594" s="36"/>
      <c r="H594" s="30"/>
      <c r="I594" s="30"/>
      <c r="J594" s="31"/>
      <c r="K594" s="43"/>
      <c r="L594" s="32" t="e">
        <f>DATE(YEAR(K594),MONTH(K594)+VLOOKUP($F592,'[1]Membership Level'!$A$3:$B$15,2,FALSE),DAY(K594))</f>
        <v>#N/A</v>
      </c>
      <c r="M594" s="36"/>
      <c r="N594" s="34" t="e">
        <f>IF($L594&lt;&gt;0,DATE(YEAR($L594),MONTH($L594)-#REF!,DAY($L594)-$M594),"")</f>
        <v>#N/A</v>
      </c>
      <c r="O594" s="33" t="e">
        <f t="shared" ca="1" si="12"/>
        <v>#N/A</v>
      </c>
      <c r="P594" s="34" t="e">
        <f>I594/H594*VLOOKUP(F592,'[1]Membership Level'!$A$3:$C$15,3,FALSE)+K594</f>
        <v>#DIV/0!</v>
      </c>
      <c r="Q594" s="36"/>
    </row>
    <row r="595" spans="3:17" x14ac:dyDescent="0.25">
      <c r="C595" s="36"/>
      <c r="D595" s="36"/>
      <c r="E595" s="35"/>
      <c r="F595" s="36"/>
      <c r="G595" s="36"/>
      <c r="H595" s="30"/>
      <c r="I595" s="30"/>
      <c r="J595" s="31"/>
      <c r="K595" s="43"/>
      <c r="L595" s="32" t="e">
        <f>DATE(YEAR(K595),MONTH(K595)+VLOOKUP($F593,'[1]Membership Level'!$A$3:$B$15,2,FALSE),DAY(K595))</f>
        <v>#N/A</v>
      </c>
      <c r="M595" s="36"/>
      <c r="N595" s="34" t="e">
        <f>IF($L595&lt;&gt;0,DATE(YEAR($L595),MONTH($L595)-#REF!,DAY($L595)-$M595),"")</f>
        <v>#N/A</v>
      </c>
      <c r="O595" s="33" t="e">
        <f t="shared" ca="1" si="12"/>
        <v>#N/A</v>
      </c>
      <c r="P595" s="34" t="e">
        <f>I595/H595*VLOOKUP(F593,'[1]Membership Level'!$A$3:$C$15,3,FALSE)+K595</f>
        <v>#DIV/0!</v>
      </c>
      <c r="Q595" s="36"/>
    </row>
    <row r="596" spans="3:17" x14ac:dyDescent="0.25">
      <c r="C596" s="36"/>
      <c r="D596" s="36"/>
      <c r="E596" s="66"/>
      <c r="F596" s="36"/>
      <c r="G596" s="36"/>
      <c r="H596" s="30"/>
      <c r="I596" s="30"/>
      <c r="J596" s="31"/>
      <c r="K596" s="43"/>
      <c r="L596" s="32" t="e">
        <f>DATE(YEAR(K596),MONTH(K596)+VLOOKUP($F594,'[1]Membership Level'!$A$3:$B$15,2,FALSE),DAY(K596))</f>
        <v>#N/A</v>
      </c>
      <c r="M596" s="36"/>
      <c r="N596" s="34" t="e">
        <f>IF($L596&lt;&gt;0,DATE(YEAR($L596),MONTH($L596)-#REF!,DAY($L596)-$M596),"")</f>
        <v>#N/A</v>
      </c>
      <c r="O596" s="33" t="e">
        <f t="shared" ca="1" si="12"/>
        <v>#N/A</v>
      </c>
      <c r="P596" s="34" t="e">
        <f>I596/H596*VLOOKUP(F594,'[1]Membership Level'!$A$3:$C$15,3,FALSE)+K596</f>
        <v>#DIV/0!</v>
      </c>
      <c r="Q596" s="36"/>
    </row>
    <row r="597" spans="3:17" x14ac:dyDescent="0.25">
      <c r="C597" s="36"/>
      <c r="D597" s="36"/>
      <c r="E597" s="35"/>
      <c r="F597" s="36"/>
      <c r="G597" s="36"/>
      <c r="H597" s="30"/>
      <c r="I597" s="30"/>
      <c r="J597" s="31"/>
      <c r="K597" s="43"/>
      <c r="L597" s="32" t="e">
        <f>DATE(YEAR(K597),MONTH(K597)+VLOOKUP($F595,'[1]Membership Level'!$A$3:$B$15,2,FALSE),DAY(K597))</f>
        <v>#N/A</v>
      </c>
      <c r="M597" s="36"/>
      <c r="N597" s="34" t="e">
        <f>IF($L597&lt;&gt;0,DATE(YEAR($L597),MONTH($L597)-#REF!,DAY($L597)-$M597),"")</f>
        <v>#N/A</v>
      </c>
      <c r="O597" s="33" t="e">
        <f t="shared" ca="1" si="12"/>
        <v>#N/A</v>
      </c>
      <c r="P597" s="34" t="e">
        <f>I597/H597*VLOOKUP(F595,'[1]Membership Level'!$A$3:$C$15,3,FALSE)+K597</f>
        <v>#DIV/0!</v>
      </c>
      <c r="Q597" s="36"/>
    </row>
    <row r="598" spans="3:17" x14ac:dyDescent="0.25">
      <c r="C598" s="36"/>
      <c r="D598" s="36"/>
      <c r="E598" s="35"/>
      <c r="F598" s="36"/>
      <c r="G598" s="36"/>
      <c r="H598" s="30"/>
      <c r="I598" s="30"/>
      <c r="J598" s="31"/>
      <c r="K598" s="43"/>
      <c r="L598" s="32" t="e">
        <f>DATE(YEAR(K598),MONTH(K598)+VLOOKUP($F596,'[1]Membership Level'!$A$3:$B$15,2,FALSE),DAY(K598))</f>
        <v>#N/A</v>
      </c>
      <c r="M598" s="36"/>
      <c r="N598" s="34" t="e">
        <f>IF($L598&lt;&gt;0,DATE(YEAR($L598),MONTH($L598)-#REF!,DAY($L598)-$M598),"")</f>
        <v>#N/A</v>
      </c>
      <c r="O598" s="33" t="e">
        <f t="shared" ca="1" si="12"/>
        <v>#N/A</v>
      </c>
      <c r="P598" s="34" t="e">
        <f>I598/H598*VLOOKUP(F596,'[1]Membership Level'!$A$3:$C$15,3,FALSE)+K598</f>
        <v>#DIV/0!</v>
      </c>
      <c r="Q598" s="36"/>
    </row>
    <row r="599" spans="3:17" x14ac:dyDescent="0.25">
      <c r="C599" s="36"/>
      <c r="D599" s="36"/>
      <c r="E599" s="66"/>
      <c r="F599" s="36"/>
      <c r="G599" s="36"/>
      <c r="H599" s="30"/>
      <c r="I599" s="30"/>
      <c r="J599" s="31"/>
      <c r="K599" s="43"/>
      <c r="L599" s="32" t="e">
        <f>DATE(YEAR(K599),MONTH(K599)+VLOOKUP($F597,'[1]Membership Level'!$A$3:$B$15,2,FALSE),DAY(K599))</f>
        <v>#N/A</v>
      </c>
      <c r="M599" s="36"/>
      <c r="N599" s="34" t="e">
        <f>IF($L599&lt;&gt;0,DATE(YEAR($L599),MONTH($L599)-#REF!,DAY($L599)-$M599),"")</f>
        <v>#N/A</v>
      </c>
      <c r="O599" s="33" t="e">
        <f t="shared" ca="1" si="12"/>
        <v>#N/A</v>
      </c>
      <c r="P599" s="34" t="e">
        <f>I599/H599*VLOOKUP(F597,'[1]Membership Level'!$A$3:$C$15,3,FALSE)+K599</f>
        <v>#DIV/0!</v>
      </c>
      <c r="Q599" s="36"/>
    </row>
    <row r="600" spans="3:17" x14ac:dyDescent="0.25">
      <c r="C600" s="36"/>
      <c r="D600" s="36"/>
      <c r="E600" s="66"/>
      <c r="F600" s="36"/>
      <c r="G600" s="36"/>
      <c r="H600" s="30"/>
      <c r="I600" s="30"/>
      <c r="J600" s="31"/>
      <c r="K600" s="43"/>
      <c r="L600" s="32" t="e">
        <f>DATE(YEAR(K600),MONTH(K600)+VLOOKUP($F598,'[1]Membership Level'!$A$3:$B$15,2,FALSE),DAY(K600))</f>
        <v>#N/A</v>
      </c>
      <c r="M600" s="36"/>
      <c r="N600" s="34" t="e">
        <f>IF($L600&lt;&gt;0,DATE(YEAR($L600),MONTH($L600)-#REF!,DAY($L600)-$M600),"")</f>
        <v>#N/A</v>
      </c>
      <c r="O600" s="33" t="e">
        <f t="shared" ca="1" si="12"/>
        <v>#N/A</v>
      </c>
      <c r="P600" s="34" t="e">
        <f>I600/H600*VLOOKUP(F598,'[1]Membership Level'!$A$3:$C$15,3,FALSE)+K600</f>
        <v>#DIV/0!</v>
      </c>
      <c r="Q600" s="36" t="s">
        <v>244</v>
      </c>
    </row>
    <row r="601" spans="3:17" x14ac:dyDescent="0.25">
      <c r="C601" s="36"/>
      <c r="D601" s="36"/>
      <c r="E601" s="66"/>
      <c r="F601" s="36"/>
      <c r="G601" s="36"/>
      <c r="H601" s="30"/>
      <c r="I601" s="30"/>
      <c r="J601" s="31"/>
      <c r="K601" s="43"/>
      <c r="L601" s="32" t="e">
        <f>DATE(YEAR(K601),MONTH(K601)+VLOOKUP($F599,'[1]Membership Level'!$A$3:$B$15,2,FALSE),DAY(K601))</f>
        <v>#N/A</v>
      </c>
      <c r="M601" s="36"/>
      <c r="N601" s="34" t="e">
        <f>IF($L601&lt;&gt;0,DATE(YEAR($L601),MONTH($L601)-#REF!,DAY($L601)-$M601),"")</f>
        <v>#N/A</v>
      </c>
      <c r="O601" s="33" t="e">
        <f t="shared" ca="1" si="12"/>
        <v>#N/A</v>
      </c>
      <c r="P601" s="34" t="e">
        <f>I601/H601*VLOOKUP(F599,'[1]Membership Level'!$A$3:$C$15,3,FALSE)+K601</f>
        <v>#DIV/0!</v>
      </c>
      <c r="Q601" s="36" t="s">
        <v>244</v>
      </c>
    </row>
    <row r="602" spans="3:17" x14ac:dyDescent="0.25">
      <c r="C602" s="36"/>
      <c r="D602" s="36"/>
      <c r="E602" s="66"/>
      <c r="F602" s="36"/>
      <c r="G602" s="36"/>
      <c r="H602" s="30"/>
      <c r="I602" s="30"/>
      <c r="J602" s="31"/>
      <c r="K602" s="43"/>
      <c r="L602" s="32" t="e">
        <f>DATE(YEAR(K602),MONTH(K602)+VLOOKUP($F600,'[1]Membership Level'!$A$3:$B$15,2,FALSE),DAY(K602))</f>
        <v>#N/A</v>
      </c>
      <c r="M602" s="36"/>
      <c r="N602" s="34" t="e">
        <f>IF($L602&lt;&gt;0,DATE(YEAR($L602),MONTH($L602)-#REF!,DAY($L602)-$M602),"")</f>
        <v>#N/A</v>
      </c>
      <c r="O602" s="33" t="e">
        <f t="shared" ca="1" si="12"/>
        <v>#N/A</v>
      </c>
      <c r="P602" s="34" t="e">
        <f>I602/H602*VLOOKUP(F600,'[1]Membership Level'!$A$3:$C$15,3,FALSE)+K602</f>
        <v>#DIV/0!</v>
      </c>
      <c r="Q602" s="36" t="s">
        <v>244</v>
      </c>
    </row>
    <row r="603" spans="3:17" x14ac:dyDescent="0.25">
      <c r="C603" s="36"/>
      <c r="D603" s="36"/>
      <c r="E603" s="35"/>
      <c r="F603" s="36"/>
      <c r="G603" s="36"/>
      <c r="H603" s="30"/>
      <c r="I603" s="30"/>
      <c r="J603" s="31"/>
      <c r="K603" s="43"/>
      <c r="L603" s="32" t="e">
        <f>DATE(YEAR(K603),MONTH(K603)+VLOOKUP($F601,'[1]Membership Level'!$A$3:$B$15,2,FALSE),DAY(K603))</f>
        <v>#N/A</v>
      </c>
      <c r="M603" s="36"/>
      <c r="N603" s="34" t="e">
        <f>IF($L603&lt;&gt;0,DATE(YEAR($L603),MONTH($L603)-#REF!,DAY($L603)-$M603),"")</f>
        <v>#N/A</v>
      </c>
      <c r="O603" s="33" t="e">
        <f t="shared" ca="1" si="12"/>
        <v>#N/A</v>
      </c>
      <c r="P603" s="34" t="e">
        <f>I603/H603*VLOOKUP(F601,'[1]Membership Level'!$A$3:$C$15,3,FALSE)+K603</f>
        <v>#DIV/0!</v>
      </c>
      <c r="Q603" s="36"/>
    </row>
    <row r="604" spans="3:17" s="48" customFormat="1" x14ac:dyDescent="0.25">
      <c r="C604" s="36"/>
      <c r="D604" s="36"/>
      <c r="E604" s="35"/>
      <c r="F604" s="36"/>
      <c r="G604" s="36"/>
      <c r="H604" s="30"/>
      <c r="I604" s="30"/>
      <c r="J604" s="31"/>
      <c r="K604" s="43"/>
      <c r="L604" s="32" t="e">
        <f>DATE(YEAR(K604),MONTH(K604)+VLOOKUP($F602,'[1]Membership Level'!$A$3:$B$15,2,FALSE),DAY(K604))</f>
        <v>#N/A</v>
      </c>
      <c r="M604" s="36"/>
      <c r="N604" s="34" t="e">
        <f>IF($L604&lt;&gt;0,DATE(YEAR($L604),MONTH($L604)-#REF!,DAY($L604)-$M604),"")</f>
        <v>#N/A</v>
      </c>
      <c r="O604" s="33" t="e">
        <f t="shared" ca="1" si="12"/>
        <v>#N/A</v>
      </c>
      <c r="P604" s="34" t="e">
        <f>I604/H604*VLOOKUP(F602,'[1]Membership Level'!$A$3:$C$15,3,FALSE)+K604</f>
        <v>#DIV/0!</v>
      </c>
      <c r="Q604" s="36"/>
    </row>
    <row r="605" spans="3:17" s="68" customFormat="1" x14ac:dyDescent="0.25">
      <c r="C605" s="36"/>
      <c r="D605" s="36"/>
      <c r="E605" s="35"/>
      <c r="F605" s="36"/>
      <c r="G605" s="36"/>
      <c r="H605" s="30"/>
      <c r="I605" s="30"/>
      <c r="J605" s="31"/>
      <c r="K605" s="43"/>
      <c r="L605" s="32" t="e">
        <f>DATE(YEAR(K605),MONTH(K605)+VLOOKUP($F603,'[1]Membership Level'!$A$3:$B$15,2,FALSE),DAY(K605))</f>
        <v>#N/A</v>
      </c>
      <c r="M605" s="36"/>
      <c r="N605" s="34" t="e">
        <f>IF($L605&lt;&gt;0,DATE(YEAR($L605),MONTH($L605)-#REF!,DAY($L605)-$M605),"")</f>
        <v>#N/A</v>
      </c>
      <c r="O605" s="33" t="e">
        <f t="shared" ca="1" si="12"/>
        <v>#N/A</v>
      </c>
      <c r="P605" s="34" t="e">
        <f>I605/H605*VLOOKUP(F603,'[1]Membership Level'!$A$3:$C$15,3,FALSE)+K605</f>
        <v>#DIV/0!</v>
      </c>
      <c r="Q605" s="36"/>
    </row>
    <row r="606" spans="3:17" x14ac:dyDescent="0.25">
      <c r="C606" s="36"/>
      <c r="D606" s="36"/>
      <c r="E606" s="66"/>
      <c r="F606" s="36"/>
      <c r="G606" s="36"/>
      <c r="H606" s="30"/>
      <c r="I606" s="30"/>
      <c r="J606" s="31"/>
      <c r="K606" s="43"/>
      <c r="L606" s="32" t="e">
        <f>DATE(YEAR(K606),MONTH(K606)+VLOOKUP($F604,'[1]Membership Level'!$A$3:$B$15,2,FALSE),DAY(K606))</f>
        <v>#N/A</v>
      </c>
      <c r="M606" s="36"/>
      <c r="N606" s="34" t="e">
        <f>IF($L606&lt;&gt;0,DATE(YEAR($L606),MONTH($L606)-#REF!,DAY($L606)-$M606),"")</f>
        <v>#N/A</v>
      </c>
      <c r="O606" s="33" t="e">
        <f t="shared" ca="1" si="12"/>
        <v>#N/A</v>
      </c>
      <c r="P606" s="34" t="e">
        <f>I606/H606*VLOOKUP(F604,'[1]Membership Level'!$A$3:$C$15,3,FALSE)+K606</f>
        <v>#DIV/0!</v>
      </c>
      <c r="Q606" s="36"/>
    </row>
    <row r="607" spans="3:17" s="63" customFormat="1" x14ac:dyDescent="0.25">
      <c r="C607" s="36"/>
      <c r="D607" s="36"/>
      <c r="E607" s="35"/>
      <c r="F607" s="36"/>
      <c r="G607" s="36"/>
      <c r="H607" s="30"/>
      <c r="I607" s="30"/>
      <c r="J607" s="31"/>
      <c r="K607" s="43"/>
      <c r="L607" s="32" t="e">
        <f>DATE(YEAR(K607),MONTH(K607)+VLOOKUP($F605,'[1]Membership Level'!$A$3:$B$15,2,FALSE),DAY(K607))</f>
        <v>#N/A</v>
      </c>
      <c r="M607" s="36"/>
      <c r="N607" s="34" t="e">
        <f>IF($L607&lt;&gt;0,DATE(YEAR($L607),MONTH($L607)-#REF!,DAY($L607)-$M607),"")</f>
        <v>#N/A</v>
      </c>
      <c r="O607" s="33" t="e">
        <f t="shared" ca="1" si="12"/>
        <v>#N/A</v>
      </c>
      <c r="P607" s="34" t="e">
        <f>I607/H607*VLOOKUP(F605,'[1]Membership Level'!$A$3:$C$15,3,FALSE)+K607</f>
        <v>#DIV/0!</v>
      </c>
      <c r="Q607" s="36"/>
    </row>
    <row r="608" spans="3:17" x14ac:dyDescent="0.25">
      <c r="C608" s="36"/>
      <c r="D608" s="36"/>
      <c r="E608" s="35"/>
      <c r="F608" s="36"/>
      <c r="G608" s="36"/>
      <c r="H608" s="30"/>
      <c r="I608" s="30"/>
      <c r="J608" s="31"/>
      <c r="K608" s="43"/>
      <c r="L608" s="32" t="e">
        <f>DATE(YEAR(K608),MONTH(K608)+VLOOKUP($F606,'[1]Membership Level'!$A$3:$B$15,2,FALSE),DAY(K608))</f>
        <v>#N/A</v>
      </c>
      <c r="M608" s="36"/>
      <c r="N608" s="34" t="e">
        <f>IF($L608&lt;&gt;0,DATE(YEAR($L608),MONTH($L608)-#REF!,DAY($L608)-$M608),"")</f>
        <v>#N/A</v>
      </c>
      <c r="O608" s="33" t="e">
        <f t="shared" ca="1" si="12"/>
        <v>#N/A</v>
      </c>
      <c r="P608" s="34" t="e">
        <f>I608/H608*VLOOKUP(F606,'[1]Membership Level'!$A$3:$C$15,3,FALSE)+K608</f>
        <v>#DIV/0!</v>
      </c>
      <c r="Q608" s="36"/>
    </row>
    <row r="609" spans="3:17" x14ac:dyDescent="0.25">
      <c r="C609" s="36"/>
      <c r="D609" s="36"/>
      <c r="E609" s="35"/>
      <c r="F609" s="36"/>
      <c r="G609" s="36"/>
      <c r="H609" s="30"/>
      <c r="I609" s="30"/>
      <c r="J609" s="31"/>
      <c r="K609" s="43"/>
      <c r="L609" s="32" t="e">
        <f>DATE(YEAR(K609),MONTH(K609)+VLOOKUP($F607,'[1]Membership Level'!$A$3:$B$15,2,FALSE),DAY(K609))</f>
        <v>#N/A</v>
      </c>
      <c r="M609" s="36"/>
      <c r="N609" s="34" t="e">
        <f>IF($L609&lt;&gt;0,DATE(YEAR($L609),MONTH($L609)-#REF!,DAY($L609)-$M609),"")</f>
        <v>#N/A</v>
      </c>
      <c r="O609" s="33" t="e">
        <f t="shared" ca="1" si="12"/>
        <v>#N/A</v>
      </c>
      <c r="P609" s="34" t="e">
        <f>I609/H609*VLOOKUP(F607,'[1]Membership Level'!$A$3:$C$15,3,FALSE)+K609</f>
        <v>#DIV/0!</v>
      </c>
      <c r="Q609" s="36"/>
    </row>
    <row r="610" spans="3:17" x14ac:dyDescent="0.25">
      <c r="C610" s="36"/>
      <c r="D610" s="36"/>
      <c r="E610" s="35"/>
      <c r="F610" s="36"/>
      <c r="G610" s="36"/>
      <c r="H610" s="30"/>
      <c r="I610" s="30"/>
      <c r="J610" s="31"/>
      <c r="K610" s="43"/>
      <c r="L610" s="32" t="e">
        <f>DATE(YEAR(K610),MONTH(K610)+VLOOKUP($F608,'[1]Membership Level'!$A$3:$B$15,2,FALSE),DAY(K610))</f>
        <v>#N/A</v>
      </c>
      <c r="M610" s="36"/>
      <c r="N610" s="34" t="e">
        <f>IF($L610&lt;&gt;0,DATE(YEAR($L610),MONTH($L610)-#REF!,DAY($L610)-$M610),"")</f>
        <v>#N/A</v>
      </c>
      <c r="O610" s="33" t="e">
        <f t="shared" ca="1" si="12"/>
        <v>#N/A</v>
      </c>
      <c r="P610" s="34" t="e">
        <f>I610/H610*VLOOKUP(F608,'[1]Membership Level'!$A$3:$C$15,3,FALSE)+K610</f>
        <v>#DIV/0!</v>
      </c>
      <c r="Q610" s="36"/>
    </row>
    <row r="611" spans="3:17" x14ac:dyDescent="0.25">
      <c r="C611" s="36"/>
      <c r="D611" s="36"/>
      <c r="E611" s="66"/>
      <c r="F611" s="36"/>
      <c r="G611" s="36"/>
      <c r="H611" s="30"/>
      <c r="I611" s="30"/>
      <c r="J611" s="31"/>
      <c r="K611" s="43"/>
      <c r="L611" s="32" t="e">
        <f>DATE(YEAR(K611),MONTH(K611)+VLOOKUP($F609,'[1]Membership Level'!$A$3:$B$15,2,FALSE),DAY(K611))</f>
        <v>#N/A</v>
      </c>
      <c r="M611" s="36"/>
      <c r="N611" s="34" t="e">
        <f>IF($L611&lt;&gt;0,DATE(YEAR($L611),MONTH($L611)-#REF!,DAY($L611)-$M611),"")</f>
        <v>#N/A</v>
      </c>
      <c r="O611" s="33" t="e">
        <f t="shared" ca="1" si="12"/>
        <v>#N/A</v>
      </c>
      <c r="P611" s="34" t="e">
        <f>I611/H611*VLOOKUP(F609,'[1]Membership Level'!$A$3:$C$15,3,FALSE)+K611</f>
        <v>#DIV/0!</v>
      </c>
      <c r="Q611" s="36"/>
    </row>
    <row r="612" spans="3:17" x14ac:dyDescent="0.25">
      <c r="C612" s="36"/>
      <c r="D612" s="36"/>
      <c r="E612" s="35"/>
      <c r="F612" s="36"/>
      <c r="G612" s="36"/>
      <c r="H612" s="30"/>
      <c r="I612" s="30"/>
      <c r="J612" s="31"/>
      <c r="K612" s="43"/>
      <c r="L612" s="32" t="e">
        <f>DATE(YEAR(K612),MONTH(K612)+VLOOKUP($F610,'[1]Membership Level'!$A$3:$B$15,2,FALSE),DAY(K612))</f>
        <v>#N/A</v>
      </c>
      <c r="M612" s="36"/>
      <c r="N612" s="34" t="e">
        <f>IF($L612&lt;&gt;0,DATE(YEAR($L612),MONTH($L612)-#REF!,DAY($L612)-$M612),"")</f>
        <v>#N/A</v>
      </c>
      <c r="O612" s="33" t="e">
        <f t="shared" ca="1" si="12"/>
        <v>#N/A</v>
      </c>
      <c r="P612" s="34" t="e">
        <f>I612/H612*VLOOKUP(F610,'[1]Membership Level'!$A$3:$C$15,3,FALSE)+K612</f>
        <v>#DIV/0!</v>
      </c>
      <c r="Q612" s="36"/>
    </row>
    <row r="613" spans="3:17" x14ac:dyDescent="0.25">
      <c r="C613" s="36"/>
      <c r="D613" s="36"/>
      <c r="E613" s="66"/>
      <c r="F613" s="36"/>
      <c r="G613" s="36"/>
      <c r="H613" s="30"/>
      <c r="I613" s="30"/>
      <c r="J613" s="31"/>
      <c r="K613" s="43"/>
      <c r="L613" s="32" t="e">
        <f>DATE(YEAR(K613),MONTH(K613)+VLOOKUP($F611,'[1]Membership Level'!$A$3:$B$15,2,FALSE),DAY(K613))</f>
        <v>#N/A</v>
      </c>
      <c r="M613" s="36"/>
      <c r="N613" s="34" t="e">
        <f>IF($L613&lt;&gt;0,DATE(YEAR($L613),MONTH($L613)-#REF!,DAY($L613)-$M613),"")</f>
        <v>#N/A</v>
      </c>
      <c r="O613" s="33" t="e">
        <f t="shared" ca="1" si="12"/>
        <v>#N/A</v>
      </c>
      <c r="P613" s="34" t="e">
        <f>I613/H613*VLOOKUP(F611,'[1]Membership Level'!$A$3:$C$15,3,FALSE)+K613</f>
        <v>#DIV/0!</v>
      </c>
      <c r="Q613" s="36"/>
    </row>
    <row r="614" spans="3:17" x14ac:dyDescent="0.25">
      <c r="C614" s="36"/>
      <c r="D614" s="36"/>
      <c r="E614" s="35"/>
      <c r="F614" s="36"/>
      <c r="G614" s="36"/>
      <c r="H614" s="30"/>
      <c r="I614" s="30"/>
      <c r="J614" s="31"/>
      <c r="K614" s="43"/>
      <c r="L614" s="32" t="e">
        <f>DATE(YEAR(K614),MONTH(K614)+VLOOKUP($F612,'[1]Membership Level'!$A$3:$B$15,2,FALSE),DAY(K614))</f>
        <v>#N/A</v>
      </c>
      <c r="M614" s="36"/>
      <c r="N614" s="34" t="e">
        <f>IF($L614&lt;&gt;0,DATE(YEAR($L614),MONTH($L614)-#REF!,DAY($L614)-$M614),"")</f>
        <v>#N/A</v>
      </c>
      <c r="O614" s="33" t="e">
        <f t="shared" ca="1" si="12"/>
        <v>#N/A</v>
      </c>
      <c r="P614" s="34" t="e">
        <f>I614/H614*VLOOKUP(F612,'[1]Membership Level'!$A$3:$C$15,3,FALSE)+K614</f>
        <v>#DIV/0!</v>
      </c>
      <c r="Q614" s="36"/>
    </row>
    <row r="615" spans="3:17" x14ac:dyDescent="0.25">
      <c r="C615" s="36"/>
      <c r="D615" s="36"/>
      <c r="E615" s="35"/>
      <c r="F615" s="36"/>
      <c r="G615" s="36"/>
      <c r="H615" s="30"/>
      <c r="I615" s="30"/>
      <c r="J615" s="31"/>
      <c r="K615" s="43"/>
      <c r="L615" s="32" t="e">
        <f>DATE(YEAR(K615),MONTH(K615)+VLOOKUP($F613,'[1]Membership Level'!$A$3:$B$15,2,FALSE),DAY(K615))</f>
        <v>#N/A</v>
      </c>
      <c r="M615" s="36"/>
      <c r="N615" s="34" t="e">
        <f>IF($L615&lt;&gt;0,DATE(YEAR($L615),MONTH($L615)-#REF!,DAY($L615)-$M615),"")</f>
        <v>#N/A</v>
      </c>
      <c r="O615" s="33" t="e">
        <f t="shared" ca="1" si="12"/>
        <v>#N/A</v>
      </c>
      <c r="P615" s="34" t="e">
        <f>I615/H615*VLOOKUP(F613,'[1]Membership Level'!$A$3:$C$15,3,FALSE)+K615</f>
        <v>#DIV/0!</v>
      </c>
      <c r="Q615" s="36"/>
    </row>
    <row r="616" spans="3:17" x14ac:dyDescent="0.25">
      <c r="C616" s="36"/>
      <c r="D616" s="36"/>
      <c r="E616" s="35"/>
      <c r="F616" s="36"/>
      <c r="G616" s="36"/>
      <c r="H616" s="30"/>
      <c r="I616" s="30"/>
      <c r="J616" s="31"/>
      <c r="K616" s="43"/>
      <c r="L616" s="32" t="e">
        <f>DATE(YEAR(K616),MONTH(K616)+VLOOKUP($F614,'[1]Membership Level'!$A$3:$B$15,2,FALSE),DAY(K616))</f>
        <v>#N/A</v>
      </c>
      <c r="M616" s="36"/>
      <c r="N616" s="34" t="e">
        <f>IF($L616&lt;&gt;0,DATE(YEAR($L616),MONTH($L616)-#REF!,DAY($L616)-$M616),"")</f>
        <v>#N/A</v>
      </c>
      <c r="O616" s="33" t="e">
        <f t="shared" ca="1" si="12"/>
        <v>#N/A</v>
      </c>
      <c r="P616" s="34" t="e">
        <f>I616/H616*VLOOKUP(F614,'[1]Membership Level'!$A$3:$C$15,3,FALSE)+K616</f>
        <v>#DIV/0!</v>
      </c>
      <c r="Q616" s="36"/>
    </row>
    <row r="617" spans="3:17" x14ac:dyDescent="0.25">
      <c r="C617" s="36"/>
      <c r="D617" s="36"/>
      <c r="E617" s="36"/>
      <c r="F617" s="36"/>
      <c r="G617" s="36"/>
      <c r="H617" s="30"/>
      <c r="I617" s="30"/>
      <c r="J617" s="31"/>
      <c r="K617" s="43"/>
      <c r="L617" s="32" t="e">
        <f>DATE(YEAR(K617),MONTH(K617)+VLOOKUP($F615,'[1]Membership Level'!$A$3:$B$15,2,FALSE),DAY(K617))</f>
        <v>#N/A</v>
      </c>
      <c r="M617" s="36"/>
      <c r="N617" s="34" t="e">
        <f>IF($L617&lt;&gt;0,DATE(YEAR($L617),MONTH($L617)-#REF!,DAY($L617)-$M617),"")</f>
        <v>#N/A</v>
      </c>
      <c r="O617" s="33" t="e">
        <f t="shared" ca="1" si="12"/>
        <v>#N/A</v>
      </c>
      <c r="P617" s="34" t="e">
        <f>I617/H617*VLOOKUP(F615,'[1]Membership Level'!$A$3:$C$15,3,FALSE)+K617</f>
        <v>#DIV/0!</v>
      </c>
      <c r="Q617" s="36"/>
    </row>
    <row r="618" spans="3:17" x14ac:dyDescent="0.25">
      <c r="C618" s="36"/>
      <c r="D618" s="36"/>
      <c r="E618" s="66"/>
      <c r="F618" s="36"/>
      <c r="G618" s="36"/>
      <c r="H618" s="30"/>
      <c r="I618" s="30"/>
      <c r="J618" s="31"/>
      <c r="K618" s="43"/>
      <c r="L618" s="32" t="e">
        <f>DATE(YEAR(K618),MONTH(K618)+VLOOKUP($F616,'[1]Membership Level'!$A$3:$B$15,2,FALSE),DAY(K618))</f>
        <v>#N/A</v>
      </c>
      <c r="M618" s="36"/>
      <c r="N618" s="34" t="e">
        <f>IF($L618&lt;&gt;0,DATE(YEAR($L618),MONTH($L618)-#REF!,DAY($L618)-$M618),"")</f>
        <v>#N/A</v>
      </c>
      <c r="O618" s="33" t="e">
        <f t="shared" ca="1" si="12"/>
        <v>#N/A</v>
      </c>
      <c r="P618" s="34" t="e">
        <f>I618/H618*VLOOKUP(F616,'[1]Membership Level'!$A$3:$C$15,3,FALSE)+K618</f>
        <v>#DIV/0!</v>
      </c>
      <c r="Q618" s="36"/>
    </row>
    <row r="619" spans="3:17" x14ac:dyDescent="0.25">
      <c r="C619" s="36"/>
      <c r="D619" s="36"/>
      <c r="E619" s="35"/>
      <c r="F619" s="36"/>
      <c r="G619" s="36"/>
      <c r="H619" s="30"/>
      <c r="I619" s="30"/>
      <c r="J619" s="31"/>
      <c r="K619" s="43"/>
      <c r="L619" s="32" t="e">
        <f>DATE(YEAR(K619),MONTH(K619)+VLOOKUP($F617,'[1]Membership Level'!$A$3:$B$15,2,FALSE),DAY(K619))</f>
        <v>#N/A</v>
      </c>
      <c r="M619" s="36"/>
      <c r="N619" s="34" t="e">
        <f>IF($L619&lt;&gt;0,DATE(YEAR($L619),MONTH($L619)-#REF!,DAY($L619)-$M619),"")</f>
        <v>#N/A</v>
      </c>
      <c r="O619" s="33" t="e">
        <f t="shared" ca="1" si="12"/>
        <v>#N/A</v>
      </c>
      <c r="P619" s="34" t="e">
        <f>I619/H619*VLOOKUP(F617,'[1]Membership Level'!$A$3:$C$15,3,FALSE)+K619</f>
        <v>#DIV/0!</v>
      </c>
      <c r="Q619" s="36"/>
    </row>
    <row r="620" spans="3:17" x14ac:dyDescent="0.25">
      <c r="C620" s="36"/>
      <c r="D620" s="36"/>
      <c r="E620" s="35"/>
      <c r="F620" s="36"/>
      <c r="G620" s="36"/>
      <c r="H620" s="30"/>
      <c r="I620" s="30"/>
      <c r="J620" s="31"/>
      <c r="K620" s="43"/>
      <c r="L620" s="32" t="e">
        <f>DATE(YEAR(K620),MONTH(K620)+VLOOKUP($F618,'[1]Membership Level'!$A$3:$B$15,2,FALSE),DAY(K620))</f>
        <v>#N/A</v>
      </c>
      <c r="M620" s="36"/>
      <c r="N620" s="34" t="e">
        <f>IF($L620&lt;&gt;0,DATE(YEAR($L620),MONTH($L620)-#REF!,DAY($L620)-$M620),"")</f>
        <v>#N/A</v>
      </c>
      <c r="O620" s="33" t="e">
        <f t="shared" ca="1" si="12"/>
        <v>#N/A</v>
      </c>
      <c r="P620" s="34" t="e">
        <f>I620/H620*VLOOKUP(F618,'[1]Membership Level'!$A$3:$C$15,3,FALSE)+K620</f>
        <v>#DIV/0!</v>
      </c>
      <c r="Q620" s="36"/>
    </row>
    <row r="621" spans="3:17" x14ac:dyDescent="0.25">
      <c r="C621" s="36"/>
      <c r="D621" s="36"/>
      <c r="E621" s="66"/>
      <c r="F621" s="36"/>
      <c r="G621" s="36"/>
      <c r="H621" s="30"/>
      <c r="I621" s="30"/>
      <c r="J621" s="31"/>
      <c r="K621" s="43"/>
      <c r="L621" s="32" t="e">
        <f>DATE(YEAR(K621),MONTH(K621)+VLOOKUP($F619,'[1]Membership Level'!$A$3:$B$15,2,FALSE),DAY(K621))</f>
        <v>#N/A</v>
      </c>
      <c r="M621" s="36"/>
      <c r="N621" s="34" t="e">
        <f>IF($L621&lt;&gt;0,DATE(YEAR($L621),MONTH($L621)-#REF!,DAY($L621)-$M621),"")</f>
        <v>#N/A</v>
      </c>
      <c r="O621" s="33" t="e">
        <f t="shared" ca="1" si="12"/>
        <v>#N/A</v>
      </c>
      <c r="P621" s="34" t="e">
        <f>I621/H621*VLOOKUP(F619,'[1]Membership Level'!$A$3:$C$15,3,FALSE)+K621</f>
        <v>#DIV/0!</v>
      </c>
      <c r="Q621" s="36"/>
    </row>
    <row r="622" spans="3:17" x14ac:dyDescent="0.25">
      <c r="C622" s="36"/>
      <c r="D622" s="36"/>
      <c r="E622" s="66"/>
      <c r="F622" s="36"/>
      <c r="G622" s="36"/>
      <c r="H622" s="30"/>
      <c r="I622" s="30"/>
      <c r="J622" s="31"/>
      <c r="K622" s="43"/>
      <c r="L622" s="32" t="e">
        <f>DATE(YEAR(K622),MONTH(K622)+VLOOKUP($F620,'[1]Membership Level'!$A$3:$B$15,2,FALSE),DAY(K622))</f>
        <v>#N/A</v>
      </c>
      <c r="M622" s="36"/>
      <c r="N622" s="34" t="e">
        <f>IF($L622&lt;&gt;0,DATE(YEAR($L622),MONTH($L622)-#REF!,DAY($L622)-$M622),"")</f>
        <v>#N/A</v>
      </c>
      <c r="O622" s="33" t="e">
        <f t="shared" ca="1" si="12"/>
        <v>#N/A</v>
      </c>
      <c r="P622" s="34" t="e">
        <f>I622/H622*VLOOKUP(F620,'[1]Membership Level'!$A$3:$C$15,3,FALSE)+K622</f>
        <v>#DIV/0!</v>
      </c>
      <c r="Q622" s="36"/>
    </row>
    <row r="623" spans="3:17" x14ac:dyDescent="0.25">
      <c r="C623" s="36"/>
      <c r="D623" s="36"/>
      <c r="E623" s="35"/>
      <c r="F623" s="36"/>
      <c r="G623" s="36"/>
      <c r="H623" s="30"/>
      <c r="I623" s="30"/>
      <c r="J623" s="31"/>
      <c r="K623" s="43"/>
      <c r="L623" s="32" t="e">
        <f>DATE(YEAR(K623),MONTH(K623)+VLOOKUP($F621,'[1]Membership Level'!$A$3:$B$15,2,FALSE),DAY(K623))</f>
        <v>#N/A</v>
      </c>
      <c r="M623" s="36"/>
      <c r="N623" s="34" t="e">
        <f>IF($L623&lt;&gt;0,DATE(YEAR($L623),MONTH($L623)-#REF!,DAY($L623)-$M623),"")</f>
        <v>#N/A</v>
      </c>
      <c r="O623" s="33" t="e">
        <f t="shared" ca="1" si="12"/>
        <v>#N/A</v>
      </c>
      <c r="P623" s="34" t="e">
        <f>I623/H623*VLOOKUP(F621,'[1]Membership Level'!$A$3:$C$15,3,FALSE)+K623</f>
        <v>#DIV/0!</v>
      </c>
      <c r="Q623" s="36"/>
    </row>
    <row r="624" spans="3:17" x14ac:dyDescent="0.25">
      <c r="C624" s="36"/>
      <c r="D624" s="36"/>
      <c r="E624" s="35"/>
      <c r="F624" s="36"/>
      <c r="G624" s="36"/>
      <c r="H624" s="30"/>
      <c r="I624" s="30"/>
      <c r="J624" s="31"/>
      <c r="K624" s="43"/>
      <c r="L624" s="32" t="e">
        <f>DATE(YEAR(K624),MONTH(K624)+VLOOKUP($F622,'[1]Membership Level'!$A$3:$B$15,2,FALSE),DAY(K624))</f>
        <v>#N/A</v>
      </c>
      <c r="M624" s="36"/>
      <c r="N624" s="34" t="e">
        <f>IF($L624&lt;&gt;0,DATE(YEAR($L624),MONTH($L624)-#REF!,DAY($L624)-$M624),"")</f>
        <v>#N/A</v>
      </c>
      <c r="O624" s="33" t="e">
        <f t="shared" ca="1" si="12"/>
        <v>#N/A</v>
      </c>
      <c r="P624" s="34" t="e">
        <f>I624/H624*VLOOKUP(F622,'[1]Membership Level'!$A$3:$C$15,3,FALSE)+K624</f>
        <v>#DIV/0!</v>
      </c>
      <c r="Q624" s="36"/>
    </row>
    <row r="625" spans="3:17" x14ac:dyDescent="0.25">
      <c r="C625" s="36"/>
      <c r="D625" s="36"/>
      <c r="E625" s="35"/>
      <c r="F625" s="69"/>
      <c r="G625" s="36"/>
      <c r="H625" s="30"/>
      <c r="I625" s="30"/>
      <c r="J625" s="31"/>
      <c r="K625" s="43"/>
      <c r="L625" s="32" t="e">
        <f>DATE(YEAR(K625),MONTH(K625)+VLOOKUP($F623,'[1]Membership Level'!$A$3:$B$15,2,FALSE),DAY(K625))</f>
        <v>#N/A</v>
      </c>
      <c r="M625" s="36"/>
      <c r="N625" s="34" t="e">
        <f>IF($L625&lt;&gt;0,DATE(YEAR($L625),MONTH($L625)-#REF!,DAY($L625)-$M625),"")</f>
        <v>#N/A</v>
      </c>
      <c r="O625" s="33" t="e">
        <f t="shared" ca="1" si="12"/>
        <v>#N/A</v>
      </c>
      <c r="P625" s="34" t="e">
        <f>I625/H625*VLOOKUP(F623,'[1]Membership Level'!$A$3:$C$15,3,FALSE)+K625</f>
        <v>#DIV/0!</v>
      </c>
      <c r="Q625" s="36"/>
    </row>
    <row r="626" spans="3:17" x14ac:dyDescent="0.25">
      <c r="C626" s="36"/>
      <c r="D626" s="36"/>
      <c r="E626" s="70"/>
      <c r="F626" s="69"/>
      <c r="G626" s="36"/>
      <c r="H626" s="30"/>
      <c r="I626" s="30"/>
      <c r="J626" s="31"/>
      <c r="K626" s="43"/>
      <c r="L626" s="32" t="e">
        <f>DATE(YEAR(K626),MONTH(K626)+VLOOKUP($F624,'[1]Membership Level'!$A$3:$B$15,2,FALSE),DAY(K626))</f>
        <v>#N/A</v>
      </c>
      <c r="M626" s="36"/>
      <c r="N626" s="34" t="e">
        <f>IF($L626&lt;&gt;0,DATE(YEAR($L626),MONTH($L626)-#REF!,DAY($L626)-$M626),"")</f>
        <v>#N/A</v>
      </c>
      <c r="O626" s="33" t="e">
        <f t="shared" ca="1" si="12"/>
        <v>#N/A</v>
      </c>
      <c r="P626" s="34" t="e">
        <f>I626/H626*VLOOKUP(F624,'[1]Membership Level'!$A$3:$C$15,3,FALSE)+K626</f>
        <v>#DIV/0!</v>
      </c>
      <c r="Q626" s="36"/>
    </row>
    <row r="627" spans="3:17" s="23" customFormat="1" x14ac:dyDescent="0.25">
      <c r="C627" s="69"/>
      <c r="D627" s="69"/>
      <c r="E627" s="70"/>
      <c r="F627" s="36"/>
      <c r="G627" s="69"/>
      <c r="H627" s="71"/>
      <c r="I627" s="71"/>
      <c r="J627" s="72"/>
      <c r="K627" s="73"/>
      <c r="L627" s="73" t="e">
        <f>DATE(YEAR(K627),MONTH(K627)+VLOOKUP($F625,'[1]Membership Level'!$A$3:$B$15,2,FALSE),DAY(K627))</f>
        <v>#N/A</v>
      </c>
      <c r="M627" s="36"/>
      <c r="N627" s="34" t="e">
        <f>IF($L627&lt;&gt;0,DATE(YEAR($L627),MONTH($L627)-#REF!,DAY($L627)-$M627),"")</f>
        <v>#N/A</v>
      </c>
      <c r="O627" s="33" t="e">
        <f t="shared" ca="1" si="12"/>
        <v>#N/A</v>
      </c>
      <c r="P627" s="34" t="e">
        <f>I627/H627*VLOOKUP(F625,'[1]Membership Level'!$A$3:$C$15,3,FALSE)+K627</f>
        <v>#DIV/0!</v>
      </c>
      <c r="Q627" s="69"/>
    </row>
    <row r="628" spans="3:17" s="23" customFormat="1" x14ac:dyDescent="0.25">
      <c r="C628" s="69"/>
      <c r="D628" s="69"/>
      <c r="E628" s="35"/>
      <c r="F628" s="36"/>
      <c r="G628" s="69"/>
      <c r="H628" s="71"/>
      <c r="I628" s="71"/>
      <c r="J628" s="72"/>
      <c r="K628" s="73"/>
      <c r="L628" s="73" t="e">
        <f>DATE(YEAR(K628),MONTH(K628)+VLOOKUP($F626,'[1]Membership Level'!$A$3:$B$15,2,FALSE),DAY(K628))</f>
        <v>#N/A</v>
      </c>
      <c r="M628" s="36"/>
      <c r="N628" s="34" t="e">
        <f>IF($L628&lt;&gt;0,DATE(YEAR($L628),MONTH($L628)-#REF!,DAY($L628)-$M628),"")</f>
        <v>#N/A</v>
      </c>
      <c r="O628" s="33" t="e">
        <f t="shared" ca="1" si="12"/>
        <v>#N/A</v>
      </c>
      <c r="P628" s="34" t="e">
        <f>I628/H628*VLOOKUP(F626,'[1]Membership Level'!$A$3:$C$15,3,FALSE)+K628</f>
        <v>#DIV/0!</v>
      </c>
      <c r="Q628" s="69"/>
    </row>
    <row r="629" spans="3:17" x14ac:dyDescent="0.25">
      <c r="C629" s="36"/>
      <c r="D629" s="36"/>
      <c r="E629" s="35"/>
      <c r="F629" s="36"/>
      <c r="G629" s="36"/>
      <c r="H629" s="30"/>
      <c r="I629" s="30"/>
      <c r="J629" s="31"/>
      <c r="K629" s="43"/>
      <c r="L629" s="32" t="e">
        <f>DATE(YEAR(K629),MONTH(K629)+VLOOKUP($F627,'[1]Membership Level'!$A$3:$B$15,2,FALSE),DAY(K629))</f>
        <v>#N/A</v>
      </c>
      <c r="M629" s="36"/>
      <c r="N629" s="34" t="e">
        <f>IF($L629&lt;&gt;0,DATE(YEAR($L629),MONTH($L629)-#REF!,DAY($L629)-$M629),"")</f>
        <v>#N/A</v>
      </c>
      <c r="O629" s="33" t="e">
        <f t="shared" ca="1" si="12"/>
        <v>#N/A</v>
      </c>
      <c r="P629" s="34" t="e">
        <f>I629/H629*VLOOKUP(F627,'[1]Membership Level'!$A$3:$C$15,3,FALSE)+K629</f>
        <v>#DIV/0!</v>
      </c>
      <c r="Q629" s="36"/>
    </row>
    <row r="630" spans="3:17" x14ac:dyDescent="0.25">
      <c r="C630" s="36"/>
      <c r="D630" s="36"/>
      <c r="E630" s="66"/>
      <c r="F630" s="36"/>
      <c r="G630" s="36"/>
      <c r="H630" s="30"/>
      <c r="I630" s="30"/>
      <c r="J630" s="31"/>
      <c r="K630" s="43"/>
      <c r="L630" s="32" t="e">
        <f>DATE(YEAR(K630),MONTH(K630)+VLOOKUP($F628,'[1]Membership Level'!$A$3:$B$15,2,FALSE),DAY(K630))</f>
        <v>#N/A</v>
      </c>
      <c r="M630" s="36"/>
      <c r="N630" s="34" t="e">
        <f>IF($L630&lt;&gt;0,DATE(YEAR($L630),MONTH($L630)-#REF!,DAY($L630)-$M630),"")</f>
        <v>#N/A</v>
      </c>
      <c r="O630" s="33" t="e">
        <f t="shared" ca="1" si="12"/>
        <v>#N/A</v>
      </c>
      <c r="P630" s="34" t="e">
        <f>I630/H630*VLOOKUP(F628,'[1]Membership Level'!$A$3:$C$15,3,FALSE)+K630</f>
        <v>#DIV/0!</v>
      </c>
      <c r="Q630" s="36"/>
    </row>
    <row r="631" spans="3:17" x14ac:dyDescent="0.25">
      <c r="C631" s="36"/>
      <c r="D631" s="36"/>
      <c r="E631" s="35"/>
      <c r="F631" s="36"/>
      <c r="G631" s="36"/>
      <c r="H631" s="30"/>
      <c r="I631" s="30"/>
      <c r="J631" s="31"/>
      <c r="K631" s="43"/>
      <c r="L631" s="32" t="e">
        <f>DATE(YEAR(K631),MONTH(K631)+VLOOKUP($F629,'[1]Membership Level'!$A$3:$B$15,2,FALSE),DAY(K631))</f>
        <v>#N/A</v>
      </c>
      <c r="M631" s="36"/>
      <c r="N631" s="34" t="e">
        <f>IF($L631&lt;&gt;0,DATE(YEAR($L631),MONTH($L631)-#REF!,DAY($L631)-$M631),"")</f>
        <v>#N/A</v>
      </c>
      <c r="O631" s="33" t="e">
        <f t="shared" ca="1" si="12"/>
        <v>#N/A</v>
      </c>
      <c r="P631" s="34" t="e">
        <f>I631/H631*VLOOKUP(F629,'[1]Membership Level'!$A$3:$C$15,3,FALSE)+K631</f>
        <v>#DIV/0!</v>
      </c>
      <c r="Q631" s="36"/>
    </row>
    <row r="632" spans="3:17" x14ac:dyDescent="0.25">
      <c r="C632" s="36"/>
      <c r="D632" s="36"/>
      <c r="E632" s="66"/>
      <c r="F632" s="36"/>
      <c r="G632" s="36"/>
      <c r="H632" s="30"/>
      <c r="I632" s="30"/>
      <c r="J632" s="31"/>
      <c r="K632" s="43"/>
      <c r="L632" s="32" t="e">
        <f>DATE(YEAR(K632),MONTH(K632)+VLOOKUP($F630,'[1]Membership Level'!$A$3:$B$15,2,FALSE),DAY(K632))</f>
        <v>#N/A</v>
      </c>
      <c r="M632" s="36"/>
      <c r="N632" s="34" t="e">
        <f>IF($L632&lt;&gt;0,DATE(YEAR($L632),MONTH($L632)-#REF!,DAY($L632)-$M632),"")</f>
        <v>#N/A</v>
      </c>
      <c r="O632" s="33" t="e">
        <f t="shared" ca="1" si="12"/>
        <v>#N/A</v>
      </c>
      <c r="P632" s="34" t="e">
        <f>I632/H632*VLOOKUP(F630,'[1]Membership Level'!$A$3:$C$15,3,FALSE)+K632</f>
        <v>#DIV/0!</v>
      </c>
      <c r="Q632" s="36"/>
    </row>
    <row r="633" spans="3:17" x14ac:dyDescent="0.25">
      <c r="C633" s="36"/>
      <c r="D633" s="36"/>
      <c r="E633" s="35"/>
      <c r="F633" s="36"/>
      <c r="G633" s="36"/>
      <c r="H633" s="30"/>
      <c r="I633" s="30"/>
      <c r="J633" s="31"/>
      <c r="K633" s="43"/>
      <c r="L633" s="32" t="e">
        <f>DATE(YEAR(K633),MONTH(K633)+VLOOKUP($F631,'[1]Membership Level'!$A$3:$B$15,2,FALSE),DAY(K633))</f>
        <v>#N/A</v>
      </c>
      <c r="M633" s="36"/>
      <c r="N633" s="34" t="e">
        <f>IF($L633&lt;&gt;0,DATE(YEAR($L633),MONTH($L633)-#REF!,DAY($L633)-$M633),"")</f>
        <v>#N/A</v>
      </c>
      <c r="O633" s="33" t="e">
        <f t="shared" ca="1" si="12"/>
        <v>#N/A</v>
      </c>
      <c r="P633" s="34" t="e">
        <f>I633/H633*VLOOKUP(F631,'[1]Membership Level'!$A$3:$C$15,3,FALSE)+K633</f>
        <v>#DIV/0!</v>
      </c>
      <c r="Q633" s="36"/>
    </row>
    <row r="634" spans="3:17" x14ac:dyDescent="0.25">
      <c r="C634" s="36"/>
      <c r="D634" s="36"/>
      <c r="E634" s="35"/>
      <c r="F634" s="36"/>
      <c r="G634" s="36"/>
      <c r="H634" s="30"/>
      <c r="I634" s="30"/>
      <c r="J634" s="31"/>
      <c r="K634" s="43"/>
      <c r="L634" s="32" t="e">
        <f>DATE(YEAR(K634),MONTH(K634)+VLOOKUP($F632,'[1]Membership Level'!$A$3:$B$15,2,FALSE),DAY(K634))</f>
        <v>#N/A</v>
      </c>
      <c r="M634" s="36"/>
      <c r="N634" s="34" t="e">
        <f>IF($L634&lt;&gt;0,DATE(YEAR($L634),MONTH($L634)-#REF!,DAY($L634)-$M634),"")</f>
        <v>#N/A</v>
      </c>
      <c r="O634" s="33" t="e">
        <f t="shared" ca="1" si="12"/>
        <v>#N/A</v>
      </c>
      <c r="P634" s="34" t="e">
        <f>I634/H634*VLOOKUP(F632,'[1]Membership Level'!$A$3:$C$15,3,FALSE)+K634</f>
        <v>#DIV/0!</v>
      </c>
      <c r="Q634" s="36"/>
    </row>
    <row r="635" spans="3:17" x14ac:dyDescent="0.25">
      <c r="C635" s="36"/>
      <c r="D635" s="36"/>
      <c r="E635" s="35"/>
      <c r="F635" s="36"/>
      <c r="G635" s="36"/>
      <c r="H635" s="30"/>
      <c r="I635" s="30"/>
      <c r="J635" s="31"/>
      <c r="K635" s="43"/>
      <c r="L635" s="32" t="e">
        <f>DATE(YEAR(K635),MONTH(K635)+VLOOKUP($F633,'[1]Membership Level'!$A$3:$B$15,2,FALSE),DAY(K635))</f>
        <v>#N/A</v>
      </c>
      <c r="M635" s="36"/>
      <c r="N635" s="34" t="e">
        <f>IF($L635&lt;&gt;0,DATE(YEAR($L635),MONTH($L635)-#REF!,DAY($L635)-$M635),"")</f>
        <v>#N/A</v>
      </c>
      <c r="O635" s="33" t="e">
        <f t="shared" ca="1" si="12"/>
        <v>#N/A</v>
      </c>
      <c r="P635" s="34" t="e">
        <f>I635/H635*VLOOKUP(F633,'[1]Membership Level'!$A$3:$C$15,3,FALSE)+K635</f>
        <v>#DIV/0!</v>
      </c>
      <c r="Q635" s="36"/>
    </row>
    <row r="636" spans="3:17" x14ac:dyDescent="0.25">
      <c r="C636" s="36"/>
      <c r="D636" s="36"/>
      <c r="E636" s="35"/>
      <c r="F636" s="36"/>
      <c r="G636" s="36"/>
      <c r="H636" s="30"/>
      <c r="I636" s="30"/>
      <c r="J636" s="31"/>
      <c r="K636" s="43"/>
      <c r="L636" s="32" t="e">
        <f>DATE(YEAR(K636),MONTH(K636)+VLOOKUP($F634,'[1]Membership Level'!$A$3:$B$15,2,FALSE),DAY(K636))</f>
        <v>#N/A</v>
      </c>
      <c r="M636" s="36"/>
      <c r="N636" s="34" t="e">
        <f>IF($L636&lt;&gt;0,DATE(YEAR($L636),MONTH($L636)-#REF!,DAY($L636)-$M636),"")</f>
        <v>#N/A</v>
      </c>
      <c r="O636" s="33" t="e">
        <f t="shared" ca="1" si="12"/>
        <v>#N/A</v>
      </c>
      <c r="P636" s="34" t="e">
        <f>I636/H636*VLOOKUP(F634,'[1]Membership Level'!$A$3:$C$15,3,FALSE)+K636</f>
        <v>#DIV/0!</v>
      </c>
      <c r="Q636" s="36"/>
    </row>
    <row r="637" spans="3:17" s="68" customFormat="1" x14ac:dyDescent="0.25">
      <c r="C637" s="36"/>
      <c r="D637" s="36"/>
      <c r="E637" s="36"/>
      <c r="F637" s="36"/>
      <c r="G637" s="36"/>
      <c r="H637" s="30"/>
      <c r="I637" s="30"/>
      <c r="J637" s="31"/>
      <c r="K637" s="43"/>
      <c r="L637" s="32" t="e">
        <f>DATE(YEAR(K637),MONTH(K637)+VLOOKUP($F635,'[1]Membership Level'!$A$3:$B$15,2,FALSE),DAY(K637))</f>
        <v>#N/A</v>
      </c>
      <c r="M637" s="36"/>
      <c r="N637" s="34" t="e">
        <f>IF($L637&lt;&gt;0,DATE(YEAR($L637),MONTH($L637)-#REF!,DAY($L637)-$M637),"")</f>
        <v>#N/A</v>
      </c>
      <c r="O637" s="33" t="e">
        <f t="shared" ref="O637:O700" ca="1" si="13">IF(DAYS360(NOW(), $L637) &gt;= 0, DAYS360(NOW(), $L637), "")</f>
        <v>#N/A</v>
      </c>
      <c r="P637" s="34" t="e">
        <f>I637/H637*VLOOKUP(F635,'[1]Membership Level'!$A$3:$C$15,3,FALSE)+K637</f>
        <v>#DIV/0!</v>
      </c>
      <c r="Q637" s="36"/>
    </row>
    <row r="638" spans="3:17" x14ac:dyDescent="0.25">
      <c r="C638" s="36"/>
      <c r="D638" s="43"/>
      <c r="E638" s="66"/>
      <c r="F638" s="36"/>
      <c r="G638" s="36"/>
      <c r="H638" s="30"/>
      <c r="I638" s="30"/>
      <c r="J638" s="31"/>
      <c r="K638" s="43"/>
      <c r="L638" s="32" t="e">
        <f>DATE(YEAR(K638),MONTH(K638)+VLOOKUP($F636,'[1]Membership Level'!$A$3:$B$15,2,FALSE),DAY(K638))</f>
        <v>#N/A</v>
      </c>
      <c r="M638" s="36"/>
      <c r="N638" s="34" t="e">
        <f>IF($L638&lt;&gt;0,DATE(YEAR($L638),MONTH($L638)-#REF!,DAY($L638)-$M638),"")</f>
        <v>#N/A</v>
      </c>
      <c r="O638" s="33" t="e">
        <f t="shared" ca="1" si="13"/>
        <v>#N/A</v>
      </c>
      <c r="P638" s="34" t="e">
        <f>I638/H638*VLOOKUP(F636,'[1]Membership Level'!$A$3:$C$15,3,FALSE)+K638</f>
        <v>#DIV/0!</v>
      </c>
      <c r="Q638" s="36"/>
    </row>
    <row r="639" spans="3:17" s="68" customFormat="1" x14ac:dyDescent="0.25">
      <c r="C639" s="36"/>
      <c r="D639" s="36"/>
      <c r="E639" s="35"/>
      <c r="F639" s="36"/>
      <c r="G639" s="36"/>
      <c r="H639" s="30"/>
      <c r="I639" s="30"/>
      <c r="J639" s="31"/>
      <c r="K639" s="43"/>
      <c r="L639" s="32" t="e">
        <f>DATE(YEAR(K639),MONTH(K639)+VLOOKUP($F637,'[1]Membership Level'!$A$3:$B$15,2,FALSE),DAY(K639))</f>
        <v>#N/A</v>
      </c>
      <c r="M639" s="36"/>
      <c r="N639" s="34" t="e">
        <f>IF($L639&lt;&gt;0,DATE(YEAR($L639),MONTH($L639)-#REF!,DAY($L639)-$M639),"")</f>
        <v>#N/A</v>
      </c>
      <c r="O639" s="33" t="e">
        <f t="shared" ca="1" si="13"/>
        <v>#N/A</v>
      </c>
      <c r="P639" s="34" t="e">
        <f>I639/H639*VLOOKUP(F637,'[1]Membership Level'!$A$3:$C$15,3,FALSE)+K639</f>
        <v>#DIV/0!</v>
      </c>
      <c r="Q639" s="36"/>
    </row>
    <row r="640" spans="3:17" x14ac:dyDescent="0.25">
      <c r="C640" s="36"/>
      <c r="D640" s="36"/>
      <c r="E640" s="35"/>
      <c r="F640" s="36"/>
      <c r="G640" s="36"/>
      <c r="H640" s="30"/>
      <c r="I640" s="30"/>
      <c r="J640" s="31"/>
      <c r="K640" s="43"/>
      <c r="L640" s="32" t="e">
        <f>DATE(YEAR(K640),MONTH(K640)+VLOOKUP($F638,'[1]Membership Level'!$A$3:$B$15,2,FALSE),DAY(K640))</f>
        <v>#N/A</v>
      </c>
      <c r="M640" s="36"/>
      <c r="N640" s="34" t="e">
        <f>IF($L640&lt;&gt;0,DATE(YEAR($L640),MONTH($L640)-#REF!,DAY($L640)-$M640),"")</f>
        <v>#N/A</v>
      </c>
      <c r="O640" s="33" t="e">
        <f t="shared" ca="1" si="13"/>
        <v>#N/A</v>
      </c>
      <c r="P640" s="34" t="e">
        <f>I640/H640*VLOOKUP(F638,'[1]Membership Level'!$A$3:$C$15,3,FALSE)+K640</f>
        <v>#DIV/0!</v>
      </c>
      <c r="Q640" s="36"/>
    </row>
    <row r="641" spans="3:17" x14ac:dyDescent="0.25">
      <c r="C641" s="36"/>
      <c r="D641" s="36"/>
      <c r="E641" s="35"/>
      <c r="F641" s="36"/>
      <c r="G641" s="36"/>
      <c r="H641" s="30"/>
      <c r="I641" s="30"/>
      <c r="J641" s="31"/>
      <c r="K641" s="43"/>
      <c r="L641" s="32" t="e">
        <f>DATE(YEAR(K641),MONTH(K641)+VLOOKUP($F639,'[1]Membership Level'!$A$3:$B$15,2,FALSE),DAY(K641))</f>
        <v>#N/A</v>
      </c>
      <c r="M641" s="36"/>
      <c r="N641" s="34" t="e">
        <f>IF($L641&lt;&gt;0,DATE(YEAR($L641),MONTH($L641)-#REF!,DAY($L641)-$M641),"")</f>
        <v>#N/A</v>
      </c>
      <c r="O641" s="33" t="e">
        <f t="shared" ca="1" si="13"/>
        <v>#N/A</v>
      </c>
      <c r="P641" s="34" t="e">
        <f>I641/H641*VLOOKUP(F639,'[1]Membership Level'!$A$3:$C$15,3,FALSE)+K641</f>
        <v>#DIV/0!</v>
      </c>
      <c r="Q641" s="36"/>
    </row>
    <row r="642" spans="3:17" x14ac:dyDescent="0.25">
      <c r="C642" s="36"/>
      <c r="D642" s="36"/>
      <c r="E642" s="35"/>
      <c r="F642" s="36"/>
      <c r="G642" s="36"/>
      <c r="H642" s="30"/>
      <c r="I642" s="30"/>
      <c r="J642" s="31"/>
      <c r="K642" s="43"/>
      <c r="L642" s="32" t="e">
        <f>DATE(YEAR(K642),MONTH(K642)+VLOOKUP($F640,'[1]Membership Level'!$A$3:$B$15,2,FALSE),DAY(K642))</f>
        <v>#N/A</v>
      </c>
      <c r="M642" s="36"/>
      <c r="N642" s="34" t="e">
        <f>IF($L642&lt;&gt;0,DATE(YEAR($L642),MONTH($L642)-#REF!,DAY($L642)-$M642),"")</f>
        <v>#N/A</v>
      </c>
      <c r="O642" s="33" t="e">
        <f t="shared" ca="1" si="13"/>
        <v>#N/A</v>
      </c>
      <c r="P642" s="34" t="e">
        <f>I642/H642*VLOOKUP(F640,'[1]Membership Level'!$A$3:$C$15,3,FALSE)+K642</f>
        <v>#DIV/0!</v>
      </c>
      <c r="Q642" s="36"/>
    </row>
    <row r="643" spans="3:17" x14ac:dyDescent="0.25">
      <c r="C643" s="36"/>
      <c r="D643" s="36"/>
      <c r="E643" s="35"/>
      <c r="F643" s="36"/>
      <c r="G643" s="36"/>
      <c r="H643" s="30"/>
      <c r="I643" s="30"/>
      <c r="J643" s="31"/>
      <c r="K643" s="43"/>
      <c r="L643" s="32" t="e">
        <f>DATE(YEAR(K643),MONTH(K643)+VLOOKUP($F641,'[1]Membership Level'!$A$3:$B$15,2,FALSE),DAY(K643))</f>
        <v>#N/A</v>
      </c>
      <c r="M643" s="36"/>
      <c r="N643" s="34" t="e">
        <f>IF($L643&lt;&gt;0,DATE(YEAR($L643),MONTH($L643)-#REF!,DAY($L643)-$M643),"")</f>
        <v>#N/A</v>
      </c>
      <c r="O643" s="33" t="e">
        <f t="shared" ca="1" si="13"/>
        <v>#N/A</v>
      </c>
      <c r="P643" s="34" t="e">
        <f>I643/H643*VLOOKUP(F641,'[1]Membership Level'!$A$3:$C$15,3,FALSE)+K643</f>
        <v>#DIV/0!</v>
      </c>
      <c r="Q643" s="36"/>
    </row>
    <row r="644" spans="3:17" x14ac:dyDescent="0.25">
      <c r="C644" s="36"/>
      <c r="D644" s="36"/>
      <c r="E644" s="35"/>
      <c r="F644" s="36"/>
      <c r="G644" s="36"/>
      <c r="H644" s="30"/>
      <c r="I644" s="30"/>
      <c r="J644" s="31"/>
      <c r="K644" s="43"/>
      <c r="L644" s="32" t="e">
        <f>DATE(YEAR(K644),MONTH(K644)+VLOOKUP($F642,'[1]Membership Level'!$A$3:$B$15,2,FALSE),DAY(K644))</f>
        <v>#N/A</v>
      </c>
      <c r="M644" s="36"/>
      <c r="N644" s="34" t="e">
        <f>IF($L644&lt;&gt;0,DATE(YEAR($L644),MONTH($L644)-#REF!,DAY($L644)-$M644),"")</f>
        <v>#N/A</v>
      </c>
      <c r="O644" s="33" t="e">
        <f t="shared" ca="1" si="13"/>
        <v>#N/A</v>
      </c>
      <c r="P644" s="34" t="e">
        <f>I644/H644*VLOOKUP(F642,'[1]Membership Level'!$A$3:$C$15,3,FALSE)+K644</f>
        <v>#DIV/0!</v>
      </c>
      <c r="Q644" s="36"/>
    </row>
    <row r="645" spans="3:17" x14ac:dyDescent="0.25">
      <c r="C645" s="36"/>
      <c r="D645" s="36"/>
      <c r="E645" s="66"/>
      <c r="F645" s="36"/>
      <c r="G645" s="36"/>
      <c r="H645" s="30"/>
      <c r="I645" s="30"/>
      <c r="J645" s="31"/>
      <c r="K645" s="43"/>
      <c r="L645" s="32" t="e">
        <f>DATE(YEAR(K645),MONTH(K645)+VLOOKUP($F643,'[1]Membership Level'!$A$3:$B$15,2,FALSE),DAY(K645))</f>
        <v>#N/A</v>
      </c>
      <c r="M645" s="36"/>
      <c r="N645" s="34" t="e">
        <f>IF($L645&lt;&gt;0,DATE(YEAR($L645),MONTH($L645)-#REF!,DAY($L645)-$M645),"")</f>
        <v>#N/A</v>
      </c>
      <c r="O645" s="33" t="e">
        <f t="shared" ca="1" si="13"/>
        <v>#N/A</v>
      </c>
      <c r="P645" s="34" t="e">
        <f>I645/H645*VLOOKUP(F643,'[1]Membership Level'!$A$3:$C$15,3,FALSE)+K645</f>
        <v>#DIV/0!</v>
      </c>
      <c r="Q645" s="36"/>
    </row>
    <row r="646" spans="3:17" x14ac:dyDescent="0.25">
      <c r="C646" s="36"/>
      <c r="D646" s="36"/>
      <c r="E646" s="35"/>
      <c r="F646" s="36"/>
      <c r="G646" s="36"/>
      <c r="H646" s="30"/>
      <c r="I646" s="30"/>
      <c r="J646" s="31"/>
      <c r="K646" s="43"/>
      <c r="L646" s="32" t="e">
        <f>DATE(YEAR(K646),MONTH(K646)+VLOOKUP($F644,'[1]Membership Level'!$A$3:$B$15,2,FALSE),DAY(K646))</f>
        <v>#N/A</v>
      </c>
      <c r="M646" s="36"/>
      <c r="N646" s="34" t="e">
        <f>IF($L646&lt;&gt;0,DATE(YEAR($L646),MONTH($L646)-#REF!,DAY($L646)-$M646),"")</f>
        <v>#N/A</v>
      </c>
      <c r="O646" s="33" t="e">
        <f t="shared" ca="1" si="13"/>
        <v>#N/A</v>
      </c>
      <c r="P646" s="34" t="e">
        <f>I646/H646*VLOOKUP(F644,'[1]Membership Level'!$A$3:$C$15,3,FALSE)+K646</f>
        <v>#DIV/0!</v>
      </c>
      <c r="Q646" s="36"/>
    </row>
    <row r="647" spans="3:17" x14ac:dyDescent="0.25">
      <c r="C647" s="36"/>
      <c r="D647" s="36"/>
      <c r="E647" s="35"/>
      <c r="F647" s="36"/>
      <c r="G647" s="36"/>
      <c r="H647" s="30"/>
      <c r="I647" s="30"/>
      <c r="J647" s="31"/>
      <c r="K647" s="43"/>
      <c r="L647" s="32" t="e">
        <f>DATE(YEAR(K647),MONTH(K647)+VLOOKUP($F645,'[1]Membership Level'!$A$3:$B$15,2,FALSE),DAY(K647))</f>
        <v>#N/A</v>
      </c>
      <c r="M647" s="36"/>
      <c r="N647" s="34" t="e">
        <f>IF($L647&lt;&gt;0,DATE(YEAR($L647),MONTH($L647)-#REF!,DAY($L647)-$M647),"")</f>
        <v>#N/A</v>
      </c>
      <c r="O647" s="33" t="e">
        <f t="shared" ca="1" si="13"/>
        <v>#N/A</v>
      </c>
      <c r="P647" s="34" t="e">
        <f>I647/H647*VLOOKUP(F645,'[1]Membership Level'!$A$3:$C$15,3,FALSE)+K647</f>
        <v>#DIV/0!</v>
      </c>
      <c r="Q647" s="36"/>
    </row>
    <row r="648" spans="3:17" x14ac:dyDescent="0.25">
      <c r="C648" s="36"/>
      <c r="D648" s="36"/>
      <c r="E648" s="35"/>
      <c r="F648" s="36"/>
      <c r="G648" s="36"/>
      <c r="H648" s="30"/>
      <c r="I648" s="30"/>
      <c r="J648" s="31"/>
      <c r="K648" s="43"/>
      <c r="L648" s="32" t="e">
        <f>DATE(YEAR(K648),MONTH(K648)+VLOOKUP($F646,'[1]Membership Level'!$A$3:$B$15,2,FALSE),DAY(K648))</f>
        <v>#N/A</v>
      </c>
      <c r="M648" s="36"/>
      <c r="N648" s="34" t="e">
        <f>IF($L648&lt;&gt;0,DATE(YEAR($L648),MONTH($L648)-#REF!,DAY($L648)-$M648),"")</f>
        <v>#N/A</v>
      </c>
      <c r="O648" s="33" t="e">
        <f t="shared" ca="1" si="13"/>
        <v>#N/A</v>
      </c>
      <c r="P648" s="34" t="e">
        <f>I648/H648*VLOOKUP(F646,'[1]Membership Level'!$A$3:$C$15,3,FALSE)+K648</f>
        <v>#DIV/0!</v>
      </c>
      <c r="Q648" s="36"/>
    </row>
    <row r="649" spans="3:17" x14ac:dyDescent="0.25">
      <c r="C649" s="36"/>
      <c r="D649" s="36"/>
      <c r="E649" s="35"/>
      <c r="F649" s="36"/>
      <c r="G649" s="36"/>
      <c r="H649" s="30"/>
      <c r="I649" s="30"/>
      <c r="J649" s="31"/>
      <c r="K649" s="43"/>
      <c r="L649" s="32" t="e">
        <f>DATE(YEAR(K649),MONTH(K649)+VLOOKUP($F647,'[1]Membership Level'!$A$3:$B$15,2,FALSE),DAY(K649))</f>
        <v>#N/A</v>
      </c>
      <c r="M649" s="36"/>
      <c r="N649" s="34" t="e">
        <f>IF($L649&lt;&gt;0,DATE(YEAR($L649),MONTH($L649)-#REF!,DAY($L649)-$M649),"")</f>
        <v>#N/A</v>
      </c>
      <c r="O649" s="33" t="e">
        <f t="shared" ca="1" si="13"/>
        <v>#N/A</v>
      </c>
      <c r="P649" s="34" t="e">
        <f>I649/H649*VLOOKUP(F647,'[1]Membership Level'!$A$3:$C$15,3,FALSE)+K649</f>
        <v>#DIV/0!</v>
      </c>
      <c r="Q649" s="36"/>
    </row>
    <row r="650" spans="3:17" x14ac:dyDescent="0.25">
      <c r="C650" s="36"/>
      <c r="D650" s="36"/>
      <c r="E650" s="35"/>
      <c r="F650" s="36"/>
      <c r="G650" s="36"/>
      <c r="H650" s="30"/>
      <c r="I650" s="30"/>
      <c r="J650" s="31"/>
      <c r="K650" s="43"/>
      <c r="L650" s="32" t="e">
        <f>DATE(YEAR(K650),MONTH(K650)+VLOOKUP($F648,'[1]Membership Level'!$A$3:$B$15,2,FALSE),DAY(K650))</f>
        <v>#N/A</v>
      </c>
      <c r="M650" s="36"/>
      <c r="N650" s="34" t="e">
        <f>IF($L650&lt;&gt;0,DATE(YEAR($L650),MONTH($L650)-#REF!,DAY($L650)-$M650),"")</f>
        <v>#N/A</v>
      </c>
      <c r="O650" s="33" t="e">
        <f t="shared" ca="1" si="13"/>
        <v>#N/A</v>
      </c>
      <c r="P650" s="34" t="e">
        <f>I650/H650*VLOOKUP(F648,'[1]Membership Level'!$A$3:$C$15,3,FALSE)+K650</f>
        <v>#DIV/0!</v>
      </c>
      <c r="Q650" s="36"/>
    </row>
    <row r="651" spans="3:17" x14ac:dyDescent="0.25">
      <c r="C651" s="36"/>
      <c r="D651" s="36"/>
      <c r="E651" s="66"/>
      <c r="F651" s="36"/>
      <c r="G651" s="36"/>
      <c r="H651" s="30"/>
      <c r="I651" s="30"/>
      <c r="J651" s="31"/>
      <c r="K651" s="43"/>
      <c r="L651" s="32" t="e">
        <f>DATE(YEAR(K651),MONTH(K651)+VLOOKUP($F649,'[1]Membership Level'!$A$3:$B$15,2,FALSE),DAY(K651))</f>
        <v>#N/A</v>
      </c>
      <c r="M651" s="36"/>
      <c r="N651" s="34" t="e">
        <f>IF($L651&lt;&gt;0,DATE(YEAR($L651),MONTH($L651)-#REF!,DAY($L651)-$M651),"")</f>
        <v>#N/A</v>
      </c>
      <c r="O651" s="33" t="e">
        <f t="shared" ca="1" si="13"/>
        <v>#N/A</v>
      </c>
      <c r="P651" s="34" t="e">
        <f>I651/H651*VLOOKUP(F649,'[1]Membership Level'!$A$3:$C$15,3,FALSE)+K651</f>
        <v>#DIV/0!</v>
      </c>
      <c r="Q651" s="36"/>
    </row>
    <row r="652" spans="3:17" x14ac:dyDescent="0.25">
      <c r="C652" s="36"/>
      <c r="D652" s="36"/>
      <c r="E652" s="35"/>
      <c r="F652" s="36"/>
      <c r="G652" s="36"/>
      <c r="H652" s="30"/>
      <c r="I652" s="30"/>
      <c r="J652" s="31"/>
      <c r="K652" s="43"/>
      <c r="L652" s="32" t="e">
        <f>DATE(YEAR(K652),MONTH(K652)+VLOOKUP($F650,'[1]Membership Level'!$A$3:$B$15,2,FALSE),DAY(K652))</f>
        <v>#N/A</v>
      </c>
      <c r="M652" s="36"/>
      <c r="N652" s="34" t="e">
        <f>IF($L652&lt;&gt;0,DATE(YEAR($L652),MONTH($L652)-#REF!,DAY($L652)-$M652),"")</f>
        <v>#N/A</v>
      </c>
      <c r="O652" s="33" t="e">
        <f t="shared" ca="1" si="13"/>
        <v>#N/A</v>
      </c>
      <c r="P652" s="34" t="e">
        <f>I652/H652*VLOOKUP(F650,'[1]Membership Level'!$A$3:$C$15,3,FALSE)+K652</f>
        <v>#DIV/0!</v>
      </c>
      <c r="Q652" s="36"/>
    </row>
    <row r="653" spans="3:17" x14ac:dyDescent="0.25">
      <c r="C653" s="36"/>
      <c r="D653" s="36"/>
      <c r="E653" s="35"/>
      <c r="F653" s="36"/>
      <c r="G653" s="36"/>
      <c r="H653" s="30"/>
      <c r="I653" s="30"/>
      <c r="J653" s="31"/>
      <c r="K653" s="43"/>
      <c r="L653" s="32" t="e">
        <f>DATE(YEAR(K653),MONTH(K653)+VLOOKUP($F651,'[1]Membership Level'!$A$3:$B$15,2,FALSE),DAY(K653))</f>
        <v>#N/A</v>
      </c>
      <c r="M653" s="36"/>
      <c r="N653" s="34" t="e">
        <f>IF($L653&lt;&gt;0,DATE(YEAR($L653),MONTH($L653)-#REF!,DAY($L653)-$M653),"")</f>
        <v>#N/A</v>
      </c>
      <c r="O653" s="33" t="e">
        <f t="shared" ca="1" si="13"/>
        <v>#N/A</v>
      </c>
      <c r="P653" s="34" t="e">
        <f>I653/H653*VLOOKUP(F651,'[1]Membership Level'!$A$3:$C$15,3,FALSE)+K653</f>
        <v>#DIV/0!</v>
      </c>
      <c r="Q653" s="36"/>
    </row>
    <row r="654" spans="3:17" x14ac:dyDescent="0.25">
      <c r="C654" s="36"/>
      <c r="D654" s="36"/>
      <c r="E654" s="35"/>
      <c r="F654" s="36"/>
      <c r="G654" s="36"/>
      <c r="H654" s="30"/>
      <c r="I654" s="30"/>
      <c r="J654" s="31"/>
      <c r="K654" s="43"/>
      <c r="L654" s="32" t="e">
        <f>DATE(YEAR(K654),MONTH(K654)+VLOOKUP($F652,'[1]Membership Level'!$A$3:$B$15,2,FALSE),DAY(K654))</f>
        <v>#N/A</v>
      </c>
      <c r="M654" s="36"/>
      <c r="N654" s="34" t="e">
        <f>IF($L654&lt;&gt;0,DATE(YEAR($L654),MONTH($L654)-#REF!,DAY($L654)-$M654),"")</f>
        <v>#N/A</v>
      </c>
      <c r="O654" s="33" t="e">
        <f t="shared" ca="1" si="13"/>
        <v>#N/A</v>
      </c>
      <c r="P654" s="34" t="e">
        <f>I654/H654*VLOOKUP(F652,'[1]Membership Level'!$A$3:$C$15,3,FALSE)+K654</f>
        <v>#DIV/0!</v>
      </c>
      <c r="Q654" s="36"/>
    </row>
    <row r="655" spans="3:17" x14ac:dyDescent="0.25">
      <c r="C655" s="36"/>
      <c r="D655" s="36"/>
      <c r="E655" s="35"/>
      <c r="F655" s="36"/>
      <c r="G655" s="36"/>
      <c r="H655" s="30"/>
      <c r="I655" s="30"/>
      <c r="J655" s="31"/>
      <c r="K655" s="43"/>
      <c r="L655" s="32" t="e">
        <f>DATE(YEAR(K655),MONTH(K655)+VLOOKUP($F653,'[1]Membership Level'!$A$3:$B$15,2,FALSE),DAY(K655))</f>
        <v>#N/A</v>
      </c>
      <c r="M655" s="36"/>
      <c r="N655" s="34" t="e">
        <f>IF($L655&lt;&gt;0,DATE(YEAR($L655),MONTH($L655)-#REF!,DAY($L655)-$M655),"")</f>
        <v>#N/A</v>
      </c>
      <c r="O655" s="33" t="e">
        <f t="shared" ca="1" si="13"/>
        <v>#N/A</v>
      </c>
      <c r="P655" s="34" t="e">
        <f>I655/H655*VLOOKUP(F653,'[1]Membership Level'!$A$3:$C$15,3,FALSE)+K655</f>
        <v>#DIV/0!</v>
      </c>
      <c r="Q655" s="36"/>
    </row>
    <row r="656" spans="3:17" x14ac:dyDescent="0.25">
      <c r="C656" s="36"/>
      <c r="D656" s="36"/>
      <c r="E656" s="35"/>
      <c r="F656" s="36"/>
      <c r="G656" s="36"/>
      <c r="H656" s="30"/>
      <c r="I656" s="30"/>
      <c r="J656" s="31"/>
      <c r="K656" s="43"/>
      <c r="L656" s="32" t="e">
        <f>DATE(YEAR(K656),MONTH(K656)+VLOOKUP($F654,'[1]Membership Level'!$A$3:$B$15,2,FALSE),DAY(K656))</f>
        <v>#N/A</v>
      </c>
      <c r="M656" s="36"/>
      <c r="N656" s="34" t="e">
        <f>IF($L656&lt;&gt;0,DATE(YEAR($L656),MONTH($L656)-#REF!,DAY($L656)-$M656),"")</f>
        <v>#N/A</v>
      </c>
      <c r="O656" s="33" t="e">
        <f t="shared" ca="1" si="13"/>
        <v>#N/A</v>
      </c>
      <c r="P656" s="34" t="e">
        <f>I656/H656*VLOOKUP(F654,'[1]Membership Level'!$A$3:$C$15,3,FALSE)+K656</f>
        <v>#DIV/0!</v>
      </c>
      <c r="Q656" s="36"/>
    </row>
    <row r="657" spans="3:17" x14ac:dyDescent="0.25">
      <c r="C657" s="36"/>
      <c r="D657" s="36"/>
      <c r="E657" s="35"/>
      <c r="F657" s="36"/>
      <c r="G657" s="36"/>
      <c r="H657" s="30"/>
      <c r="I657" s="30"/>
      <c r="J657" s="31"/>
      <c r="K657" s="43"/>
      <c r="L657" s="32" t="e">
        <f>DATE(YEAR(K657),MONTH(K657)+VLOOKUP($F655,'[1]Membership Level'!$A$3:$B$15,2,FALSE),DAY(K657))</f>
        <v>#N/A</v>
      </c>
      <c r="M657" s="36"/>
      <c r="N657" s="34" t="e">
        <f>IF($L657&lt;&gt;0,DATE(YEAR($L657),MONTH($L657)-#REF!,DAY($L657)-$M657),"")</f>
        <v>#N/A</v>
      </c>
      <c r="O657" s="33" t="e">
        <f t="shared" ca="1" si="13"/>
        <v>#N/A</v>
      </c>
      <c r="P657" s="34" t="e">
        <f>I657/H657*VLOOKUP(F655,'[1]Membership Level'!$A$3:$C$15,3,FALSE)+K657</f>
        <v>#DIV/0!</v>
      </c>
      <c r="Q657" s="36"/>
    </row>
    <row r="658" spans="3:17" x14ac:dyDescent="0.25">
      <c r="C658" s="36"/>
      <c r="D658" s="36"/>
      <c r="E658" s="35"/>
      <c r="F658" s="36"/>
      <c r="G658" s="36"/>
      <c r="H658" s="30"/>
      <c r="I658" s="30"/>
      <c r="J658" s="31"/>
      <c r="K658" s="43"/>
      <c r="L658" s="32" t="e">
        <f>DATE(YEAR(K658),MONTH(K658)+VLOOKUP($F656,'[1]Membership Level'!$A$3:$B$15,2,FALSE),DAY(K658))</f>
        <v>#N/A</v>
      </c>
      <c r="M658" s="36"/>
      <c r="N658" s="34" t="e">
        <f>IF($L658&lt;&gt;0,DATE(YEAR($L658),MONTH($L658)-#REF!,DAY($L658)-$M658),"")</f>
        <v>#N/A</v>
      </c>
      <c r="O658" s="33" t="e">
        <f t="shared" ca="1" si="13"/>
        <v>#N/A</v>
      </c>
      <c r="P658" s="34" t="e">
        <f>I658/H658*VLOOKUP(F656,'[1]Membership Level'!$A$3:$C$15,3,FALSE)+K658</f>
        <v>#DIV/0!</v>
      </c>
      <c r="Q658" s="36"/>
    </row>
    <row r="659" spans="3:17" x14ac:dyDescent="0.25">
      <c r="C659" s="36"/>
      <c r="D659" s="36"/>
      <c r="E659" s="35"/>
      <c r="F659" s="36"/>
      <c r="G659" s="36"/>
      <c r="H659" s="30"/>
      <c r="I659" s="30"/>
      <c r="J659" s="31"/>
      <c r="K659" s="43"/>
      <c r="L659" s="32" t="e">
        <f>DATE(YEAR(K659),MONTH(K659)+VLOOKUP($F657,'[1]Membership Level'!$A$3:$B$15,2,FALSE),DAY(K659))</f>
        <v>#N/A</v>
      </c>
      <c r="M659" s="36"/>
      <c r="N659" s="34" t="e">
        <f>IF($L659&lt;&gt;0,DATE(YEAR($L659),MONTH($L659)-#REF!,DAY($L659)-$M659),"")</f>
        <v>#N/A</v>
      </c>
      <c r="O659" s="33" t="e">
        <f t="shared" ca="1" si="13"/>
        <v>#N/A</v>
      </c>
      <c r="P659" s="34" t="e">
        <f>I659/H659*VLOOKUP(F657,'[1]Membership Level'!$A$3:$C$15,3,FALSE)+K659</f>
        <v>#DIV/0!</v>
      </c>
      <c r="Q659" s="36"/>
    </row>
    <row r="660" spans="3:17" x14ac:dyDescent="0.25">
      <c r="C660" s="36"/>
      <c r="D660" s="36"/>
      <c r="E660" s="35"/>
      <c r="F660" s="36"/>
      <c r="G660" s="36"/>
      <c r="H660" s="30"/>
      <c r="I660" s="30"/>
      <c r="J660" s="31"/>
      <c r="K660" s="43"/>
      <c r="L660" s="32" t="e">
        <f>DATE(YEAR(K660),MONTH(K660)+VLOOKUP($F658,'[1]Membership Level'!$A$3:$B$15,2,FALSE),DAY(K660))</f>
        <v>#N/A</v>
      </c>
      <c r="M660" s="36"/>
      <c r="N660" s="34" t="e">
        <f>IF($L660&lt;&gt;0,DATE(YEAR($L660),MONTH($L660)-#REF!,DAY($L660)-$M660),"")</f>
        <v>#N/A</v>
      </c>
      <c r="O660" s="33" t="e">
        <f t="shared" ca="1" si="13"/>
        <v>#N/A</v>
      </c>
      <c r="P660" s="34" t="e">
        <f>I660/H660*VLOOKUP(F658,'[1]Membership Level'!$A$3:$C$15,3,FALSE)+K660</f>
        <v>#DIV/0!</v>
      </c>
      <c r="Q660" s="36"/>
    </row>
    <row r="661" spans="3:17" x14ac:dyDescent="0.25">
      <c r="C661" s="36"/>
      <c r="D661" s="36"/>
      <c r="E661" s="66"/>
      <c r="F661" s="36"/>
      <c r="G661" s="36"/>
      <c r="H661" s="30"/>
      <c r="I661" s="30"/>
      <c r="J661" s="31"/>
      <c r="K661" s="43"/>
      <c r="L661" s="32" t="e">
        <f>DATE(YEAR(K661),MONTH(K661)+VLOOKUP($F659,'[1]Membership Level'!$A$3:$B$15,2,FALSE),DAY(K661))</f>
        <v>#N/A</v>
      </c>
      <c r="M661" s="36"/>
      <c r="N661" s="34" t="e">
        <f>IF($L661&lt;&gt;0,DATE(YEAR($L661),MONTH($L661)-#REF!,DAY($L661)-$M661),"")</f>
        <v>#N/A</v>
      </c>
      <c r="O661" s="33" t="e">
        <f t="shared" ca="1" si="13"/>
        <v>#N/A</v>
      </c>
      <c r="P661" s="34" t="e">
        <f>I661/H661*VLOOKUP(F659,'[1]Membership Level'!$A$3:$C$15,3,FALSE)+K661</f>
        <v>#DIV/0!</v>
      </c>
      <c r="Q661" s="36"/>
    </row>
    <row r="662" spans="3:17" x14ac:dyDescent="0.25">
      <c r="C662" s="36"/>
      <c r="D662" s="36"/>
      <c r="E662" s="66"/>
      <c r="F662" s="33"/>
      <c r="G662" s="36"/>
      <c r="H662" s="30"/>
      <c r="I662" s="30"/>
      <c r="J662" s="31"/>
      <c r="K662" s="43"/>
      <c r="L662" s="32" t="e">
        <f>DATE(YEAR(K662),MONTH(K662)+VLOOKUP($F660,'[1]Membership Level'!$A$3:$B$15,2,FALSE),DAY(K662))</f>
        <v>#N/A</v>
      </c>
      <c r="M662" s="36"/>
      <c r="N662" s="34" t="e">
        <f>IF($L662&lt;&gt;0,DATE(YEAR($L662),MONTH($L662)-#REF!,DAY($L662)-$M662),"")</f>
        <v>#N/A</v>
      </c>
      <c r="O662" s="33" t="e">
        <f t="shared" ca="1" si="13"/>
        <v>#N/A</v>
      </c>
      <c r="P662" s="34" t="e">
        <f>I662/H662*VLOOKUP(F660,'[1]Membership Level'!$A$3:$C$15,3,FALSE)+K662</f>
        <v>#DIV/0!</v>
      </c>
      <c r="Q662" s="36"/>
    </row>
    <row r="663" spans="3:17" x14ac:dyDescent="0.25">
      <c r="C663" s="36"/>
      <c r="D663" s="36"/>
      <c r="E663" s="66"/>
      <c r="F663" s="36"/>
      <c r="G663" s="36"/>
      <c r="H663" s="30"/>
      <c r="I663" s="30"/>
      <c r="J663" s="31"/>
      <c r="K663" s="43"/>
      <c r="L663" s="32" t="e">
        <f>DATE(YEAR(K663),MONTH(K663)+VLOOKUP($F661,'[1]Membership Level'!$A$3:$B$15,2,FALSE),DAY(K663))</f>
        <v>#N/A</v>
      </c>
      <c r="M663" s="36"/>
      <c r="N663" s="34" t="e">
        <f>IF($L663&lt;&gt;0,DATE(YEAR($L663),MONTH($L663)-#REF!,DAY($L663)-$M663),"")</f>
        <v>#N/A</v>
      </c>
      <c r="O663" s="33" t="e">
        <f t="shared" ca="1" si="13"/>
        <v>#N/A</v>
      </c>
      <c r="P663" s="34" t="e">
        <f>I663/H663*VLOOKUP(F661,'[1]Membership Level'!$A$3:$C$15,3,FALSE)+K663</f>
        <v>#DIV/0!</v>
      </c>
      <c r="Q663" s="36"/>
    </row>
    <row r="664" spans="3:17" s="22" customFormat="1" x14ac:dyDescent="0.25">
      <c r="C664" s="33"/>
      <c r="D664" s="33"/>
      <c r="E664" s="66"/>
      <c r="F664" s="36"/>
      <c r="G664" s="33"/>
      <c r="H664" s="44"/>
      <c r="I664" s="44"/>
      <c r="J664" s="31"/>
      <c r="K664" s="32"/>
      <c r="L664" s="32" t="e">
        <f>DATE(YEAR(K664),MONTH(K664)+VLOOKUP($F662,'[1]Membership Level'!$A$3:$B$15,2,FALSE),DAY(K664))</f>
        <v>#N/A</v>
      </c>
      <c r="M664" s="33"/>
      <c r="N664" s="34" t="e">
        <f>IF($L664&lt;&gt;0,DATE(YEAR($L664),MONTH($L664)-#REF!,DAY($L664)-$M664),"")</f>
        <v>#N/A</v>
      </c>
      <c r="O664" s="33" t="e">
        <f t="shared" ca="1" si="13"/>
        <v>#N/A</v>
      </c>
      <c r="P664" s="34" t="e">
        <f>I664/H664*VLOOKUP(F662,'[1]Membership Level'!$A$3:$C$15,3,FALSE)+K664</f>
        <v>#DIV/0!</v>
      </c>
      <c r="Q664" s="33"/>
    </row>
    <row r="665" spans="3:17" x14ac:dyDescent="0.25">
      <c r="C665" s="36"/>
      <c r="D665" s="36"/>
      <c r="E665" s="66"/>
      <c r="F665" s="36"/>
      <c r="G665" s="36"/>
      <c r="H665" s="30"/>
      <c r="I665" s="30"/>
      <c r="J665" s="31"/>
      <c r="K665" s="43"/>
      <c r="L665" s="32" t="e">
        <f>DATE(YEAR(K665),MONTH(K665)+VLOOKUP($F663,'[1]Membership Level'!$A$3:$B$15,2,FALSE),DAY(K665))</f>
        <v>#N/A</v>
      </c>
      <c r="M665" s="36"/>
      <c r="N665" s="34" t="e">
        <f>IF($L665&lt;&gt;0,DATE(YEAR($L665),MONTH($L665)-#REF!,DAY($L665)-$M665),"")</f>
        <v>#N/A</v>
      </c>
      <c r="O665" s="33" t="e">
        <f t="shared" ca="1" si="13"/>
        <v>#N/A</v>
      </c>
      <c r="P665" s="34" t="e">
        <f>I665/H665*VLOOKUP(F663,'[1]Membership Level'!$A$3:$C$15,3,FALSE)+K665</f>
        <v>#DIV/0!</v>
      </c>
      <c r="Q665" s="36"/>
    </row>
    <row r="666" spans="3:17" x14ac:dyDescent="0.25">
      <c r="C666" s="36"/>
      <c r="D666" s="36"/>
      <c r="E666" s="35"/>
      <c r="F666" s="36"/>
      <c r="G666" s="36"/>
      <c r="H666" s="30"/>
      <c r="I666" s="30"/>
      <c r="J666" s="31"/>
      <c r="K666" s="43"/>
      <c r="L666" s="32" t="e">
        <f>DATE(YEAR(K666),MONTH(K666)+VLOOKUP($F664,'[1]Membership Level'!$A$3:$B$15,2,FALSE),DAY(K666))</f>
        <v>#N/A</v>
      </c>
      <c r="M666" s="36"/>
      <c r="N666" s="34" t="e">
        <f>IF($L666&lt;&gt;0,DATE(YEAR($L666),MONTH($L666)-#REF!,DAY($L666)-$M666),"")</f>
        <v>#N/A</v>
      </c>
      <c r="O666" s="33" t="e">
        <f t="shared" ca="1" si="13"/>
        <v>#N/A</v>
      </c>
      <c r="P666" s="34" t="e">
        <f>I666/H666*VLOOKUP(F664,'[1]Membership Level'!$A$3:$C$15,3,FALSE)+K666</f>
        <v>#DIV/0!</v>
      </c>
      <c r="Q666" s="36"/>
    </row>
    <row r="667" spans="3:17" x14ac:dyDescent="0.25">
      <c r="C667" s="36"/>
      <c r="D667" s="36"/>
      <c r="E667" s="35"/>
      <c r="F667" s="36"/>
      <c r="G667" s="36"/>
      <c r="H667" s="30"/>
      <c r="I667" s="30"/>
      <c r="J667" s="31"/>
      <c r="K667" s="43"/>
      <c r="L667" s="32" t="e">
        <f>DATE(YEAR(K667),MONTH(K667)+VLOOKUP($F665,'[1]Membership Level'!$A$3:$B$15,2,FALSE),DAY(K667))</f>
        <v>#N/A</v>
      </c>
      <c r="M667" s="36"/>
      <c r="N667" s="34" t="e">
        <f>IF($L667&lt;&gt;0,DATE(YEAR($L667),MONTH($L667)-#REF!,DAY($L667)-$M667),"")</f>
        <v>#N/A</v>
      </c>
      <c r="O667" s="33" t="e">
        <f t="shared" ca="1" si="13"/>
        <v>#N/A</v>
      </c>
      <c r="P667" s="34" t="e">
        <f>I667/H667*VLOOKUP(F665,'[1]Membership Level'!$A$3:$C$15,3,FALSE)+K667</f>
        <v>#DIV/0!</v>
      </c>
      <c r="Q667" s="36"/>
    </row>
    <row r="668" spans="3:17" x14ac:dyDescent="0.25">
      <c r="C668" s="36"/>
      <c r="D668" s="36"/>
      <c r="E668" s="35"/>
      <c r="F668" s="36"/>
      <c r="G668" s="36"/>
      <c r="H668" s="30"/>
      <c r="I668" s="30"/>
      <c r="J668" s="31"/>
      <c r="K668" s="43"/>
      <c r="L668" s="32" t="e">
        <f>DATE(YEAR(K668),MONTH(K668)+VLOOKUP($F666,'[1]Membership Level'!$A$3:$B$15,2,FALSE),DAY(K668))</f>
        <v>#N/A</v>
      </c>
      <c r="M668" s="36"/>
      <c r="N668" s="34" t="e">
        <f>IF($L668&lt;&gt;0,DATE(YEAR($L668),MONTH($L668)-#REF!,DAY($L668)-$M668),"")</f>
        <v>#N/A</v>
      </c>
      <c r="O668" s="33" t="e">
        <f t="shared" ca="1" si="13"/>
        <v>#N/A</v>
      </c>
      <c r="P668" s="34" t="e">
        <f>I668/H668*VLOOKUP(F666,'[1]Membership Level'!$A$3:$C$15,3,FALSE)+K668</f>
        <v>#DIV/0!</v>
      </c>
      <c r="Q668" s="36"/>
    </row>
    <row r="669" spans="3:17" x14ac:dyDescent="0.25">
      <c r="C669" s="36"/>
      <c r="D669" s="36"/>
      <c r="E669" s="35"/>
      <c r="F669" s="36"/>
      <c r="G669" s="36"/>
      <c r="H669" s="30"/>
      <c r="I669" s="30"/>
      <c r="J669" s="31"/>
      <c r="K669" s="43"/>
      <c r="L669" s="32" t="e">
        <f>DATE(YEAR(K669),MONTH(K669)+VLOOKUP($F667,'[1]Membership Level'!$A$3:$B$15,2,FALSE),DAY(K669))</f>
        <v>#N/A</v>
      </c>
      <c r="M669" s="36"/>
      <c r="N669" s="34" t="e">
        <f>IF($L669&lt;&gt;0,DATE(YEAR($L669),MONTH($L669)-#REF!,DAY($L669)-$M669),"")</f>
        <v>#N/A</v>
      </c>
      <c r="O669" s="33" t="e">
        <f t="shared" ca="1" si="13"/>
        <v>#N/A</v>
      </c>
      <c r="P669" s="34" t="e">
        <f>I669/H669*VLOOKUP(F667,'[1]Membership Level'!$A$3:$C$15,3,FALSE)+K669</f>
        <v>#DIV/0!</v>
      </c>
      <c r="Q669" s="36"/>
    </row>
    <row r="670" spans="3:17" x14ac:dyDescent="0.25">
      <c r="C670" s="36"/>
      <c r="D670" s="36"/>
      <c r="E670" s="35"/>
      <c r="F670" s="36"/>
      <c r="G670" s="36"/>
      <c r="H670" s="30"/>
      <c r="I670" s="30"/>
      <c r="J670" s="31"/>
      <c r="K670" s="43"/>
      <c r="L670" s="32" t="e">
        <f>DATE(YEAR(K670),MONTH(K670)+VLOOKUP($F668,'[1]Membership Level'!$A$3:$B$15,2,FALSE),DAY(K670))</f>
        <v>#N/A</v>
      </c>
      <c r="M670" s="36"/>
      <c r="N670" s="34" t="e">
        <f>IF($L670&lt;&gt;0,DATE(YEAR($L670),MONTH($L670)-#REF!,DAY($L670)-$M670),"")</f>
        <v>#N/A</v>
      </c>
      <c r="O670" s="33" t="e">
        <f t="shared" ca="1" si="13"/>
        <v>#N/A</v>
      </c>
      <c r="P670" s="34" t="e">
        <f>I670/H670*VLOOKUP(F668,'[1]Membership Level'!$A$3:$C$15,3,FALSE)+K670</f>
        <v>#DIV/0!</v>
      </c>
      <c r="Q670" s="36"/>
    </row>
    <row r="671" spans="3:17" x14ac:dyDescent="0.25">
      <c r="C671" s="36"/>
      <c r="D671" s="36"/>
      <c r="E671" s="35"/>
      <c r="F671" s="36"/>
      <c r="G671" s="36"/>
      <c r="H671" s="30"/>
      <c r="I671" s="30"/>
      <c r="J671" s="31"/>
      <c r="K671" s="43"/>
      <c r="L671" s="32" t="e">
        <f>DATE(YEAR(K671),MONTH(K671)+VLOOKUP($F669,'[1]Membership Level'!$A$3:$B$15,2,FALSE),DAY(K671))</f>
        <v>#N/A</v>
      </c>
      <c r="M671" s="36"/>
      <c r="N671" s="34" t="e">
        <f>IF($L671&lt;&gt;0,DATE(YEAR($L671),MONTH($L671)-#REF!,DAY($L671)-$M671),"")</f>
        <v>#N/A</v>
      </c>
      <c r="O671" s="33" t="e">
        <f t="shared" ca="1" si="13"/>
        <v>#N/A</v>
      </c>
      <c r="P671" s="34" t="e">
        <f>I671/H671*VLOOKUP(F669,'[1]Membership Level'!$A$3:$C$15,3,FALSE)+K671</f>
        <v>#DIV/0!</v>
      </c>
      <c r="Q671" s="36"/>
    </row>
    <row r="672" spans="3:17" x14ac:dyDescent="0.25">
      <c r="C672" s="36"/>
      <c r="D672" s="36"/>
      <c r="E672" s="35"/>
      <c r="F672" s="36"/>
      <c r="G672" s="36"/>
      <c r="H672" s="30"/>
      <c r="I672" s="30"/>
      <c r="J672" s="31"/>
      <c r="K672" s="43"/>
      <c r="L672" s="32" t="e">
        <f>DATE(YEAR(K672),MONTH(K672)+VLOOKUP($F670,'[1]Membership Level'!$A$3:$B$15,2,FALSE),DAY(K672))</f>
        <v>#N/A</v>
      </c>
      <c r="M672" s="36"/>
      <c r="N672" s="34" t="e">
        <f>IF($L672&lt;&gt;0,DATE(YEAR($L672),MONTH($L672)-#REF!,DAY($L672)-$M672),"")</f>
        <v>#N/A</v>
      </c>
      <c r="O672" s="33" t="e">
        <f t="shared" ca="1" si="13"/>
        <v>#N/A</v>
      </c>
      <c r="P672" s="34" t="e">
        <f>I672/H672*VLOOKUP(F670,'[1]Membership Level'!$A$3:$C$15,3,FALSE)+K672</f>
        <v>#DIV/0!</v>
      </c>
      <c r="Q672" s="36"/>
    </row>
    <row r="673" spans="3:17" x14ac:dyDescent="0.25">
      <c r="C673" s="36"/>
      <c r="D673" s="36"/>
      <c r="E673" s="66"/>
      <c r="F673" s="36"/>
      <c r="G673" s="36"/>
      <c r="H673" s="30"/>
      <c r="I673" s="30"/>
      <c r="J673" s="31"/>
      <c r="K673" s="43"/>
      <c r="L673" s="32" t="e">
        <f>DATE(YEAR(K673),MONTH(K673)+VLOOKUP($F671,'[1]Membership Level'!$A$3:$B$15,2,FALSE),DAY(K673))</f>
        <v>#N/A</v>
      </c>
      <c r="M673" s="36"/>
      <c r="N673" s="34" t="e">
        <f>IF($L673&lt;&gt;0,DATE(YEAR($L673),MONTH($L673)-#REF!,DAY($L673)-$M673),"")</f>
        <v>#N/A</v>
      </c>
      <c r="O673" s="33" t="e">
        <f t="shared" ca="1" si="13"/>
        <v>#N/A</v>
      </c>
      <c r="P673" s="34" t="e">
        <f>I673/H673*VLOOKUP(F671,'[1]Membership Level'!$A$3:$C$15,3,FALSE)+K673</f>
        <v>#DIV/0!</v>
      </c>
      <c r="Q673" s="36"/>
    </row>
    <row r="674" spans="3:17" x14ac:dyDescent="0.25">
      <c r="C674" s="36"/>
      <c r="D674" s="36"/>
      <c r="E674" s="66"/>
      <c r="F674" s="36"/>
      <c r="G674" s="36"/>
      <c r="H674" s="30"/>
      <c r="I674" s="30"/>
      <c r="J674" s="31"/>
      <c r="K674" s="43"/>
      <c r="L674" s="32" t="e">
        <f>DATE(YEAR(K674),MONTH(K674)+VLOOKUP($F672,'[1]Membership Level'!$A$3:$B$15,2,FALSE),DAY(K674))</f>
        <v>#N/A</v>
      </c>
      <c r="M674" s="36"/>
      <c r="N674" s="34" t="e">
        <f>IF($L674&lt;&gt;0,DATE(YEAR($L674),MONTH($L674)-#REF!,DAY($L674)-$M674),"")</f>
        <v>#N/A</v>
      </c>
      <c r="O674" s="33" t="e">
        <f t="shared" ca="1" si="13"/>
        <v>#N/A</v>
      </c>
      <c r="P674" s="34" t="e">
        <f>I674/H674*VLOOKUP(F672,'[1]Membership Level'!$A$3:$C$15,3,FALSE)+K674</f>
        <v>#DIV/0!</v>
      </c>
      <c r="Q674" s="36"/>
    </row>
    <row r="675" spans="3:17" x14ac:dyDescent="0.25">
      <c r="C675" s="36"/>
      <c r="D675" s="36"/>
      <c r="E675" s="35"/>
      <c r="F675" s="36"/>
      <c r="G675" s="36"/>
      <c r="H675" s="30"/>
      <c r="I675" s="30"/>
      <c r="J675" s="31"/>
      <c r="K675" s="43"/>
      <c r="L675" s="32" t="e">
        <f>DATE(YEAR(K675),MONTH(K675)+VLOOKUP($F673,'[1]Membership Level'!$A$3:$B$15,2,FALSE),DAY(K675))</f>
        <v>#N/A</v>
      </c>
      <c r="M675" s="36"/>
      <c r="N675" s="34" t="e">
        <f>IF($L675&lt;&gt;0,DATE(YEAR($L675),MONTH($L675)-#REF!,DAY($L675)-$M675),"")</f>
        <v>#N/A</v>
      </c>
      <c r="O675" s="33" t="e">
        <f t="shared" ca="1" si="13"/>
        <v>#N/A</v>
      </c>
      <c r="P675" s="34" t="e">
        <f>I675/H675*VLOOKUP(F673,'[1]Membership Level'!$A$3:$C$15,3,FALSE)+K675</f>
        <v>#DIV/0!</v>
      </c>
      <c r="Q675" s="36"/>
    </row>
    <row r="676" spans="3:17" x14ac:dyDescent="0.25">
      <c r="C676" s="36"/>
      <c r="D676" s="36"/>
      <c r="E676" s="35"/>
      <c r="F676" s="36"/>
      <c r="G676" s="36"/>
      <c r="H676" s="30"/>
      <c r="I676" s="30"/>
      <c r="J676" s="31"/>
      <c r="K676" s="43"/>
      <c r="L676" s="32" t="e">
        <f>DATE(YEAR(K676),MONTH(K676)+VLOOKUP($F674,'[1]Membership Level'!$A$3:$B$15,2,FALSE),DAY(K676))</f>
        <v>#N/A</v>
      </c>
      <c r="M676" s="36"/>
      <c r="N676" s="34" t="e">
        <f>IF($L676&lt;&gt;0,DATE(YEAR($L676),MONTH($L676)-#REF!,DAY($L676)-$M676),"")</f>
        <v>#N/A</v>
      </c>
      <c r="O676" s="33" t="e">
        <f t="shared" ca="1" si="13"/>
        <v>#N/A</v>
      </c>
      <c r="P676" s="34" t="e">
        <f>I676/H676*VLOOKUP(F674,'[1]Membership Level'!$A$3:$C$15,3,FALSE)+K676</f>
        <v>#DIV/0!</v>
      </c>
      <c r="Q676" s="36"/>
    </row>
    <row r="677" spans="3:17" x14ac:dyDescent="0.25">
      <c r="C677" s="36"/>
      <c r="D677" s="36"/>
      <c r="E677" s="35"/>
      <c r="F677" s="36"/>
      <c r="G677" s="36"/>
      <c r="H677" s="30"/>
      <c r="I677" s="30"/>
      <c r="J677" s="31"/>
      <c r="K677" s="43"/>
      <c r="L677" s="32" t="e">
        <f>DATE(YEAR(K677),MONTH(K677)+VLOOKUP($F675,'[1]Membership Level'!$A$3:$B$15,2,FALSE),DAY(K677))</f>
        <v>#N/A</v>
      </c>
      <c r="M677" s="36"/>
      <c r="N677" s="34" t="e">
        <f>IF($L677&lt;&gt;0,DATE(YEAR($L677),MONTH($L677)-#REF!,DAY($L677)-$M677),"")</f>
        <v>#N/A</v>
      </c>
      <c r="O677" s="33" t="e">
        <f t="shared" ca="1" si="13"/>
        <v>#N/A</v>
      </c>
      <c r="P677" s="34" t="e">
        <f>I677/H677*VLOOKUP(F675,'[1]Membership Level'!$A$3:$C$15,3,FALSE)+K677</f>
        <v>#DIV/0!</v>
      </c>
      <c r="Q677" s="36"/>
    </row>
    <row r="678" spans="3:17" x14ac:dyDescent="0.25">
      <c r="C678" s="36"/>
      <c r="D678" s="36"/>
      <c r="E678" s="35"/>
      <c r="F678" s="36"/>
      <c r="G678" s="36"/>
      <c r="H678" s="30"/>
      <c r="I678" s="30"/>
      <c r="J678" s="31"/>
      <c r="K678" s="43"/>
      <c r="L678" s="32" t="e">
        <f>DATE(YEAR(K678),MONTH(K678)+VLOOKUP($F676,'[1]Membership Level'!$A$3:$B$15,2,FALSE),DAY(K678))</f>
        <v>#N/A</v>
      </c>
      <c r="M678" s="36"/>
      <c r="N678" s="34" t="e">
        <f>IF($L678&lt;&gt;0,DATE(YEAR($L678),MONTH($L678)-#REF!,DAY($L678)-$M678),"")</f>
        <v>#N/A</v>
      </c>
      <c r="O678" s="33" t="e">
        <f t="shared" ca="1" si="13"/>
        <v>#N/A</v>
      </c>
      <c r="P678" s="34" t="e">
        <f>I678/H678*VLOOKUP(F676,'[1]Membership Level'!$A$3:$C$15,3,FALSE)+K678</f>
        <v>#DIV/0!</v>
      </c>
      <c r="Q678" s="36"/>
    </row>
    <row r="679" spans="3:17" x14ac:dyDescent="0.25">
      <c r="C679" s="36"/>
      <c r="D679" s="36"/>
      <c r="E679" s="66"/>
      <c r="F679" s="36"/>
      <c r="G679" s="36"/>
      <c r="H679" s="30"/>
      <c r="I679" s="30"/>
      <c r="J679" s="31"/>
      <c r="K679" s="43"/>
      <c r="L679" s="32" t="e">
        <f>DATE(YEAR(K679),MONTH(K679)+VLOOKUP($F677,'[1]Membership Level'!$A$3:$B$15,2,FALSE),DAY(K679))</f>
        <v>#N/A</v>
      </c>
      <c r="M679" s="36"/>
      <c r="N679" s="34" t="e">
        <f>IF($L679&lt;&gt;0,DATE(YEAR($L679),MONTH($L679)-#REF!,DAY($L679)-$M679),"")</f>
        <v>#N/A</v>
      </c>
      <c r="O679" s="33" t="e">
        <f t="shared" ca="1" si="13"/>
        <v>#N/A</v>
      </c>
      <c r="P679" s="34" t="e">
        <f>I679/H679*VLOOKUP(F677,'[1]Membership Level'!$A$3:$C$15,3,FALSE)+K679</f>
        <v>#DIV/0!</v>
      </c>
      <c r="Q679" s="36"/>
    </row>
    <row r="680" spans="3:17" x14ac:dyDescent="0.25">
      <c r="C680" s="36"/>
      <c r="D680" s="36"/>
      <c r="E680" s="35"/>
      <c r="F680" s="36"/>
      <c r="G680" s="36"/>
      <c r="H680" s="30"/>
      <c r="I680" s="30"/>
      <c r="J680" s="31"/>
      <c r="K680" s="43"/>
      <c r="L680" s="32" t="e">
        <f>DATE(YEAR(K680),MONTH(K680)+VLOOKUP($F678,'[1]Membership Level'!$A$3:$B$15,2,FALSE),DAY(K680))</f>
        <v>#N/A</v>
      </c>
      <c r="M680" s="36"/>
      <c r="N680" s="34" t="e">
        <f>IF($L680&lt;&gt;0,DATE(YEAR($L680),MONTH($L680)-#REF!,DAY($L680)-$M680),"")</f>
        <v>#N/A</v>
      </c>
      <c r="O680" s="33" t="e">
        <f t="shared" ca="1" si="13"/>
        <v>#N/A</v>
      </c>
      <c r="P680" s="34" t="e">
        <f>I680/H680*VLOOKUP(F678,'[1]Membership Level'!$A$3:$C$15,3,FALSE)+K680</f>
        <v>#DIV/0!</v>
      </c>
      <c r="Q680" s="36"/>
    </row>
    <row r="681" spans="3:17" x14ac:dyDescent="0.25">
      <c r="C681" s="36"/>
      <c r="D681" s="36"/>
      <c r="E681" s="35"/>
      <c r="F681" s="36"/>
      <c r="G681" s="36"/>
      <c r="H681" s="30"/>
      <c r="I681" s="30"/>
      <c r="J681" s="31"/>
      <c r="K681" s="43"/>
      <c r="L681" s="32" t="e">
        <f>DATE(YEAR(K681),MONTH(K681)+VLOOKUP($F679,'[1]Membership Level'!$A$3:$B$15,2,FALSE),DAY(K681))</f>
        <v>#N/A</v>
      </c>
      <c r="M681" s="36"/>
      <c r="N681" s="34" t="e">
        <f>IF($L681&lt;&gt;0,DATE(YEAR($L681),MONTH($L681)-#REF!,DAY($L681)-$M681),"")</f>
        <v>#N/A</v>
      </c>
      <c r="O681" s="33" t="e">
        <f t="shared" ca="1" si="13"/>
        <v>#N/A</v>
      </c>
      <c r="P681" s="34" t="e">
        <f>I681/H681*VLOOKUP(F679,'[1]Membership Level'!$A$3:$C$15,3,FALSE)+K681</f>
        <v>#DIV/0!</v>
      </c>
      <c r="Q681" s="36"/>
    </row>
    <row r="682" spans="3:17" x14ac:dyDescent="0.25">
      <c r="C682" s="36"/>
      <c r="D682" s="36"/>
      <c r="E682" s="35"/>
      <c r="F682" s="36"/>
      <c r="G682" s="36"/>
      <c r="H682" s="30"/>
      <c r="I682" s="30"/>
      <c r="J682" s="31"/>
      <c r="K682" s="43"/>
      <c r="L682" s="32" t="e">
        <f>DATE(YEAR(K682),MONTH(K682)+VLOOKUP($F680,'[1]Membership Level'!$A$3:$B$15,2,FALSE),DAY(K682))</f>
        <v>#N/A</v>
      </c>
      <c r="M682" s="36"/>
      <c r="N682" s="34" t="e">
        <f>IF($L682&lt;&gt;0,DATE(YEAR($L682),MONTH($L682)-#REF!,DAY($L682)-$M682),"")</f>
        <v>#N/A</v>
      </c>
      <c r="O682" s="33" t="e">
        <f t="shared" ca="1" si="13"/>
        <v>#N/A</v>
      </c>
      <c r="P682" s="34" t="e">
        <f>I682/H682*VLOOKUP(F680,'[1]Membership Level'!$A$3:$C$15,3,FALSE)+K682</f>
        <v>#DIV/0!</v>
      </c>
      <c r="Q682" s="36"/>
    </row>
    <row r="683" spans="3:17" x14ac:dyDescent="0.25">
      <c r="C683" s="36"/>
      <c r="D683" s="36"/>
      <c r="E683" s="35"/>
      <c r="F683" s="36"/>
      <c r="G683" s="36"/>
      <c r="H683" s="30"/>
      <c r="I683" s="30"/>
      <c r="J683" s="31"/>
      <c r="K683" s="43"/>
      <c r="L683" s="32" t="e">
        <f>DATE(YEAR(K683),MONTH(K683)+VLOOKUP($F681,'[1]Membership Level'!$A$3:$B$15,2,FALSE),DAY(K683))</f>
        <v>#N/A</v>
      </c>
      <c r="M683" s="36"/>
      <c r="N683" s="34" t="e">
        <f>IF($L683&lt;&gt;0,DATE(YEAR($L683),MONTH($L683)-#REF!,DAY($L683)-$M683),"")</f>
        <v>#N/A</v>
      </c>
      <c r="O683" s="33" t="e">
        <f t="shared" ca="1" si="13"/>
        <v>#N/A</v>
      </c>
      <c r="P683" s="34" t="e">
        <f>I683/H683*VLOOKUP(F681,'[1]Membership Level'!$A$3:$C$15,3,FALSE)+K683</f>
        <v>#DIV/0!</v>
      </c>
      <c r="Q683" s="36"/>
    </row>
    <row r="684" spans="3:17" x14ac:dyDescent="0.25">
      <c r="C684" s="36"/>
      <c r="D684" s="36"/>
      <c r="E684" s="35"/>
      <c r="F684" s="36"/>
      <c r="G684" s="36"/>
      <c r="H684" s="30"/>
      <c r="I684" s="30"/>
      <c r="J684" s="31"/>
      <c r="K684" s="43"/>
      <c r="L684" s="32" t="e">
        <f>DATE(YEAR(K684),MONTH(K684)+VLOOKUP($F682,'[1]Membership Level'!$A$3:$B$15,2,FALSE),DAY(K684))</f>
        <v>#N/A</v>
      </c>
      <c r="M684" s="36"/>
      <c r="N684" s="34" t="e">
        <f>IF($L684&lt;&gt;0,DATE(YEAR($L684),MONTH($L684)-#REF!,DAY($L684)-$M684),"")</f>
        <v>#N/A</v>
      </c>
      <c r="O684" s="33" t="e">
        <f t="shared" ca="1" si="13"/>
        <v>#N/A</v>
      </c>
      <c r="P684" s="34" t="e">
        <f>I684/H684*VLOOKUP(F682,'[1]Membership Level'!$A$3:$C$15,3,FALSE)+K684</f>
        <v>#DIV/0!</v>
      </c>
      <c r="Q684" s="36"/>
    </row>
    <row r="685" spans="3:17" x14ac:dyDescent="0.25">
      <c r="C685" s="36"/>
      <c r="D685" s="36"/>
      <c r="E685" s="35"/>
      <c r="F685" s="36"/>
      <c r="G685" s="36"/>
      <c r="H685" s="30"/>
      <c r="I685" s="30"/>
      <c r="J685" s="31"/>
      <c r="K685" s="43"/>
      <c r="L685" s="32" t="e">
        <f>DATE(YEAR(K685),MONTH(K685)+VLOOKUP($F683,'[1]Membership Level'!$A$3:$B$15,2,FALSE),DAY(K685))</f>
        <v>#N/A</v>
      </c>
      <c r="M685" s="36"/>
      <c r="N685" s="34" t="e">
        <f>IF($L685&lt;&gt;0,DATE(YEAR($L685),MONTH($L685)-#REF!,DAY($L685)-$M685),"")</f>
        <v>#N/A</v>
      </c>
      <c r="O685" s="33" t="e">
        <f t="shared" ca="1" si="13"/>
        <v>#N/A</v>
      </c>
      <c r="P685" s="34" t="e">
        <f>I685/H685*VLOOKUP(F683,'[1]Membership Level'!$A$3:$C$15,3,FALSE)+K685</f>
        <v>#DIV/0!</v>
      </c>
      <c r="Q685" s="36"/>
    </row>
    <row r="686" spans="3:17" x14ac:dyDescent="0.25">
      <c r="C686" s="36"/>
      <c r="D686" s="36"/>
      <c r="E686" s="35"/>
      <c r="F686" s="36"/>
      <c r="G686" s="36"/>
      <c r="H686" s="30"/>
      <c r="I686" s="30"/>
      <c r="J686" s="31"/>
      <c r="K686" s="43"/>
      <c r="L686" s="32" t="e">
        <f>DATE(YEAR(K686),MONTH(K686)+VLOOKUP($F684,'[1]Membership Level'!$A$3:$B$15,2,FALSE),DAY(K686))</f>
        <v>#N/A</v>
      </c>
      <c r="M686" s="36"/>
      <c r="N686" s="34" t="e">
        <f>IF($L686&lt;&gt;0,DATE(YEAR($L686),MONTH($L686)-#REF!,DAY($L686)-$M686),"")</f>
        <v>#N/A</v>
      </c>
      <c r="O686" s="33" t="e">
        <f t="shared" ca="1" si="13"/>
        <v>#N/A</v>
      </c>
      <c r="P686" s="34" t="e">
        <f>I686/H686*VLOOKUP(F684,'[1]Membership Level'!$A$3:$C$15,3,FALSE)+K686</f>
        <v>#DIV/0!</v>
      </c>
      <c r="Q686" s="36"/>
    </row>
    <row r="687" spans="3:17" x14ac:dyDescent="0.25">
      <c r="C687" s="36"/>
      <c r="D687" s="36"/>
      <c r="E687" s="35"/>
      <c r="F687" s="36"/>
      <c r="G687" s="36"/>
      <c r="H687" s="30"/>
      <c r="I687" s="30"/>
      <c r="J687" s="31"/>
      <c r="K687" s="43"/>
      <c r="L687" s="32" t="e">
        <f>DATE(YEAR(K687),MONTH(K687)+VLOOKUP($F685,'[1]Membership Level'!$A$3:$B$15,2,FALSE),DAY(K687))</f>
        <v>#N/A</v>
      </c>
      <c r="M687" s="36"/>
      <c r="N687" s="34" t="e">
        <f>IF($L687&lt;&gt;0,DATE(YEAR($L687),MONTH($L687)-#REF!,DAY($L687)-$M687),"")</f>
        <v>#N/A</v>
      </c>
      <c r="O687" s="33" t="e">
        <f t="shared" ca="1" si="13"/>
        <v>#N/A</v>
      </c>
      <c r="P687" s="34" t="e">
        <f>I687/H687*VLOOKUP(F685,'[1]Membership Level'!$A$3:$C$15,3,FALSE)+K687</f>
        <v>#DIV/0!</v>
      </c>
      <c r="Q687" s="36"/>
    </row>
    <row r="688" spans="3:17" x14ac:dyDescent="0.25">
      <c r="C688" s="36"/>
      <c r="D688" s="36"/>
      <c r="E688" s="35"/>
      <c r="F688" s="36"/>
      <c r="G688" s="36"/>
      <c r="H688" s="30"/>
      <c r="I688" s="30"/>
      <c r="J688" s="31"/>
      <c r="K688" s="43"/>
      <c r="L688" s="32" t="e">
        <f>DATE(YEAR(K688),MONTH(K688)+VLOOKUP($F686,'[1]Membership Level'!$A$3:$B$15,2,FALSE),DAY(K688))</f>
        <v>#N/A</v>
      </c>
      <c r="M688" s="36"/>
      <c r="N688" s="34" t="e">
        <f>IF($L688&lt;&gt;0,DATE(YEAR($L688),MONTH($L688)-#REF!,DAY($L688)-$M688),"")</f>
        <v>#N/A</v>
      </c>
      <c r="O688" s="33" t="e">
        <f t="shared" ca="1" si="13"/>
        <v>#N/A</v>
      </c>
      <c r="P688" s="34" t="e">
        <f>I688/H688*VLOOKUP(F686,'[1]Membership Level'!$A$3:$C$15,3,FALSE)+K688</f>
        <v>#DIV/0!</v>
      </c>
      <c r="Q688" s="36"/>
    </row>
    <row r="689" spans="3:17" x14ac:dyDescent="0.25">
      <c r="C689" s="36"/>
      <c r="D689" s="36"/>
      <c r="E689" s="35"/>
      <c r="F689" s="36"/>
      <c r="G689" s="36"/>
      <c r="H689" s="30"/>
      <c r="I689" s="30"/>
      <c r="J689" s="31"/>
      <c r="K689" s="43"/>
      <c r="L689" s="32" t="e">
        <f>DATE(YEAR(K689),MONTH(K689)+VLOOKUP($F687,'[1]Membership Level'!$A$3:$B$15,2,FALSE),DAY(K689))</f>
        <v>#N/A</v>
      </c>
      <c r="M689" s="36"/>
      <c r="N689" s="34" t="e">
        <f>IF($L689&lt;&gt;0,DATE(YEAR($L689),MONTH($L689)-#REF!,DAY($L689)-$M689),"")</f>
        <v>#N/A</v>
      </c>
      <c r="O689" s="33" t="e">
        <f t="shared" ca="1" si="13"/>
        <v>#N/A</v>
      </c>
      <c r="P689" s="34" t="e">
        <f>I689/H689*VLOOKUP(F687,'[1]Membership Level'!$A$3:$C$15,3,FALSE)+K689</f>
        <v>#DIV/0!</v>
      </c>
      <c r="Q689" s="36"/>
    </row>
    <row r="690" spans="3:17" x14ac:dyDescent="0.25">
      <c r="C690" s="36"/>
      <c r="D690" s="36"/>
      <c r="E690" s="36"/>
      <c r="F690" s="36"/>
      <c r="G690" s="36"/>
      <c r="H690" s="30"/>
      <c r="I690" s="30"/>
      <c r="J690" s="31"/>
      <c r="K690" s="43"/>
      <c r="L690" s="32" t="e">
        <f>DATE(YEAR(K690),MONTH(K690)+VLOOKUP($F688,'[1]Membership Level'!$A$3:$B$15,2,FALSE),DAY(K690))</f>
        <v>#N/A</v>
      </c>
      <c r="M690" s="36"/>
      <c r="N690" s="34" t="e">
        <f>IF($L690&lt;&gt;0,DATE(YEAR($L690),MONTH($L690)-#REF!,DAY($L690)-$M690),"")</f>
        <v>#N/A</v>
      </c>
      <c r="O690" s="33" t="e">
        <f t="shared" ca="1" si="13"/>
        <v>#N/A</v>
      </c>
      <c r="P690" s="34" t="e">
        <f>I690/H690*VLOOKUP(F688,'[1]Membership Level'!$A$3:$C$15,3,FALSE)+K690</f>
        <v>#DIV/0!</v>
      </c>
      <c r="Q690" s="36"/>
    </row>
    <row r="691" spans="3:17" x14ac:dyDescent="0.25">
      <c r="C691" s="36"/>
      <c r="D691" s="36"/>
      <c r="E691" s="35"/>
      <c r="F691" s="36"/>
      <c r="G691" s="36"/>
      <c r="H691" s="30"/>
      <c r="I691" s="30"/>
      <c r="J691" s="31"/>
      <c r="K691" s="43"/>
      <c r="L691" s="32" t="e">
        <f>DATE(YEAR(K691),MONTH(K691)+VLOOKUP($F689,'[1]Membership Level'!$A$3:$B$15,2,FALSE),DAY(K691))</f>
        <v>#N/A</v>
      </c>
      <c r="M691" s="36"/>
      <c r="N691" s="34" t="e">
        <f>IF($L691&lt;&gt;0,DATE(YEAR($L691),MONTH($L691)-#REF!,DAY($L691)-$M691),"")</f>
        <v>#N/A</v>
      </c>
      <c r="O691" s="33" t="e">
        <f t="shared" ca="1" si="13"/>
        <v>#N/A</v>
      </c>
      <c r="P691" s="34" t="e">
        <f>I691/H691*VLOOKUP(F689,'[1]Membership Level'!$A$3:$C$15,3,FALSE)+K691</f>
        <v>#DIV/0!</v>
      </c>
      <c r="Q691" s="36"/>
    </row>
    <row r="692" spans="3:17" x14ac:dyDescent="0.25">
      <c r="C692" s="36"/>
      <c r="D692" s="36"/>
      <c r="E692" s="35"/>
      <c r="F692" s="36"/>
      <c r="G692" s="36"/>
      <c r="H692" s="30"/>
      <c r="I692" s="30"/>
      <c r="J692" s="31"/>
      <c r="K692" s="43"/>
      <c r="L692" s="32" t="e">
        <f>DATE(YEAR(K692),MONTH(K692)+VLOOKUP($F690,'[1]Membership Level'!$A$3:$B$15,2,FALSE),DAY(K692))</f>
        <v>#N/A</v>
      </c>
      <c r="M692" s="36"/>
      <c r="N692" s="34" t="e">
        <f>IF($L692&lt;&gt;0,DATE(YEAR($L692),MONTH($L692)-#REF!,DAY($L692)-$M692),"")</f>
        <v>#N/A</v>
      </c>
      <c r="O692" s="33" t="e">
        <f t="shared" ca="1" si="13"/>
        <v>#N/A</v>
      </c>
      <c r="P692" s="34" t="e">
        <f>I692/H692*VLOOKUP(F690,'[1]Membership Level'!$A$3:$C$15,3,FALSE)+K692</f>
        <v>#DIV/0!</v>
      </c>
      <c r="Q692" s="36"/>
    </row>
    <row r="693" spans="3:17" x14ac:dyDescent="0.25">
      <c r="C693" s="36"/>
      <c r="D693" s="36"/>
      <c r="E693" s="35"/>
      <c r="F693" s="36"/>
      <c r="G693" s="36"/>
      <c r="H693" s="30"/>
      <c r="I693" s="30"/>
      <c r="J693" s="31"/>
      <c r="K693" s="43"/>
      <c r="L693" s="32" t="e">
        <f>DATE(YEAR(K693),MONTH(K693)+VLOOKUP($F691,'[1]Membership Level'!$A$3:$B$15,2,FALSE),DAY(K693))</f>
        <v>#N/A</v>
      </c>
      <c r="M693" s="36"/>
      <c r="N693" s="34" t="e">
        <f>IF($L693&lt;&gt;0,DATE(YEAR($L693),MONTH($L693)-#REF!,DAY($L693)-$M693),"")</f>
        <v>#N/A</v>
      </c>
      <c r="O693" s="33" t="e">
        <f t="shared" ca="1" si="13"/>
        <v>#N/A</v>
      </c>
      <c r="P693" s="34" t="e">
        <f>I693/H693*VLOOKUP(F691,'[1]Membership Level'!$A$3:$C$15,3,FALSE)+K693</f>
        <v>#DIV/0!</v>
      </c>
      <c r="Q693" s="36"/>
    </row>
    <row r="694" spans="3:17" x14ac:dyDescent="0.25">
      <c r="C694" s="36"/>
      <c r="D694" s="36"/>
      <c r="E694" s="35"/>
      <c r="F694" s="36"/>
      <c r="G694" s="36"/>
      <c r="H694" s="30"/>
      <c r="I694" s="30"/>
      <c r="J694" s="31"/>
      <c r="K694" s="43"/>
      <c r="L694" s="32" t="e">
        <f>DATE(YEAR(K694),MONTH(K694)+VLOOKUP($F692,'[1]Membership Level'!$A$3:$B$15,2,FALSE),DAY(K694))</f>
        <v>#N/A</v>
      </c>
      <c r="M694" s="36"/>
      <c r="N694" s="34" t="e">
        <f>IF($L694&lt;&gt;0,DATE(YEAR($L694),MONTH($L694)-#REF!,DAY($L694)-$M694),"")</f>
        <v>#N/A</v>
      </c>
      <c r="O694" s="33" t="e">
        <f t="shared" ca="1" si="13"/>
        <v>#N/A</v>
      </c>
      <c r="P694" s="34" t="e">
        <f>I694/H694*VLOOKUP(F692,'[1]Membership Level'!$A$3:$C$15,3,FALSE)+K694</f>
        <v>#DIV/0!</v>
      </c>
      <c r="Q694" s="36"/>
    </row>
    <row r="695" spans="3:17" x14ac:dyDescent="0.25">
      <c r="C695" s="36"/>
      <c r="D695" s="36"/>
      <c r="E695" s="35"/>
      <c r="F695" s="36"/>
      <c r="G695" s="36"/>
      <c r="H695" s="30"/>
      <c r="I695" s="30"/>
      <c r="J695" s="31"/>
      <c r="K695" s="43"/>
      <c r="L695" s="32" t="e">
        <f>DATE(YEAR(K695),MONTH(K695)+VLOOKUP($F693,'[1]Membership Level'!$A$3:$B$15,2,FALSE),DAY(K695))</f>
        <v>#N/A</v>
      </c>
      <c r="M695" s="36"/>
      <c r="N695" s="34" t="e">
        <f>IF($L695&lt;&gt;0,DATE(YEAR($L695),MONTH($L695)-#REF!,DAY($L695)-$M695),"")</f>
        <v>#N/A</v>
      </c>
      <c r="O695" s="33" t="e">
        <f t="shared" ca="1" si="13"/>
        <v>#N/A</v>
      </c>
      <c r="P695" s="34" t="e">
        <f>I695/H695*VLOOKUP(F693,'[1]Membership Level'!$A$3:$C$15,3,FALSE)+K695</f>
        <v>#DIV/0!</v>
      </c>
      <c r="Q695" s="36"/>
    </row>
    <row r="696" spans="3:17" x14ac:dyDescent="0.25">
      <c r="C696" s="36"/>
      <c r="D696" s="36"/>
      <c r="E696" s="35"/>
      <c r="F696" s="36"/>
      <c r="G696" s="36"/>
      <c r="H696" s="30"/>
      <c r="I696" s="30"/>
      <c r="J696" s="31"/>
      <c r="K696" s="43"/>
      <c r="L696" s="32" t="e">
        <f>DATE(YEAR(K696),MONTH(K696)+VLOOKUP($F694,'[1]Membership Level'!$A$3:$B$15,2,FALSE),DAY(K696))</f>
        <v>#N/A</v>
      </c>
      <c r="M696" s="36"/>
      <c r="N696" s="34" t="e">
        <f>IF($L696&lt;&gt;0,DATE(YEAR($L696),MONTH($L696)-#REF!,DAY($L696)-$M696),"")</f>
        <v>#N/A</v>
      </c>
      <c r="O696" s="33" t="e">
        <f t="shared" ca="1" si="13"/>
        <v>#N/A</v>
      </c>
      <c r="P696" s="34" t="e">
        <f>I696/H696*VLOOKUP(F694,'[1]Membership Level'!$A$3:$C$15,3,FALSE)+K696</f>
        <v>#DIV/0!</v>
      </c>
      <c r="Q696" s="36"/>
    </row>
    <row r="697" spans="3:17" s="68" customFormat="1" x14ac:dyDescent="0.25">
      <c r="C697" s="36"/>
      <c r="D697" s="36"/>
      <c r="E697" s="66"/>
      <c r="F697" s="36"/>
      <c r="G697" s="36"/>
      <c r="H697" s="30"/>
      <c r="I697" s="30"/>
      <c r="J697" s="31"/>
      <c r="K697" s="43"/>
      <c r="L697" s="32" t="e">
        <f>DATE(YEAR(K697),MONTH(K697)+VLOOKUP($F695,'[1]Membership Level'!$A$3:$B$15,2,FALSE),DAY(K697))</f>
        <v>#N/A</v>
      </c>
      <c r="M697" s="36"/>
      <c r="N697" s="34" t="e">
        <f>IF($L697&lt;&gt;0,DATE(YEAR($L697),MONTH($L697)-#REF!,DAY($L697)-$M697),"")</f>
        <v>#N/A</v>
      </c>
      <c r="O697" s="33" t="e">
        <f t="shared" ca="1" si="13"/>
        <v>#N/A</v>
      </c>
      <c r="P697" s="34" t="e">
        <f>I697/H697*VLOOKUP(F695,'[1]Membership Level'!$A$3:$C$15,3,FALSE)+K697</f>
        <v>#DIV/0!</v>
      </c>
      <c r="Q697" s="36"/>
    </row>
    <row r="698" spans="3:17" x14ac:dyDescent="0.25">
      <c r="C698" s="36"/>
      <c r="D698" s="36"/>
      <c r="E698" s="35"/>
      <c r="F698" s="36"/>
      <c r="G698" s="36"/>
      <c r="H698" s="30"/>
      <c r="I698" s="30"/>
      <c r="J698" s="31"/>
      <c r="K698" s="43"/>
      <c r="L698" s="32" t="e">
        <f>DATE(YEAR(K698),MONTH(K698)+VLOOKUP($F696,'[1]Membership Level'!$A$3:$B$15,2,FALSE),DAY(K698))</f>
        <v>#N/A</v>
      </c>
      <c r="M698" s="36"/>
      <c r="N698" s="34" t="e">
        <f>IF($L698&lt;&gt;0,DATE(YEAR($L698),MONTH($L698)-#REF!,DAY($L698)-$M698),"")</f>
        <v>#N/A</v>
      </c>
      <c r="O698" s="33" t="e">
        <f t="shared" ca="1" si="13"/>
        <v>#N/A</v>
      </c>
      <c r="P698" s="34" t="e">
        <f>I698/H698*VLOOKUP(F696,'[1]Membership Level'!$A$3:$C$15,3,FALSE)+K698</f>
        <v>#DIV/0!</v>
      </c>
      <c r="Q698" s="36"/>
    </row>
    <row r="699" spans="3:17" x14ac:dyDescent="0.25">
      <c r="C699" s="36"/>
      <c r="D699" s="36"/>
      <c r="E699" s="35"/>
      <c r="F699" s="36"/>
      <c r="G699" s="36"/>
      <c r="H699" s="30"/>
      <c r="I699" s="30"/>
      <c r="J699" s="31"/>
      <c r="K699" s="43"/>
      <c r="L699" s="32" t="e">
        <f>DATE(YEAR(K699),MONTH(K699)+VLOOKUP($F697,'[1]Membership Level'!$A$3:$B$15,2,FALSE),DAY(K699))</f>
        <v>#N/A</v>
      </c>
      <c r="M699" s="36"/>
      <c r="N699" s="34" t="e">
        <f>IF($L699&lt;&gt;0,DATE(YEAR($L699),MONTH($L699)-#REF!,DAY($L699)-$M699),"")</f>
        <v>#N/A</v>
      </c>
      <c r="O699" s="33" t="e">
        <f t="shared" ca="1" si="13"/>
        <v>#N/A</v>
      </c>
      <c r="P699" s="34" t="e">
        <f>I699/H699*VLOOKUP(F697,'[1]Membership Level'!$A$3:$C$15,3,FALSE)+K699</f>
        <v>#DIV/0!</v>
      </c>
      <c r="Q699" s="36"/>
    </row>
    <row r="700" spans="3:17" x14ac:dyDescent="0.25">
      <c r="C700" s="36"/>
      <c r="D700" s="36"/>
      <c r="E700" s="35"/>
      <c r="F700" s="36"/>
      <c r="G700" s="36"/>
      <c r="H700" s="30"/>
      <c r="I700" s="30"/>
      <c r="J700" s="31"/>
      <c r="K700" s="43"/>
      <c r="L700" s="32" t="e">
        <f>DATE(YEAR(K700),MONTH(K700)+VLOOKUP($F698,'[1]Membership Level'!$A$3:$B$15,2,FALSE),DAY(K700))</f>
        <v>#N/A</v>
      </c>
      <c r="M700" s="36"/>
      <c r="N700" s="34" t="e">
        <f>IF($L700&lt;&gt;0,DATE(YEAR($L700),MONTH($L700)-#REF!,DAY($L700)-$M700),"")</f>
        <v>#N/A</v>
      </c>
      <c r="O700" s="33" t="e">
        <f t="shared" ca="1" si="13"/>
        <v>#N/A</v>
      </c>
      <c r="P700" s="34" t="e">
        <f>I700/H700*VLOOKUP(F698,'[1]Membership Level'!$A$3:$C$15,3,FALSE)+K700</f>
        <v>#DIV/0!</v>
      </c>
      <c r="Q700" s="36"/>
    </row>
    <row r="701" spans="3:17" x14ac:dyDescent="0.25">
      <c r="C701" s="36"/>
      <c r="D701" s="36"/>
      <c r="E701" s="35"/>
      <c r="F701" s="36"/>
      <c r="G701" s="36"/>
      <c r="H701" s="30"/>
      <c r="I701" s="30"/>
      <c r="J701" s="31"/>
      <c r="K701" s="43"/>
      <c r="L701" s="32" t="e">
        <f>DATE(YEAR(K701),MONTH(K701)+VLOOKUP($F699,'[1]Membership Level'!$A$3:$B$15,2,FALSE),DAY(K701))</f>
        <v>#N/A</v>
      </c>
      <c r="M701" s="36"/>
      <c r="N701" s="34" t="e">
        <f>IF($L701&lt;&gt;0,DATE(YEAR($L701),MONTH($L701)-#REF!,DAY($L701)-$M701),"")</f>
        <v>#N/A</v>
      </c>
      <c r="O701" s="33" t="e">
        <f t="shared" ref="O701:O764" ca="1" si="14">IF(DAYS360(NOW(), $L701) &gt;= 0, DAYS360(NOW(), $L701), "")</f>
        <v>#N/A</v>
      </c>
      <c r="P701" s="34" t="e">
        <f>I701/H701*VLOOKUP(F699,'[1]Membership Level'!$A$3:$C$15,3,FALSE)+K701</f>
        <v>#DIV/0!</v>
      </c>
      <c r="Q701" s="36"/>
    </row>
    <row r="702" spans="3:17" x14ac:dyDescent="0.25">
      <c r="C702" s="36"/>
      <c r="D702" s="36"/>
      <c r="E702" s="35"/>
      <c r="F702" s="36"/>
      <c r="G702" s="36"/>
      <c r="H702" s="30"/>
      <c r="I702" s="30"/>
      <c r="J702" s="31"/>
      <c r="K702" s="43"/>
      <c r="L702" s="32" t="e">
        <f>DATE(YEAR(K702),MONTH(K702)+VLOOKUP($F700,'[1]Membership Level'!$A$3:$B$15,2,FALSE),DAY(K702))</f>
        <v>#N/A</v>
      </c>
      <c r="M702" s="36"/>
      <c r="N702" s="34" t="e">
        <f>IF($L702&lt;&gt;0,DATE(YEAR($L702),MONTH($L702)-#REF!,DAY($L702)-$M702),"")</f>
        <v>#N/A</v>
      </c>
      <c r="O702" s="33" t="e">
        <f t="shared" ca="1" si="14"/>
        <v>#N/A</v>
      </c>
      <c r="P702" s="34" t="e">
        <f>I702/H702*VLOOKUP(F700,'[1]Membership Level'!$A$3:$C$15,3,FALSE)+K702</f>
        <v>#DIV/0!</v>
      </c>
      <c r="Q702" s="36"/>
    </row>
    <row r="703" spans="3:17" x14ac:dyDescent="0.25">
      <c r="C703" s="36"/>
      <c r="D703" s="36"/>
      <c r="E703" s="35"/>
      <c r="F703" s="36"/>
      <c r="G703" s="36"/>
      <c r="H703" s="30"/>
      <c r="I703" s="30"/>
      <c r="J703" s="31"/>
      <c r="K703" s="43"/>
      <c r="L703" s="32" t="e">
        <f>DATE(YEAR(K703),MONTH(K703)+VLOOKUP($F701,'[1]Membership Level'!$A$3:$B$15,2,FALSE),DAY(K703))</f>
        <v>#N/A</v>
      </c>
      <c r="M703" s="36"/>
      <c r="N703" s="34" t="e">
        <f>IF($L703&lt;&gt;0,DATE(YEAR($L703),MONTH($L703)-#REF!,DAY($L703)-$M703),"")</f>
        <v>#N/A</v>
      </c>
      <c r="O703" s="33" t="e">
        <f t="shared" ca="1" si="14"/>
        <v>#N/A</v>
      </c>
      <c r="P703" s="34" t="e">
        <f>I703/H703*VLOOKUP(F701,'[1]Membership Level'!$A$3:$C$15,3,FALSE)+K703</f>
        <v>#DIV/0!</v>
      </c>
      <c r="Q703" s="36"/>
    </row>
    <row r="704" spans="3:17" x14ac:dyDescent="0.25">
      <c r="C704" s="36"/>
      <c r="D704" s="36"/>
      <c r="E704" s="35"/>
      <c r="F704" s="36"/>
      <c r="G704" s="36"/>
      <c r="H704" s="30"/>
      <c r="I704" s="30"/>
      <c r="J704" s="31"/>
      <c r="K704" s="43"/>
      <c r="L704" s="32" t="e">
        <f>DATE(YEAR(K704),MONTH(K704)+VLOOKUP($F702,'[1]Membership Level'!$A$3:$B$15,2,FALSE),DAY(K704))</f>
        <v>#N/A</v>
      </c>
      <c r="M704" s="36"/>
      <c r="N704" s="34" t="e">
        <f>IF($L704&lt;&gt;0,DATE(YEAR($L704),MONTH($L704)-#REF!,DAY($L704)-$M704),"")</f>
        <v>#N/A</v>
      </c>
      <c r="O704" s="33" t="e">
        <f t="shared" ca="1" si="14"/>
        <v>#N/A</v>
      </c>
      <c r="P704" s="34" t="e">
        <f>I704/H704*VLOOKUP(F702,'[1]Membership Level'!$A$3:$C$15,3,FALSE)+K704</f>
        <v>#DIV/0!</v>
      </c>
      <c r="Q704" s="36"/>
    </row>
    <row r="705" spans="3:17" x14ac:dyDescent="0.25">
      <c r="C705" s="36"/>
      <c r="D705" s="36"/>
      <c r="E705" s="35"/>
      <c r="F705" s="36"/>
      <c r="G705" s="36"/>
      <c r="H705" s="30"/>
      <c r="I705" s="30"/>
      <c r="J705" s="31"/>
      <c r="K705" s="43"/>
      <c r="L705" s="32" t="e">
        <f>DATE(YEAR(K705),MONTH(K705)+VLOOKUP($F703,'[1]Membership Level'!$A$3:$B$15,2,FALSE),DAY(K705))</f>
        <v>#N/A</v>
      </c>
      <c r="M705" s="36"/>
      <c r="N705" s="34" t="e">
        <f>IF($L705&lt;&gt;0,DATE(YEAR($L705),MONTH($L705)-#REF!,DAY($L705)-$M705),"")</f>
        <v>#N/A</v>
      </c>
      <c r="O705" s="33" t="e">
        <f t="shared" ca="1" si="14"/>
        <v>#N/A</v>
      </c>
      <c r="P705" s="34" t="e">
        <f>I705/H705*VLOOKUP(F703,'[1]Membership Level'!$A$3:$C$15,3,FALSE)+K705</f>
        <v>#DIV/0!</v>
      </c>
      <c r="Q705" s="36"/>
    </row>
    <row r="706" spans="3:17" x14ac:dyDescent="0.25">
      <c r="C706" s="36"/>
      <c r="D706" s="36"/>
      <c r="E706" s="35"/>
      <c r="F706" s="36"/>
      <c r="G706" s="36"/>
      <c r="H706" s="30"/>
      <c r="I706" s="30"/>
      <c r="J706" s="31"/>
      <c r="K706" s="43"/>
      <c r="L706" s="32" t="e">
        <f>DATE(YEAR(K706),MONTH(K706)+VLOOKUP($F704,'[1]Membership Level'!$A$3:$B$15,2,FALSE),DAY(K706))</f>
        <v>#N/A</v>
      </c>
      <c r="M706" s="36"/>
      <c r="N706" s="34" t="e">
        <f>IF($L706&lt;&gt;0,DATE(YEAR($L706),MONTH($L706)-#REF!,DAY($L706)-$M706),"")</f>
        <v>#N/A</v>
      </c>
      <c r="O706" s="33" t="e">
        <f t="shared" ca="1" si="14"/>
        <v>#N/A</v>
      </c>
      <c r="P706" s="34" t="e">
        <f>I706/H706*VLOOKUP(F704,'[1]Membership Level'!$A$3:$C$15,3,FALSE)+K706</f>
        <v>#DIV/0!</v>
      </c>
      <c r="Q706" s="36"/>
    </row>
    <row r="707" spans="3:17" x14ac:dyDescent="0.25">
      <c r="C707" s="36"/>
      <c r="D707" s="36"/>
      <c r="E707" s="35"/>
      <c r="F707" s="36"/>
      <c r="G707" s="36"/>
      <c r="H707" s="30"/>
      <c r="I707" s="30"/>
      <c r="J707" s="31"/>
      <c r="K707" s="43"/>
      <c r="L707" s="32" t="e">
        <f>DATE(YEAR(K707),MONTH(K707)+VLOOKUP($F705,'[1]Membership Level'!$A$3:$B$15,2,FALSE),DAY(K707))</f>
        <v>#N/A</v>
      </c>
      <c r="M707" s="36"/>
      <c r="N707" s="34" t="e">
        <f>IF($L707&lt;&gt;0,DATE(YEAR($L707),MONTH($L707)-#REF!,DAY($L707)-$M707),"")</f>
        <v>#N/A</v>
      </c>
      <c r="O707" s="33" t="e">
        <f t="shared" ca="1" si="14"/>
        <v>#N/A</v>
      </c>
      <c r="P707" s="34" t="e">
        <f>I707/H707*VLOOKUP(F705,'[1]Membership Level'!$A$3:$C$15,3,FALSE)+K707</f>
        <v>#DIV/0!</v>
      </c>
      <c r="Q707" s="36"/>
    </row>
    <row r="708" spans="3:17" x14ac:dyDescent="0.25">
      <c r="C708" s="36"/>
      <c r="D708" s="36"/>
      <c r="E708" s="35"/>
      <c r="F708" s="36"/>
      <c r="G708" s="36"/>
      <c r="H708" s="30"/>
      <c r="I708" s="30"/>
      <c r="J708" s="31"/>
      <c r="K708" s="43"/>
      <c r="L708" s="32" t="e">
        <f>DATE(YEAR(K708),MONTH(K708)+VLOOKUP($F706,'[1]Membership Level'!$A$3:$B$15,2,FALSE),DAY(K708))</f>
        <v>#N/A</v>
      </c>
      <c r="M708" s="36"/>
      <c r="N708" s="34" t="e">
        <f>IF($L708&lt;&gt;0,DATE(YEAR($L708),MONTH($L708)-#REF!,DAY($L708)-$M708),"")</f>
        <v>#N/A</v>
      </c>
      <c r="O708" s="33" t="e">
        <f t="shared" ca="1" si="14"/>
        <v>#N/A</v>
      </c>
      <c r="P708" s="34" t="e">
        <f>I708/H708*VLOOKUP(F706,'[1]Membership Level'!$A$3:$C$15,3,FALSE)+K708</f>
        <v>#DIV/0!</v>
      </c>
      <c r="Q708" s="36"/>
    </row>
    <row r="709" spans="3:17" x14ac:dyDescent="0.25">
      <c r="C709" s="36"/>
      <c r="D709" s="36"/>
      <c r="E709" s="35"/>
      <c r="F709" s="36"/>
      <c r="G709" s="36"/>
      <c r="H709" s="30"/>
      <c r="I709" s="30"/>
      <c r="J709" s="31"/>
      <c r="K709" s="43"/>
      <c r="L709" s="32" t="e">
        <f>DATE(YEAR(K709),MONTH(K709)+VLOOKUP($F707,'[1]Membership Level'!$A$3:$B$15,2,FALSE),DAY(K709))</f>
        <v>#N/A</v>
      </c>
      <c r="M709" s="36"/>
      <c r="N709" s="34" t="e">
        <f>IF($L709&lt;&gt;0,DATE(YEAR($L709),MONTH($L709)-#REF!,DAY($L709)-$M709),"")</f>
        <v>#N/A</v>
      </c>
      <c r="O709" s="33" t="e">
        <f t="shared" ca="1" si="14"/>
        <v>#N/A</v>
      </c>
      <c r="P709" s="34" t="e">
        <f>I709/H709*VLOOKUP(F707,'[1]Membership Level'!$A$3:$C$15,3,FALSE)+K709</f>
        <v>#DIV/0!</v>
      </c>
      <c r="Q709" s="36"/>
    </row>
    <row r="710" spans="3:17" x14ac:dyDescent="0.25">
      <c r="C710" s="36"/>
      <c r="D710" s="36"/>
      <c r="E710" s="35"/>
      <c r="F710" s="36"/>
      <c r="G710" s="36"/>
      <c r="H710" s="30"/>
      <c r="I710" s="30"/>
      <c r="J710" s="31"/>
      <c r="K710" s="43"/>
      <c r="L710" s="32" t="e">
        <f>DATE(YEAR(K710),MONTH(K710)+VLOOKUP($F708,'[1]Membership Level'!$A$3:$B$15,2,FALSE),DAY(K710))</f>
        <v>#N/A</v>
      </c>
      <c r="M710" s="36"/>
      <c r="N710" s="34" t="e">
        <f>IF($L710&lt;&gt;0,DATE(YEAR($L710),MONTH($L710)-#REF!,DAY($L710)-$M710),"")</f>
        <v>#N/A</v>
      </c>
      <c r="O710" s="33" t="e">
        <f t="shared" ca="1" si="14"/>
        <v>#N/A</v>
      </c>
      <c r="P710" s="34" t="e">
        <f>I710/H710*VLOOKUP(F708,'[1]Membership Level'!$A$3:$C$15,3,FALSE)+K710</f>
        <v>#DIV/0!</v>
      </c>
      <c r="Q710" s="36"/>
    </row>
    <row r="711" spans="3:17" x14ac:dyDescent="0.25">
      <c r="C711" s="36"/>
      <c r="D711" s="36"/>
      <c r="E711" s="35"/>
      <c r="F711" s="36"/>
      <c r="G711" s="36"/>
      <c r="H711" s="30"/>
      <c r="I711" s="30"/>
      <c r="J711" s="31"/>
      <c r="K711" s="43"/>
      <c r="L711" s="32" t="e">
        <f>DATE(YEAR(K711),MONTH(K711)+VLOOKUP($F709,'[1]Membership Level'!$A$3:$B$15,2,FALSE),DAY(K711))</f>
        <v>#N/A</v>
      </c>
      <c r="M711" s="36"/>
      <c r="N711" s="34" t="e">
        <f>IF($L711&lt;&gt;0,DATE(YEAR($L711),MONTH($L711)-#REF!,DAY($L711)-$M711),"")</f>
        <v>#N/A</v>
      </c>
      <c r="O711" s="33" t="e">
        <f t="shared" ca="1" si="14"/>
        <v>#N/A</v>
      </c>
      <c r="P711" s="34" t="e">
        <f>I711/H711*VLOOKUP(F709,'[1]Membership Level'!$A$3:$C$15,3,FALSE)+K711</f>
        <v>#DIV/0!</v>
      </c>
      <c r="Q711" s="36"/>
    </row>
    <row r="712" spans="3:17" x14ac:dyDescent="0.25">
      <c r="C712" s="36"/>
      <c r="D712" s="36"/>
      <c r="E712" s="35"/>
      <c r="F712" s="36"/>
      <c r="G712" s="36"/>
      <c r="H712" s="30"/>
      <c r="I712" s="30"/>
      <c r="J712" s="31"/>
      <c r="K712" s="43"/>
      <c r="L712" s="32" t="e">
        <f>DATE(YEAR(K712),MONTH(K712)+VLOOKUP($F710,'[1]Membership Level'!$A$3:$B$15,2,FALSE),DAY(K712))</f>
        <v>#N/A</v>
      </c>
      <c r="M712" s="36"/>
      <c r="N712" s="34" t="e">
        <f>IF($L712&lt;&gt;0,DATE(YEAR($L712),MONTH($L712)-#REF!,DAY($L712)-$M712),"")</f>
        <v>#N/A</v>
      </c>
      <c r="O712" s="33" t="e">
        <f t="shared" ca="1" si="14"/>
        <v>#N/A</v>
      </c>
      <c r="P712" s="34" t="e">
        <f>I712/H712*VLOOKUP(F710,'[1]Membership Level'!$A$3:$C$15,3,FALSE)+K712</f>
        <v>#DIV/0!</v>
      </c>
      <c r="Q712" s="36"/>
    </row>
    <row r="713" spans="3:17" x14ac:dyDescent="0.25">
      <c r="C713" s="36"/>
      <c r="D713" s="36"/>
      <c r="E713" s="35"/>
      <c r="F713" s="36"/>
      <c r="G713" s="36"/>
      <c r="H713" s="30"/>
      <c r="I713" s="30"/>
      <c r="J713" s="31"/>
      <c r="K713" s="43"/>
      <c r="L713" s="32" t="e">
        <f>DATE(YEAR(K713),MONTH(K713)+VLOOKUP($F711,'[1]Membership Level'!$A$3:$B$15,2,FALSE),DAY(K713))</f>
        <v>#N/A</v>
      </c>
      <c r="M713" s="36"/>
      <c r="N713" s="34" t="e">
        <f>IF($L713&lt;&gt;0,DATE(YEAR($L713),MONTH($L713)-#REF!,DAY($L713)-$M713),"")</f>
        <v>#N/A</v>
      </c>
      <c r="O713" s="33" t="e">
        <f t="shared" ca="1" si="14"/>
        <v>#N/A</v>
      </c>
      <c r="P713" s="34" t="e">
        <f>I713/H713*VLOOKUP(F711,'[1]Membership Level'!$A$3:$C$15,3,FALSE)+K713</f>
        <v>#DIV/0!</v>
      </c>
      <c r="Q713" s="36"/>
    </row>
    <row r="714" spans="3:17" x14ac:dyDescent="0.25">
      <c r="C714" s="36"/>
      <c r="D714" s="36"/>
      <c r="E714" s="35"/>
      <c r="F714" s="36"/>
      <c r="G714" s="36"/>
      <c r="H714" s="30"/>
      <c r="I714" s="30"/>
      <c r="J714" s="31"/>
      <c r="K714" s="43"/>
      <c r="L714" s="32" t="e">
        <f>DATE(YEAR(K714),MONTH(K714)+VLOOKUP($F712,'[1]Membership Level'!$A$3:$B$15,2,FALSE),DAY(K714))</f>
        <v>#N/A</v>
      </c>
      <c r="M714" s="36"/>
      <c r="N714" s="34" t="e">
        <f>IF($L714&lt;&gt;0,DATE(YEAR($L714),MONTH($L714)-#REF!,DAY($L714)-$M714),"")</f>
        <v>#N/A</v>
      </c>
      <c r="O714" s="33" t="e">
        <f t="shared" ca="1" si="14"/>
        <v>#N/A</v>
      </c>
      <c r="P714" s="34" t="e">
        <f>I714/H714*VLOOKUP(F712,'[1]Membership Level'!$A$3:$C$15,3,FALSE)+K714</f>
        <v>#DIV/0!</v>
      </c>
      <c r="Q714" s="36"/>
    </row>
    <row r="715" spans="3:17" x14ac:dyDescent="0.25">
      <c r="C715" s="36"/>
      <c r="D715" s="36"/>
      <c r="E715" s="66"/>
      <c r="F715" s="36"/>
      <c r="G715" s="36"/>
      <c r="H715" s="30"/>
      <c r="I715" s="30"/>
      <c r="J715" s="31"/>
      <c r="K715" s="43"/>
      <c r="L715" s="32" t="e">
        <f>DATE(YEAR(K715),MONTH(K715)+VLOOKUP($F713,'[1]Membership Level'!$A$3:$B$15,2,FALSE),DAY(K715))</f>
        <v>#N/A</v>
      </c>
      <c r="M715" s="36"/>
      <c r="N715" s="34" t="e">
        <f>IF($L715&lt;&gt;0,DATE(YEAR($L715),MONTH($L715)-#REF!,DAY($L715)-$M715),"")</f>
        <v>#N/A</v>
      </c>
      <c r="O715" s="33" t="e">
        <f t="shared" ca="1" si="14"/>
        <v>#N/A</v>
      </c>
      <c r="P715" s="34" t="e">
        <f>I715/H715*VLOOKUP(F713,'[1]Membership Level'!$A$3:$C$15,3,FALSE)+K715</f>
        <v>#DIV/0!</v>
      </c>
      <c r="Q715" s="36"/>
    </row>
    <row r="716" spans="3:17" x14ac:dyDescent="0.25">
      <c r="C716" s="36"/>
      <c r="D716" s="36"/>
      <c r="E716" s="66"/>
      <c r="F716" s="36"/>
      <c r="G716" s="36"/>
      <c r="H716" s="30"/>
      <c r="I716" s="30"/>
      <c r="J716" s="31"/>
      <c r="K716" s="43"/>
      <c r="L716" s="32" t="e">
        <f>DATE(YEAR(K716),MONTH(K716)+VLOOKUP($F714,'[1]Membership Level'!$A$3:$B$15,2,FALSE),DAY(K716))</f>
        <v>#N/A</v>
      </c>
      <c r="M716" s="36"/>
      <c r="N716" s="34" t="e">
        <f>IF($L716&lt;&gt;0,DATE(YEAR($L716),MONTH($L716)-#REF!,DAY($L716)-$M716),"")</f>
        <v>#N/A</v>
      </c>
      <c r="O716" s="33" t="e">
        <f t="shared" ca="1" si="14"/>
        <v>#N/A</v>
      </c>
      <c r="P716" s="34" t="e">
        <f>I716/H716*VLOOKUP(F714,'[1]Membership Level'!$A$3:$C$15,3,FALSE)+K716</f>
        <v>#DIV/0!</v>
      </c>
      <c r="Q716" s="36"/>
    </row>
    <row r="717" spans="3:17" x14ac:dyDescent="0.25">
      <c r="C717" s="36"/>
      <c r="D717" s="36"/>
      <c r="E717" s="66"/>
      <c r="F717" s="36"/>
      <c r="G717" s="36"/>
      <c r="H717" s="30"/>
      <c r="I717" s="30"/>
      <c r="J717" s="31"/>
      <c r="K717" s="43"/>
      <c r="L717" s="32" t="e">
        <f>DATE(YEAR(K717),MONTH(K717)+VLOOKUP($F715,'[1]Membership Level'!$A$3:$B$15,2,FALSE),DAY(K717))</f>
        <v>#N/A</v>
      </c>
      <c r="M717" s="36"/>
      <c r="N717" s="34" t="e">
        <f>IF($L717&lt;&gt;0,DATE(YEAR($L717),MONTH($L717)-#REF!,DAY($L717)-$M717),"")</f>
        <v>#N/A</v>
      </c>
      <c r="O717" s="33" t="e">
        <f t="shared" ca="1" si="14"/>
        <v>#N/A</v>
      </c>
      <c r="P717" s="34" t="e">
        <f>I717/H717*VLOOKUP(F715,'[1]Membership Level'!$A$3:$C$15,3,FALSE)+K717</f>
        <v>#DIV/0!</v>
      </c>
      <c r="Q717" s="36"/>
    </row>
    <row r="718" spans="3:17" x14ac:dyDescent="0.25">
      <c r="C718" s="36"/>
      <c r="D718" s="36"/>
      <c r="E718" s="35"/>
      <c r="F718" s="36"/>
      <c r="G718" s="36"/>
      <c r="H718" s="30"/>
      <c r="I718" s="30"/>
      <c r="J718" s="31"/>
      <c r="K718" s="43"/>
      <c r="L718" s="32" t="e">
        <f>DATE(YEAR(K718),MONTH(K718)+VLOOKUP($F716,'[1]Membership Level'!$A$3:$B$15,2,FALSE),DAY(K718))</f>
        <v>#N/A</v>
      </c>
      <c r="M718" s="36"/>
      <c r="N718" s="34" t="e">
        <f>IF($L718&lt;&gt;0,DATE(YEAR($L718),MONTH($L718)-#REF!,DAY($L718)-$M718),"")</f>
        <v>#N/A</v>
      </c>
      <c r="O718" s="33" t="e">
        <f t="shared" ca="1" si="14"/>
        <v>#N/A</v>
      </c>
      <c r="P718" s="34" t="e">
        <f>I718/H718*VLOOKUP(F716,'[1]Membership Level'!$A$3:$C$15,3,FALSE)+K718</f>
        <v>#DIV/0!</v>
      </c>
      <c r="Q718" s="36"/>
    </row>
    <row r="719" spans="3:17" x14ac:dyDescent="0.25">
      <c r="C719" s="36"/>
      <c r="D719" s="36"/>
      <c r="E719" s="35"/>
      <c r="F719" s="33"/>
      <c r="G719" s="36"/>
      <c r="H719" s="30"/>
      <c r="I719" s="30"/>
      <c r="J719" s="31"/>
      <c r="K719" s="43"/>
      <c r="L719" s="32" t="e">
        <f>DATE(YEAR(K719),MONTH(K719)+VLOOKUP($F717,'[1]Membership Level'!$A$3:$B$15,2,FALSE),DAY(K719))</f>
        <v>#N/A</v>
      </c>
      <c r="M719" s="36"/>
      <c r="N719" s="34" t="e">
        <f>IF($L719&lt;&gt;0,DATE(YEAR($L719),MONTH($L719)-#REF!,DAY($L719)-$M719),"")</f>
        <v>#N/A</v>
      </c>
      <c r="O719" s="33" t="e">
        <f t="shared" ca="1" si="14"/>
        <v>#N/A</v>
      </c>
      <c r="P719" s="34" t="e">
        <f>I719/H719*VLOOKUP(F717,'[1]Membership Level'!$A$3:$C$15,3,FALSE)+K719</f>
        <v>#DIV/0!</v>
      </c>
      <c r="Q719" s="36"/>
    </row>
    <row r="720" spans="3:17" x14ac:dyDescent="0.25">
      <c r="C720" s="36"/>
      <c r="D720" s="36"/>
      <c r="E720" s="66"/>
      <c r="F720" s="36"/>
      <c r="G720" s="36"/>
      <c r="H720" s="30"/>
      <c r="I720" s="30"/>
      <c r="J720" s="31"/>
      <c r="K720" s="43"/>
      <c r="L720" s="32" t="e">
        <f>DATE(YEAR(K720),MONTH(K720)+VLOOKUP($F718,'[1]Membership Level'!$A$3:$B$15,2,FALSE),DAY(K720))</f>
        <v>#N/A</v>
      </c>
      <c r="M720" s="36"/>
      <c r="N720" s="34" t="e">
        <f>IF($L720&lt;&gt;0,DATE(YEAR($L720),MONTH($L720)-#REF!,DAY($L720)-$M720),"")</f>
        <v>#N/A</v>
      </c>
      <c r="O720" s="33" t="e">
        <f t="shared" ca="1" si="14"/>
        <v>#N/A</v>
      </c>
      <c r="P720" s="34" t="e">
        <f>I720/H720*VLOOKUP(F718,'[1]Membership Level'!$A$3:$C$15,3,FALSE)+K720</f>
        <v>#DIV/0!</v>
      </c>
      <c r="Q720" s="36"/>
    </row>
    <row r="721" spans="3:17" s="22" customFormat="1" x14ac:dyDescent="0.25">
      <c r="C721" s="33"/>
      <c r="D721" s="33"/>
      <c r="E721" s="35"/>
      <c r="F721" s="36"/>
      <c r="G721" s="33"/>
      <c r="H721" s="44"/>
      <c r="I721" s="44"/>
      <c r="J721" s="31"/>
      <c r="K721" s="32"/>
      <c r="L721" s="32" t="e">
        <f>DATE(YEAR(K721),MONTH(K721)+VLOOKUP($F719,'[1]Membership Level'!$A$3:$B$15,2,FALSE),DAY(K721))</f>
        <v>#N/A</v>
      </c>
      <c r="M721" s="33"/>
      <c r="N721" s="34" t="e">
        <f>IF($L721&lt;&gt;0,DATE(YEAR($L721),MONTH($L721)-#REF!,DAY($L721)-$M721),"")</f>
        <v>#N/A</v>
      </c>
      <c r="O721" s="33" t="e">
        <f t="shared" ca="1" si="14"/>
        <v>#N/A</v>
      </c>
      <c r="P721" s="34" t="e">
        <f>I721/H721*VLOOKUP(F719,'[1]Membership Level'!$A$3:$C$15,3,FALSE)+K721</f>
        <v>#DIV/0!</v>
      </c>
      <c r="Q721" s="33"/>
    </row>
    <row r="722" spans="3:17" x14ac:dyDescent="0.25">
      <c r="C722" s="36"/>
      <c r="D722" s="36"/>
      <c r="E722" s="35"/>
      <c r="F722" s="36"/>
      <c r="G722" s="36"/>
      <c r="H722" s="30"/>
      <c r="I722" s="30"/>
      <c r="J722" s="31"/>
      <c r="K722" s="43"/>
      <c r="L722" s="32" t="e">
        <f>DATE(YEAR(K722),MONTH(K722)+VLOOKUP($F720,'[1]Membership Level'!$A$3:$B$15,2,FALSE),DAY(K722))</f>
        <v>#N/A</v>
      </c>
      <c r="M722" s="36"/>
      <c r="N722" s="34" t="e">
        <f>IF($L722&lt;&gt;0,DATE(YEAR($L722),MONTH($L722)-#REF!,DAY($L722)-$M722),"")</f>
        <v>#N/A</v>
      </c>
      <c r="O722" s="33" t="e">
        <f t="shared" ca="1" si="14"/>
        <v>#N/A</v>
      </c>
      <c r="P722" s="34" t="e">
        <f>I722/H722*VLOOKUP(F720,'[1]Membership Level'!$A$3:$C$15,3,FALSE)+K722</f>
        <v>#DIV/0!</v>
      </c>
      <c r="Q722" s="36"/>
    </row>
    <row r="723" spans="3:17" x14ac:dyDescent="0.25">
      <c r="C723" s="36"/>
      <c r="D723" s="36"/>
      <c r="E723" s="35"/>
      <c r="F723" s="36"/>
      <c r="G723" s="36"/>
      <c r="H723" s="30"/>
      <c r="I723" s="30"/>
      <c r="J723" s="31"/>
      <c r="K723" s="43"/>
      <c r="L723" s="32" t="e">
        <f>DATE(YEAR(K723),MONTH(K723)+VLOOKUP($F721,'[1]Membership Level'!$A$3:$B$15,2,FALSE),DAY(K723))</f>
        <v>#N/A</v>
      </c>
      <c r="M723" s="36"/>
      <c r="N723" s="34" t="e">
        <f>IF($L723&lt;&gt;0,DATE(YEAR($L723),MONTH($L723)-#REF!,DAY($L723)-$M723),"")</f>
        <v>#N/A</v>
      </c>
      <c r="O723" s="33" t="e">
        <f t="shared" ca="1" si="14"/>
        <v>#N/A</v>
      </c>
      <c r="P723" s="34" t="e">
        <f>I723/H723*VLOOKUP(F721,'[1]Membership Level'!$A$3:$C$15,3,FALSE)+K723</f>
        <v>#DIV/0!</v>
      </c>
      <c r="Q723" s="36"/>
    </row>
    <row r="724" spans="3:17" x14ac:dyDescent="0.25">
      <c r="C724" s="36"/>
      <c r="D724" s="36"/>
      <c r="E724" s="35"/>
      <c r="F724" s="36"/>
      <c r="G724" s="36"/>
      <c r="H724" s="30"/>
      <c r="I724" s="30"/>
      <c r="J724" s="31"/>
      <c r="K724" s="43"/>
      <c r="L724" s="32" t="e">
        <f>DATE(YEAR(K724),MONTH(K724)+VLOOKUP($F722,'[1]Membership Level'!$A$3:$B$15,2,FALSE),DAY(K724))</f>
        <v>#N/A</v>
      </c>
      <c r="M724" s="36"/>
      <c r="N724" s="34" t="e">
        <f>IF($L724&lt;&gt;0,DATE(YEAR($L724),MONTH($L724)-#REF!,DAY($L724)-$M724),"")</f>
        <v>#N/A</v>
      </c>
      <c r="O724" s="33" t="e">
        <f t="shared" ca="1" si="14"/>
        <v>#N/A</v>
      </c>
      <c r="P724" s="34" t="e">
        <f>I724/H724*VLOOKUP(F722,'[1]Membership Level'!$A$3:$C$15,3,FALSE)+K724</f>
        <v>#DIV/0!</v>
      </c>
      <c r="Q724" s="36"/>
    </row>
    <row r="725" spans="3:17" x14ac:dyDescent="0.25">
      <c r="C725" s="36"/>
      <c r="D725" s="36"/>
      <c r="E725" s="66"/>
      <c r="F725" s="36"/>
      <c r="G725" s="36"/>
      <c r="H725" s="30"/>
      <c r="I725" s="30"/>
      <c r="J725" s="31"/>
      <c r="K725" s="43"/>
      <c r="L725" s="32" t="e">
        <f>DATE(YEAR(K725),MONTH(K725)+VLOOKUP($F723,'[1]Membership Level'!$A$3:$B$15,2,FALSE),DAY(K725))</f>
        <v>#N/A</v>
      </c>
      <c r="M725" s="36"/>
      <c r="N725" s="34" t="e">
        <f>IF($L725&lt;&gt;0,DATE(YEAR($L725),MONTH($L725)-#REF!,DAY($L725)-$M725),"")</f>
        <v>#N/A</v>
      </c>
      <c r="O725" s="33" t="e">
        <f t="shared" ca="1" si="14"/>
        <v>#N/A</v>
      </c>
      <c r="P725" s="34" t="e">
        <f>I725/H725*VLOOKUP(F723,'[1]Membership Level'!$A$3:$C$15,3,FALSE)+K725</f>
        <v>#DIV/0!</v>
      </c>
      <c r="Q725" s="36"/>
    </row>
    <row r="726" spans="3:17" x14ac:dyDescent="0.25">
      <c r="C726" s="36"/>
      <c r="D726" s="36"/>
      <c r="E726" s="66"/>
      <c r="F726" s="36"/>
      <c r="G726" s="36"/>
      <c r="H726" s="30"/>
      <c r="I726" s="30"/>
      <c r="J726" s="31"/>
      <c r="K726" s="43"/>
      <c r="L726" s="32" t="e">
        <f>DATE(YEAR(K726),MONTH(K726)+VLOOKUP($F724,'[1]Membership Level'!$A$3:$B$15,2,FALSE),DAY(K726))</f>
        <v>#N/A</v>
      </c>
      <c r="M726" s="36"/>
      <c r="N726" s="34" t="e">
        <f>IF($L726&lt;&gt;0,DATE(YEAR($L726),MONTH($L726)-#REF!,DAY($L726)-$M726),"")</f>
        <v>#N/A</v>
      </c>
      <c r="O726" s="33" t="e">
        <f t="shared" ca="1" si="14"/>
        <v>#N/A</v>
      </c>
      <c r="P726" s="34" t="e">
        <f>I726/H726*VLOOKUP(F724,'[1]Membership Level'!$A$3:$C$15,3,FALSE)+K726</f>
        <v>#DIV/0!</v>
      </c>
      <c r="Q726" s="36"/>
    </row>
    <row r="727" spans="3:17" x14ac:dyDescent="0.25">
      <c r="C727" s="36"/>
      <c r="D727" s="36"/>
      <c r="E727" s="35"/>
      <c r="F727" s="36"/>
      <c r="G727" s="36"/>
      <c r="H727" s="30"/>
      <c r="I727" s="30"/>
      <c r="J727" s="31"/>
      <c r="K727" s="43"/>
      <c r="L727" s="32" t="e">
        <f>DATE(YEAR(K727),MONTH(K727)+VLOOKUP($F725,'[1]Membership Level'!$A$3:$B$15,2,FALSE),DAY(K727))</f>
        <v>#N/A</v>
      </c>
      <c r="M727" s="36"/>
      <c r="N727" s="34" t="e">
        <f>IF($L727&lt;&gt;0,DATE(YEAR($L727),MONTH($L727)-#REF!,DAY($L727)-$M727),"")</f>
        <v>#N/A</v>
      </c>
      <c r="O727" s="33" t="e">
        <f t="shared" ca="1" si="14"/>
        <v>#N/A</v>
      </c>
      <c r="P727" s="34" t="e">
        <f>I727/H727*VLOOKUP(F725,'[1]Membership Level'!$A$3:$C$15,3,FALSE)+K727</f>
        <v>#DIV/0!</v>
      </c>
      <c r="Q727" s="36"/>
    </row>
    <row r="728" spans="3:17" x14ac:dyDescent="0.25">
      <c r="C728" s="36"/>
      <c r="D728" s="36"/>
      <c r="E728" s="35"/>
      <c r="F728" s="36"/>
      <c r="G728" s="36"/>
      <c r="H728" s="30"/>
      <c r="I728" s="30"/>
      <c r="J728" s="31"/>
      <c r="K728" s="43"/>
      <c r="L728" s="32" t="e">
        <f>DATE(YEAR(K728),MONTH(K728)+VLOOKUP($F726,'[1]Membership Level'!$A$3:$B$15,2,FALSE),DAY(K728))</f>
        <v>#N/A</v>
      </c>
      <c r="M728" s="36"/>
      <c r="N728" s="34" t="e">
        <f>IF($L728&lt;&gt;0,DATE(YEAR($L728),MONTH($L728)-#REF!,DAY($L728)-$M728),"")</f>
        <v>#N/A</v>
      </c>
      <c r="O728" s="33" t="e">
        <f t="shared" ca="1" si="14"/>
        <v>#N/A</v>
      </c>
      <c r="P728" s="34" t="e">
        <f>I728/H728*VLOOKUP(F726,'[1]Membership Level'!$A$3:$C$15,3,FALSE)+K728</f>
        <v>#DIV/0!</v>
      </c>
      <c r="Q728" s="36"/>
    </row>
    <row r="729" spans="3:17" x14ac:dyDescent="0.25">
      <c r="C729" s="36"/>
      <c r="D729" s="36"/>
      <c r="E729" s="35"/>
      <c r="F729" s="33"/>
      <c r="G729" s="36"/>
      <c r="H729" s="30"/>
      <c r="I729" s="30"/>
      <c r="J729" s="31"/>
      <c r="K729" s="43"/>
      <c r="L729" s="32" t="e">
        <f>DATE(YEAR(K729),MONTH(K729)+VLOOKUP($F727,'[1]Membership Level'!$A$3:$B$15,2,FALSE),DAY(K729))</f>
        <v>#N/A</v>
      </c>
      <c r="M729" s="36"/>
      <c r="N729" s="34" t="e">
        <f>IF($L729&lt;&gt;0,DATE(YEAR($L729),MONTH($L729)-#REF!,DAY($L729)-$M729),"")</f>
        <v>#N/A</v>
      </c>
      <c r="O729" s="33" t="e">
        <f t="shared" ca="1" si="14"/>
        <v>#N/A</v>
      </c>
      <c r="P729" s="34" t="e">
        <f>I729/H729*VLOOKUP(F727,'[1]Membership Level'!$A$3:$C$15,3,FALSE)+K729</f>
        <v>#DIV/0!</v>
      </c>
      <c r="Q729" s="36"/>
    </row>
    <row r="730" spans="3:17" x14ac:dyDescent="0.25">
      <c r="C730" s="36"/>
      <c r="D730" s="36"/>
      <c r="E730" s="66"/>
      <c r="F730" s="36"/>
      <c r="G730" s="36"/>
      <c r="H730" s="30"/>
      <c r="I730" s="30"/>
      <c r="J730" s="31"/>
      <c r="K730" s="43"/>
      <c r="L730" s="32" t="e">
        <f>DATE(YEAR(K730),MONTH(K730)+VLOOKUP($F728,'[1]Membership Level'!$A$3:$B$15,2,FALSE),DAY(K730))</f>
        <v>#N/A</v>
      </c>
      <c r="M730" s="36"/>
      <c r="N730" s="34" t="e">
        <f>IF($L730&lt;&gt;0,DATE(YEAR($L730),MONTH($L730)-#REF!,DAY($L730)-$M730),"")</f>
        <v>#N/A</v>
      </c>
      <c r="O730" s="33" t="e">
        <f t="shared" ca="1" si="14"/>
        <v>#N/A</v>
      </c>
      <c r="P730" s="34" t="e">
        <f>I730/H730*VLOOKUP(F728,'[1]Membership Level'!$A$3:$C$15,3,FALSE)+K730</f>
        <v>#DIV/0!</v>
      </c>
      <c r="Q730" s="36"/>
    </row>
    <row r="731" spans="3:17" s="22" customFormat="1" x14ac:dyDescent="0.25">
      <c r="C731" s="33"/>
      <c r="D731" s="33"/>
      <c r="E731" s="66"/>
      <c r="F731" s="36"/>
      <c r="G731" s="33"/>
      <c r="H731" s="44"/>
      <c r="I731" s="44"/>
      <c r="J731" s="31"/>
      <c r="K731" s="32"/>
      <c r="L731" s="32" t="e">
        <f>DATE(YEAR(K731),MONTH(K731)+VLOOKUP($F729,'[1]Membership Level'!$A$3:$B$15,2,FALSE),DAY(K731))</f>
        <v>#N/A</v>
      </c>
      <c r="M731" s="33"/>
      <c r="N731" s="34" t="e">
        <f>IF($L731&lt;&gt;0,DATE(YEAR($L731),MONTH($L731)-#REF!,DAY($L731)-$M731),"")</f>
        <v>#N/A</v>
      </c>
      <c r="O731" s="33" t="e">
        <f t="shared" ca="1" si="14"/>
        <v>#N/A</v>
      </c>
      <c r="P731" s="34" t="e">
        <f>I731/H731*VLOOKUP(F729,'[1]Membership Level'!$A$3:$C$15,3,FALSE)+K731</f>
        <v>#DIV/0!</v>
      </c>
      <c r="Q731" s="33"/>
    </row>
    <row r="732" spans="3:17" x14ac:dyDescent="0.25">
      <c r="C732" s="36"/>
      <c r="D732" s="36"/>
      <c r="E732" s="66"/>
      <c r="F732" s="36"/>
      <c r="G732" s="36"/>
      <c r="H732" s="30"/>
      <c r="I732" s="30"/>
      <c r="J732" s="31"/>
      <c r="K732" s="43"/>
      <c r="L732" s="32" t="e">
        <f>DATE(YEAR(K732),MONTH(K732)+VLOOKUP($F730,'[1]Membership Level'!$A$3:$B$15,2,FALSE),DAY(K732))</f>
        <v>#N/A</v>
      </c>
      <c r="M732" s="36"/>
      <c r="N732" s="34" t="e">
        <f>IF($L732&lt;&gt;0,DATE(YEAR($L732),MONTH($L732)-#REF!,DAY($L732)-$M732),"")</f>
        <v>#N/A</v>
      </c>
      <c r="O732" s="33" t="e">
        <f t="shared" ca="1" si="14"/>
        <v>#N/A</v>
      </c>
      <c r="P732" s="34" t="e">
        <f>I732/H732*VLOOKUP(F730,'[1]Membership Level'!$A$3:$C$15,3,FALSE)+K732</f>
        <v>#DIV/0!</v>
      </c>
      <c r="Q732" s="36"/>
    </row>
    <row r="733" spans="3:17" x14ac:dyDescent="0.25">
      <c r="C733" s="36"/>
      <c r="D733" s="36"/>
      <c r="E733" s="66"/>
      <c r="F733" s="36"/>
      <c r="G733" s="36"/>
      <c r="H733" s="30"/>
      <c r="I733" s="30"/>
      <c r="J733" s="31"/>
      <c r="K733" s="43"/>
      <c r="L733" s="32" t="e">
        <f>DATE(YEAR(K733),MONTH(K733)+VLOOKUP($F731,'[1]Membership Level'!$A$3:$B$15,2,FALSE),DAY(K733))</f>
        <v>#N/A</v>
      </c>
      <c r="M733" s="36"/>
      <c r="N733" s="34" t="e">
        <f>IF($L733&lt;&gt;0,DATE(YEAR($L733),MONTH($L733)-#REF!,DAY($L733)-$M733),"")</f>
        <v>#N/A</v>
      </c>
      <c r="O733" s="33" t="e">
        <f t="shared" ca="1" si="14"/>
        <v>#N/A</v>
      </c>
      <c r="P733" s="34" t="e">
        <f>I733/H733*VLOOKUP(F731,'[1]Membership Level'!$A$3:$C$15,3,FALSE)+K733</f>
        <v>#DIV/0!</v>
      </c>
      <c r="Q733" s="36"/>
    </row>
    <row r="734" spans="3:17" x14ac:dyDescent="0.25">
      <c r="C734" s="36"/>
      <c r="D734" s="36"/>
      <c r="E734" s="66"/>
      <c r="F734" s="36"/>
      <c r="G734" s="36"/>
      <c r="H734" s="30"/>
      <c r="I734" s="30"/>
      <c r="J734" s="31"/>
      <c r="K734" s="43"/>
      <c r="L734" s="32" t="e">
        <f>DATE(YEAR(K734),MONTH(K734)+VLOOKUP($F732,'[1]Membership Level'!$A$3:$B$15,2,FALSE),DAY(K734))</f>
        <v>#N/A</v>
      </c>
      <c r="M734" s="36"/>
      <c r="N734" s="34" t="e">
        <f>IF($L734&lt;&gt;0,DATE(YEAR($L734),MONTH($L734)-#REF!,DAY($L734)-$M734),"")</f>
        <v>#N/A</v>
      </c>
      <c r="O734" s="33" t="e">
        <f t="shared" ca="1" si="14"/>
        <v>#N/A</v>
      </c>
      <c r="P734" s="34" t="e">
        <f>I734/H734*VLOOKUP(F732,'[1]Membership Level'!$A$3:$C$15,3,FALSE)+K734</f>
        <v>#DIV/0!</v>
      </c>
      <c r="Q734" s="36"/>
    </row>
    <row r="735" spans="3:17" x14ac:dyDescent="0.25">
      <c r="C735" s="36"/>
      <c r="D735" s="36"/>
      <c r="E735" s="35"/>
      <c r="F735" s="36"/>
      <c r="G735" s="36"/>
      <c r="H735" s="30"/>
      <c r="I735" s="30"/>
      <c r="J735" s="31"/>
      <c r="K735" s="43"/>
      <c r="L735" s="32" t="e">
        <f>DATE(YEAR(K735),MONTH(K735)+VLOOKUP($F733,'[1]Membership Level'!$A$3:$B$15,2,FALSE),DAY(K735))</f>
        <v>#N/A</v>
      </c>
      <c r="M735" s="36"/>
      <c r="N735" s="34" t="e">
        <f>IF($L735&lt;&gt;0,DATE(YEAR($L735),MONTH($L735)-#REF!,DAY($L735)-$M735),"")</f>
        <v>#N/A</v>
      </c>
      <c r="O735" s="33" t="e">
        <f t="shared" ca="1" si="14"/>
        <v>#N/A</v>
      </c>
      <c r="P735" s="34" t="e">
        <f>I735/H735*VLOOKUP(F733,'[1]Membership Level'!$A$3:$C$15,3,FALSE)+K735</f>
        <v>#DIV/0!</v>
      </c>
      <c r="Q735" s="36"/>
    </row>
    <row r="736" spans="3:17" x14ac:dyDescent="0.25">
      <c r="C736" s="36"/>
      <c r="D736" s="36"/>
      <c r="E736" s="35"/>
      <c r="F736" s="36"/>
      <c r="G736" s="36"/>
      <c r="H736" s="30"/>
      <c r="I736" s="30"/>
      <c r="J736" s="31"/>
      <c r="K736" s="43"/>
      <c r="L736" s="32" t="e">
        <f>DATE(YEAR(K736),MONTH(K736)+VLOOKUP($F734,'[1]Membership Level'!$A$3:$B$15,2,FALSE),DAY(K736))</f>
        <v>#N/A</v>
      </c>
      <c r="M736" s="36"/>
      <c r="N736" s="34" t="e">
        <f>IF($L736&lt;&gt;0,DATE(YEAR($L736),MONTH($L736)-#REF!,DAY($L736)-$M736),"")</f>
        <v>#N/A</v>
      </c>
      <c r="O736" s="33" t="e">
        <f t="shared" ca="1" si="14"/>
        <v>#N/A</v>
      </c>
      <c r="P736" s="34" t="e">
        <f>I736/H736*VLOOKUP(F734,'[1]Membership Level'!$A$3:$C$15,3,FALSE)+K736</f>
        <v>#DIV/0!</v>
      </c>
      <c r="Q736" s="36"/>
    </row>
    <row r="737" spans="3:17" x14ac:dyDescent="0.25">
      <c r="C737" s="36"/>
      <c r="D737" s="36"/>
      <c r="E737" s="35"/>
      <c r="F737" s="33"/>
      <c r="G737" s="36"/>
      <c r="H737" s="30"/>
      <c r="I737" s="30"/>
      <c r="J737" s="31"/>
      <c r="K737" s="43"/>
      <c r="L737" s="32" t="e">
        <f>DATE(YEAR(K737),MONTH(K737)+VLOOKUP($F735,'[1]Membership Level'!$A$3:$B$15,2,FALSE),DAY(K737))</f>
        <v>#N/A</v>
      </c>
      <c r="M737" s="36"/>
      <c r="N737" s="34" t="e">
        <f>IF($L737&lt;&gt;0,DATE(YEAR($L737),MONTH($L737)-#REF!,DAY($L737)-$M737),"")</f>
        <v>#N/A</v>
      </c>
      <c r="O737" s="33" t="e">
        <f t="shared" ca="1" si="14"/>
        <v>#N/A</v>
      </c>
      <c r="P737" s="34" t="e">
        <f>I737/H737*VLOOKUP(F735,'[1]Membership Level'!$A$3:$C$15,3,FALSE)+K737</f>
        <v>#DIV/0!</v>
      </c>
      <c r="Q737" s="36"/>
    </row>
    <row r="738" spans="3:17" x14ac:dyDescent="0.25">
      <c r="C738" s="36"/>
      <c r="D738" s="36"/>
      <c r="E738" s="66"/>
      <c r="F738" s="36"/>
      <c r="G738" s="36"/>
      <c r="H738" s="30"/>
      <c r="I738" s="30"/>
      <c r="J738" s="31"/>
      <c r="K738" s="43"/>
      <c r="L738" s="32" t="e">
        <f>DATE(YEAR(K738),MONTH(K738)+VLOOKUP($F736,'[1]Membership Level'!$A$3:$B$15,2,FALSE),DAY(K738))</f>
        <v>#N/A</v>
      </c>
      <c r="M738" s="36"/>
      <c r="N738" s="34" t="e">
        <f>IF($L738&lt;&gt;0,DATE(YEAR($L738),MONTH($L738)-#REF!,DAY($L738)-$M738),"")</f>
        <v>#N/A</v>
      </c>
      <c r="O738" s="33" t="e">
        <f t="shared" ca="1" si="14"/>
        <v>#N/A</v>
      </c>
      <c r="P738" s="34" t="e">
        <f>I738/H738*VLOOKUP(F736,'[1]Membership Level'!$A$3:$C$15,3,FALSE)+K738</f>
        <v>#DIV/0!</v>
      </c>
      <c r="Q738" s="36"/>
    </row>
    <row r="739" spans="3:17" s="22" customFormat="1" x14ac:dyDescent="0.25">
      <c r="C739" s="33"/>
      <c r="D739" s="33"/>
      <c r="E739" s="35"/>
      <c r="F739" s="36"/>
      <c r="G739" s="33"/>
      <c r="H739" s="44"/>
      <c r="I739" s="44"/>
      <c r="J739" s="31"/>
      <c r="K739" s="32"/>
      <c r="L739" s="32" t="e">
        <f>DATE(YEAR(K739),MONTH(K739)+VLOOKUP($F737,'[1]Membership Level'!$A$3:$B$15,2,FALSE),DAY(K739))</f>
        <v>#N/A</v>
      </c>
      <c r="M739" s="33"/>
      <c r="N739" s="34" t="e">
        <f>IF($L739&lt;&gt;0,DATE(YEAR($L739),MONTH($L739)-#REF!,DAY($L739)-$M739),"")</f>
        <v>#N/A</v>
      </c>
      <c r="O739" s="33" t="e">
        <f t="shared" ca="1" si="14"/>
        <v>#N/A</v>
      </c>
      <c r="P739" s="34" t="e">
        <f>I739/H739*VLOOKUP(F737,'[1]Membership Level'!$A$3:$C$15,3,FALSE)+K739</f>
        <v>#DIV/0!</v>
      </c>
      <c r="Q739" s="33"/>
    </row>
    <row r="740" spans="3:17" x14ac:dyDescent="0.25">
      <c r="C740" s="36"/>
      <c r="D740" s="36"/>
      <c r="E740" s="35"/>
      <c r="F740" s="36"/>
      <c r="G740" s="36"/>
      <c r="H740" s="30"/>
      <c r="I740" s="30"/>
      <c r="J740" s="31"/>
      <c r="K740" s="43"/>
      <c r="L740" s="32" t="e">
        <f>DATE(YEAR(K740),MONTH(K740)+VLOOKUP($F738,'[1]Membership Level'!$A$3:$B$15,2,FALSE),DAY(K740))</f>
        <v>#N/A</v>
      </c>
      <c r="M740" s="36"/>
      <c r="N740" s="34" t="e">
        <f>IF($L740&lt;&gt;0,DATE(YEAR($L740),MONTH($L740)-#REF!,DAY($L740)-$M740),"")</f>
        <v>#N/A</v>
      </c>
      <c r="O740" s="33" t="e">
        <f t="shared" ca="1" si="14"/>
        <v>#N/A</v>
      </c>
      <c r="P740" s="34" t="e">
        <f>I740/H740*VLOOKUP(F738,'[1]Membership Level'!$A$3:$C$15,3,FALSE)+K740</f>
        <v>#DIV/0!</v>
      </c>
      <c r="Q740" s="36"/>
    </row>
    <row r="741" spans="3:17" x14ac:dyDescent="0.25">
      <c r="C741" s="36"/>
      <c r="D741" s="36"/>
      <c r="E741" s="35"/>
      <c r="F741" s="36"/>
      <c r="G741" s="36"/>
      <c r="H741" s="30"/>
      <c r="I741" s="30"/>
      <c r="J741" s="31"/>
      <c r="K741" s="43"/>
      <c r="L741" s="32" t="e">
        <f>DATE(YEAR(K741),MONTH(K741)+VLOOKUP($F739,'[1]Membership Level'!$A$3:$B$15,2,FALSE),DAY(K741))</f>
        <v>#N/A</v>
      </c>
      <c r="M741" s="36"/>
      <c r="N741" s="34" t="e">
        <f>IF($L741&lt;&gt;0,DATE(YEAR($L741),MONTH($L741)-#REF!,DAY($L741)-$M741),"")</f>
        <v>#N/A</v>
      </c>
      <c r="O741" s="33" t="e">
        <f t="shared" ca="1" si="14"/>
        <v>#N/A</v>
      </c>
      <c r="P741" s="34" t="e">
        <f>I741/H741*VLOOKUP(F739,'[1]Membership Level'!$A$3:$C$15,3,FALSE)+K741</f>
        <v>#DIV/0!</v>
      </c>
      <c r="Q741" s="36"/>
    </row>
    <row r="742" spans="3:17" x14ac:dyDescent="0.25">
      <c r="C742" s="36"/>
      <c r="D742" s="36"/>
      <c r="E742" s="35"/>
      <c r="F742" s="36"/>
      <c r="G742" s="36"/>
      <c r="H742" s="30"/>
      <c r="I742" s="30"/>
      <c r="J742" s="31"/>
      <c r="K742" s="43"/>
      <c r="L742" s="32" t="e">
        <f>DATE(YEAR(K742),MONTH(K742)+VLOOKUP($F740,'[1]Membership Level'!$A$3:$B$15,2,FALSE),DAY(K742))</f>
        <v>#N/A</v>
      </c>
      <c r="M742" s="36"/>
      <c r="N742" s="34" t="e">
        <f>IF($L742&lt;&gt;0,DATE(YEAR($L742),MONTH($L742)-#REF!,DAY($L742)-$M742),"")</f>
        <v>#N/A</v>
      </c>
      <c r="O742" s="33" t="e">
        <f t="shared" ca="1" si="14"/>
        <v>#N/A</v>
      </c>
      <c r="P742" s="34" t="e">
        <f>I742/H742*VLOOKUP(F740,'[1]Membership Level'!$A$3:$C$15,3,FALSE)+K742</f>
        <v>#DIV/0!</v>
      </c>
      <c r="Q742" s="36"/>
    </row>
    <row r="743" spans="3:17" x14ac:dyDescent="0.25">
      <c r="C743" s="36"/>
      <c r="D743" s="36"/>
      <c r="E743" s="36"/>
      <c r="F743" s="36"/>
      <c r="G743" s="36"/>
      <c r="H743" s="30"/>
      <c r="I743" s="30"/>
      <c r="J743" s="31"/>
      <c r="K743" s="43"/>
      <c r="L743" s="32" t="e">
        <f>DATE(YEAR(K743),MONTH(K743)+VLOOKUP($F741,'[1]Membership Level'!$A$3:$B$15,2,FALSE),DAY(K743))</f>
        <v>#N/A</v>
      </c>
      <c r="M743" s="36"/>
      <c r="N743" s="34" t="e">
        <f>IF($L743&lt;&gt;0,DATE(YEAR($L743),MONTH($L743)-#REF!,DAY($L743)-$M743),"")</f>
        <v>#N/A</v>
      </c>
      <c r="O743" s="33" t="e">
        <f t="shared" ca="1" si="14"/>
        <v>#N/A</v>
      </c>
      <c r="P743" s="34" t="e">
        <f>I743/H743*VLOOKUP(F741,'[1]Membership Level'!$A$3:$C$15,3,FALSE)+K743</f>
        <v>#DIV/0!</v>
      </c>
      <c r="Q743" s="36"/>
    </row>
    <row r="744" spans="3:17" x14ac:dyDescent="0.25">
      <c r="C744" s="36"/>
      <c r="D744" s="36"/>
      <c r="E744" s="36"/>
      <c r="F744" s="36"/>
      <c r="G744" s="36"/>
      <c r="H744" s="30"/>
      <c r="I744" s="30"/>
      <c r="J744" s="31"/>
      <c r="K744" s="43"/>
      <c r="L744" s="32" t="e">
        <f>DATE(YEAR(K744),MONTH(K744)+VLOOKUP($F742,'[1]Membership Level'!$A$3:$B$15,2,FALSE),DAY(K744))</f>
        <v>#N/A</v>
      </c>
      <c r="M744" s="36"/>
      <c r="N744" s="34" t="e">
        <f>IF($L744&lt;&gt;0,DATE(YEAR($L744),MONTH($L744)-#REF!,DAY($L744)-$M744),"")</f>
        <v>#N/A</v>
      </c>
      <c r="O744" s="33" t="e">
        <f t="shared" ca="1" si="14"/>
        <v>#N/A</v>
      </c>
      <c r="P744" s="34" t="e">
        <f>I744/H744*VLOOKUP(F742,'[1]Membership Level'!$A$3:$C$15,3,FALSE)+K744</f>
        <v>#DIV/0!</v>
      </c>
      <c r="Q744" s="36"/>
    </row>
    <row r="745" spans="3:17" x14ac:dyDescent="0.25">
      <c r="C745" s="36"/>
      <c r="D745" s="36"/>
      <c r="E745" s="35"/>
      <c r="F745" s="36"/>
      <c r="G745" s="36"/>
      <c r="H745" s="30"/>
      <c r="I745" s="30"/>
      <c r="J745" s="31"/>
      <c r="K745" s="43"/>
      <c r="L745" s="32" t="e">
        <f>DATE(YEAR(K745),MONTH(K745)+VLOOKUP($F743,'[1]Membership Level'!$A$3:$B$15,2,FALSE),DAY(K745))</f>
        <v>#N/A</v>
      </c>
      <c r="M745" s="36"/>
      <c r="N745" s="34" t="e">
        <f>IF($L745&lt;&gt;0,DATE(YEAR($L745),MONTH($L745)-#REF!,DAY($L745)-$M745),"")</f>
        <v>#N/A</v>
      </c>
      <c r="O745" s="33" t="e">
        <f t="shared" ca="1" si="14"/>
        <v>#N/A</v>
      </c>
      <c r="P745" s="34" t="e">
        <f>I745/H745*VLOOKUP(F743,'[1]Membership Level'!$A$3:$C$15,3,FALSE)+K745</f>
        <v>#DIV/0!</v>
      </c>
      <c r="Q745" s="36"/>
    </row>
    <row r="746" spans="3:17" x14ac:dyDescent="0.25">
      <c r="C746" s="36"/>
      <c r="D746" s="36"/>
      <c r="E746" s="66"/>
      <c r="F746" s="36"/>
      <c r="G746" s="36"/>
      <c r="H746" s="30"/>
      <c r="I746" s="30"/>
      <c r="J746" s="31"/>
      <c r="K746" s="43"/>
      <c r="L746" s="32" t="e">
        <f>DATE(YEAR(K746),MONTH(K746)+VLOOKUP($F744,'[1]Membership Level'!$A$3:$B$15,2,FALSE),DAY(K746))</f>
        <v>#N/A</v>
      </c>
      <c r="M746" s="36"/>
      <c r="N746" s="34" t="e">
        <f>IF($L746&lt;&gt;0,DATE(YEAR($L746),MONTH($L746)-#REF!,DAY($L746)-$M746),"")</f>
        <v>#N/A</v>
      </c>
      <c r="O746" s="33" t="e">
        <f t="shared" ca="1" si="14"/>
        <v>#N/A</v>
      </c>
      <c r="P746" s="34" t="e">
        <f>I746/H746*VLOOKUP(F744,'[1]Membership Level'!$A$3:$C$15,3,FALSE)+K746</f>
        <v>#DIV/0!</v>
      </c>
      <c r="Q746" s="36"/>
    </row>
    <row r="747" spans="3:17" x14ac:dyDescent="0.25">
      <c r="C747" s="36"/>
      <c r="D747" s="36"/>
      <c r="E747" s="35"/>
      <c r="F747" s="36"/>
      <c r="G747" s="36"/>
      <c r="H747" s="30"/>
      <c r="I747" s="30"/>
      <c r="J747" s="31"/>
      <c r="K747" s="43"/>
      <c r="L747" s="32" t="e">
        <f>DATE(YEAR(K747),MONTH(K747)+VLOOKUP($F745,'[1]Membership Level'!$A$3:$B$15,2,FALSE),DAY(K747))</f>
        <v>#N/A</v>
      </c>
      <c r="M747" s="36"/>
      <c r="N747" s="34" t="e">
        <f>IF($L747&lt;&gt;0,DATE(YEAR($L747),MONTH($L747)-#REF!,DAY($L747)-$M747),"")</f>
        <v>#N/A</v>
      </c>
      <c r="O747" s="33" t="e">
        <f t="shared" ca="1" si="14"/>
        <v>#N/A</v>
      </c>
      <c r="P747" s="34" t="e">
        <f>I747/H747*VLOOKUP(F745,'[1]Membership Level'!$A$3:$C$15,3,FALSE)+K747</f>
        <v>#DIV/0!</v>
      </c>
      <c r="Q747" s="36"/>
    </row>
    <row r="748" spans="3:17" x14ac:dyDescent="0.25">
      <c r="C748" s="36"/>
      <c r="D748" s="36"/>
      <c r="E748" s="35"/>
      <c r="F748" s="36"/>
      <c r="G748" s="36"/>
      <c r="H748" s="30"/>
      <c r="I748" s="30"/>
      <c r="J748" s="31"/>
      <c r="K748" s="43"/>
      <c r="L748" s="32" t="e">
        <f>DATE(YEAR(K748),MONTH(K748)+VLOOKUP($F746,'[1]Membership Level'!$A$3:$B$15,2,FALSE),DAY(K748))</f>
        <v>#N/A</v>
      </c>
      <c r="M748" s="36"/>
      <c r="N748" s="34" t="e">
        <f>IF($L748&lt;&gt;0,DATE(YEAR($L748),MONTH($L748)-#REF!,DAY($L748)-$M748),"")</f>
        <v>#N/A</v>
      </c>
      <c r="O748" s="33" t="e">
        <f t="shared" ca="1" si="14"/>
        <v>#N/A</v>
      </c>
      <c r="P748" s="34" t="e">
        <f>I748/H748*VLOOKUP(F746,'[1]Membership Level'!$A$3:$C$15,3,FALSE)+K748</f>
        <v>#DIV/0!</v>
      </c>
      <c r="Q748" s="36"/>
    </row>
    <row r="749" spans="3:17" x14ac:dyDescent="0.25">
      <c r="C749" s="36"/>
      <c r="D749" s="36"/>
      <c r="E749" s="35"/>
      <c r="F749" s="36"/>
      <c r="G749" s="36"/>
      <c r="H749" s="30"/>
      <c r="I749" s="30"/>
      <c r="J749" s="31"/>
      <c r="K749" s="43"/>
      <c r="L749" s="32" t="e">
        <f>DATE(YEAR(K749),MONTH(K749)+VLOOKUP($F747,'[1]Membership Level'!$A$3:$B$15,2,FALSE),DAY(K749))</f>
        <v>#N/A</v>
      </c>
      <c r="M749" s="36"/>
      <c r="N749" s="34" t="e">
        <f>IF($L749&lt;&gt;0,DATE(YEAR($L749),MONTH($L749)-#REF!,DAY($L749)-$M749),"")</f>
        <v>#N/A</v>
      </c>
      <c r="O749" s="33" t="e">
        <f t="shared" ca="1" si="14"/>
        <v>#N/A</v>
      </c>
      <c r="P749" s="34" t="e">
        <f>I749/H749*VLOOKUP(F747,'[1]Membership Level'!$A$3:$C$15,3,FALSE)+K749</f>
        <v>#DIV/0!</v>
      </c>
      <c r="Q749" s="36"/>
    </row>
    <row r="750" spans="3:17" x14ac:dyDescent="0.25">
      <c r="C750" s="36"/>
      <c r="D750" s="36"/>
      <c r="E750" s="36"/>
      <c r="F750" s="36"/>
      <c r="G750" s="36"/>
      <c r="H750" s="30"/>
      <c r="I750" s="30"/>
      <c r="J750" s="31"/>
      <c r="K750" s="43"/>
      <c r="L750" s="32" t="e">
        <f>DATE(YEAR(K750),MONTH(K750)+VLOOKUP($F748,'[1]Membership Level'!$A$3:$B$15,2,FALSE),DAY(K750))</f>
        <v>#N/A</v>
      </c>
      <c r="M750" s="36"/>
      <c r="N750" s="34" t="e">
        <f>IF($L750&lt;&gt;0,DATE(YEAR($L750),MONTH($L750)-#REF!,DAY($L750)-$M750),"")</f>
        <v>#N/A</v>
      </c>
      <c r="O750" s="33" t="e">
        <f t="shared" ca="1" si="14"/>
        <v>#N/A</v>
      </c>
      <c r="P750" s="34" t="e">
        <f>I750/H750*VLOOKUP(F748,'[1]Membership Level'!$A$3:$C$15,3,FALSE)+K750</f>
        <v>#DIV/0!</v>
      </c>
      <c r="Q750" s="36"/>
    </row>
    <row r="751" spans="3:17" x14ac:dyDescent="0.25">
      <c r="C751" s="36"/>
      <c r="D751" s="36"/>
      <c r="E751" s="36"/>
      <c r="F751" s="36"/>
      <c r="G751" s="36"/>
      <c r="H751" s="30"/>
      <c r="I751" s="30"/>
      <c r="J751" s="31"/>
      <c r="K751" s="43"/>
      <c r="L751" s="32" t="e">
        <f>DATE(YEAR(K751),MONTH(K751)+VLOOKUP($F749,'[1]Membership Level'!$A$3:$B$15,2,FALSE),DAY(K751))</f>
        <v>#N/A</v>
      </c>
      <c r="M751" s="36"/>
      <c r="N751" s="34" t="e">
        <f>IF($L751&lt;&gt;0,DATE(YEAR($L751),MONTH($L751)-#REF!,DAY($L751)-$M751),"")</f>
        <v>#N/A</v>
      </c>
      <c r="O751" s="33" t="e">
        <f t="shared" ca="1" si="14"/>
        <v>#N/A</v>
      </c>
      <c r="P751" s="34" t="e">
        <f>I751/H751*VLOOKUP(F749,'[1]Membership Level'!$A$3:$C$15,3,FALSE)+K751</f>
        <v>#DIV/0!</v>
      </c>
      <c r="Q751" s="36"/>
    </row>
    <row r="752" spans="3:17" x14ac:dyDescent="0.25">
      <c r="C752" s="36"/>
      <c r="D752" s="36"/>
      <c r="E752" s="36"/>
      <c r="F752" s="33"/>
      <c r="G752" s="36"/>
      <c r="H752" s="30"/>
      <c r="I752" s="30"/>
      <c r="J752" s="31"/>
      <c r="K752" s="43"/>
      <c r="L752" s="32" t="e">
        <f>DATE(YEAR(K752),MONTH(K752)+VLOOKUP($F750,'[1]Membership Level'!$A$3:$B$15,2,FALSE),DAY(K752))</f>
        <v>#N/A</v>
      </c>
      <c r="M752" s="36"/>
      <c r="N752" s="34" t="e">
        <f>IF($L752&lt;&gt;0,DATE(YEAR($L752),MONTH($L752)-#REF!,DAY($L752)-$M752),"")</f>
        <v>#N/A</v>
      </c>
      <c r="O752" s="33" t="e">
        <f t="shared" ca="1" si="14"/>
        <v>#N/A</v>
      </c>
      <c r="P752" s="34" t="e">
        <f>I752/H752*VLOOKUP(F750,'[1]Membership Level'!$A$3:$C$15,3,FALSE)+K752</f>
        <v>#DIV/0!</v>
      </c>
      <c r="Q752" s="36"/>
    </row>
    <row r="753" spans="3:17" x14ac:dyDescent="0.25">
      <c r="C753" s="36"/>
      <c r="D753" s="36"/>
      <c r="E753" s="66"/>
      <c r="F753" s="36"/>
      <c r="G753" s="36"/>
      <c r="H753" s="30"/>
      <c r="I753" s="30"/>
      <c r="J753" s="31"/>
      <c r="K753" s="43"/>
      <c r="L753" s="32" t="e">
        <f>DATE(YEAR(K753),MONTH(K753)+VLOOKUP($F751,'[1]Membership Level'!$A$3:$B$15,2,FALSE),DAY(K753))</f>
        <v>#N/A</v>
      </c>
      <c r="M753" s="36"/>
      <c r="N753" s="34" t="e">
        <f>IF($L753&lt;&gt;0,DATE(YEAR($L753),MONTH($L753)-#REF!,DAY($L753)-$M753),"")</f>
        <v>#N/A</v>
      </c>
      <c r="O753" s="33" t="e">
        <f t="shared" ca="1" si="14"/>
        <v>#N/A</v>
      </c>
      <c r="P753" s="34" t="e">
        <f>I753/H753*VLOOKUP(F751,'[1]Membership Level'!$A$3:$C$15,3,FALSE)+K753</f>
        <v>#DIV/0!</v>
      </c>
      <c r="Q753" s="36"/>
    </row>
    <row r="754" spans="3:17" s="22" customFormat="1" x14ac:dyDescent="0.25">
      <c r="C754" s="33"/>
      <c r="D754" s="33"/>
      <c r="E754" s="35"/>
      <c r="F754" s="33"/>
      <c r="G754" s="33"/>
      <c r="H754" s="44"/>
      <c r="I754" s="44"/>
      <c r="J754" s="31"/>
      <c r="K754" s="32"/>
      <c r="L754" s="32" t="e">
        <f>DATE(YEAR(K754),MONTH(K754)+VLOOKUP($F752,'[1]Membership Level'!$A$3:$B$15,2,FALSE),DAY(K754))</f>
        <v>#N/A</v>
      </c>
      <c r="M754" s="33"/>
      <c r="N754" s="34" t="e">
        <f>IF($L754&lt;&gt;0,DATE(YEAR($L754),MONTH($L754)-#REF!,DAY($L754)-$M754),"")</f>
        <v>#N/A</v>
      </c>
      <c r="O754" s="33" t="e">
        <f t="shared" ca="1" si="14"/>
        <v>#N/A</v>
      </c>
      <c r="P754" s="34" t="e">
        <f>I754/H754*VLOOKUP(F752,'[1]Membership Level'!$A$3:$C$15,3,FALSE)+K754</f>
        <v>#DIV/0!</v>
      </c>
      <c r="Q754" s="33"/>
    </row>
    <row r="755" spans="3:17" x14ac:dyDescent="0.25">
      <c r="C755" s="36"/>
      <c r="D755" s="36"/>
      <c r="E755" s="66"/>
      <c r="F755" s="36"/>
      <c r="G755" s="36"/>
      <c r="H755" s="30"/>
      <c r="I755" s="30"/>
      <c r="J755" s="31"/>
      <c r="K755" s="43"/>
      <c r="L755" s="32" t="e">
        <f>DATE(YEAR(K755),MONTH(K755)+VLOOKUP($F753,'[1]Membership Level'!$A$3:$B$15,2,FALSE),DAY(K755))</f>
        <v>#N/A</v>
      </c>
      <c r="M755" s="36"/>
      <c r="N755" s="34" t="e">
        <f>IF($L755&lt;&gt;0,DATE(YEAR($L755),MONTH($L755)-#REF!,DAY($L755)-$M755),"")</f>
        <v>#N/A</v>
      </c>
      <c r="O755" s="33" t="e">
        <f t="shared" ca="1" si="14"/>
        <v>#N/A</v>
      </c>
      <c r="P755" s="34" t="e">
        <f>I755/H755*VLOOKUP(F753,'[1]Membership Level'!$A$3:$C$15,3,FALSE)+K755</f>
        <v>#DIV/0!</v>
      </c>
      <c r="Q755" s="36"/>
    </row>
    <row r="756" spans="3:17" s="22" customFormat="1" x14ac:dyDescent="0.25">
      <c r="C756" s="33"/>
      <c r="D756" s="33"/>
      <c r="E756" s="35"/>
      <c r="F756" s="36"/>
      <c r="G756" s="33"/>
      <c r="H756" s="44"/>
      <c r="I756" s="30"/>
      <c r="J756" s="31"/>
      <c r="K756" s="32"/>
      <c r="L756" s="32" t="e">
        <f>DATE(YEAR(K756),MONTH(K756)+VLOOKUP($F754,'[1]Membership Level'!$A$3:$B$15,2,FALSE),DAY(K756))</f>
        <v>#N/A</v>
      </c>
      <c r="M756" s="36"/>
      <c r="N756" s="34" t="e">
        <f>IF($L756&lt;&gt;0,DATE(YEAR($L756),MONTH($L756)-#REF!,DAY($L756)-$M756),"")</f>
        <v>#N/A</v>
      </c>
      <c r="O756" s="33" t="e">
        <f t="shared" ca="1" si="14"/>
        <v>#N/A</v>
      </c>
      <c r="P756" s="34" t="e">
        <f>I756/H756*VLOOKUP(F754,'[1]Membership Level'!$A$3:$C$15,3,FALSE)+K756</f>
        <v>#DIV/0!</v>
      </c>
      <c r="Q756" s="33"/>
    </row>
    <row r="757" spans="3:17" x14ac:dyDescent="0.25">
      <c r="C757" s="36"/>
      <c r="D757" s="36"/>
      <c r="E757" s="35"/>
      <c r="F757" s="36"/>
      <c r="G757" s="36"/>
      <c r="H757" s="30"/>
      <c r="I757" s="30"/>
      <c r="J757" s="31"/>
      <c r="K757" s="43"/>
      <c r="L757" s="32" t="e">
        <f>DATE(YEAR(K757),MONTH(K757)+VLOOKUP($F755,'[1]Membership Level'!$A$3:$B$15,2,FALSE),DAY(K757))</f>
        <v>#N/A</v>
      </c>
      <c r="M757" s="36"/>
      <c r="N757" s="34" t="e">
        <f>IF($L757&lt;&gt;0,DATE(YEAR($L757),MONTH($L757)-#REF!,DAY($L757)-$M757),"")</f>
        <v>#N/A</v>
      </c>
      <c r="O757" s="33" t="e">
        <f t="shared" ca="1" si="14"/>
        <v>#N/A</v>
      </c>
      <c r="P757" s="34" t="e">
        <f>I757/H757*VLOOKUP(F755,'[1]Membership Level'!$A$3:$C$15,3,FALSE)+K757</f>
        <v>#DIV/0!</v>
      </c>
      <c r="Q757" s="36"/>
    </row>
    <row r="758" spans="3:17" x14ac:dyDescent="0.25">
      <c r="C758" s="36"/>
      <c r="D758" s="36"/>
      <c r="E758" s="66"/>
      <c r="F758" s="36"/>
      <c r="G758" s="36"/>
      <c r="H758" s="30"/>
      <c r="I758" s="30"/>
      <c r="J758" s="31"/>
      <c r="K758" s="43"/>
      <c r="L758" s="32" t="e">
        <f>DATE(YEAR(K758),MONTH(K758)+VLOOKUP($F756,'[1]Membership Level'!$A$3:$B$15,2,FALSE),DAY(K758))</f>
        <v>#N/A</v>
      </c>
      <c r="M758" s="36"/>
      <c r="N758" s="34" t="e">
        <f>IF($L758&lt;&gt;0,DATE(YEAR($L758),MONTH($L758)-#REF!,DAY($L758)-$M758),"")</f>
        <v>#N/A</v>
      </c>
      <c r="O758" s="33" t="e">
        <f t="shared" ca="1" si="14"/>
        <v>#N/A</v>
      </c>
      <c r="P758" s="34" t="e">
        <f>I758/H758*VLOOKUP(F756,'[1]Membership Level'!$A$3:$C$15,3,FALSE)+K758</f>
        <v>#DIV/0!</v>
      </c>
      <c r="Q758" s="35"/>
    </row>
    <row r="759" spans="3:17" x14ac:dyDescent="0.25">
      <c r="C759" s="36"/>
      <c r="D759" s="36"/>
      <c r="E759" s="66"/>
      <c r="F759" s="36"/>
      <c r="G759" s="36"/>
      <c r="H759" s="30"/>
      <c r="I759" s="30"/>
      <c r="J759" s="31"/>
      <c r="K759" s="43"/>
      <c r="L759" s="32" t="e">
        <f>DATE(YEAR(K759),MONTH(K759)+VLOOKUP($F757,'[1]Membership Level'!$A$3:$B$15,2,FALSE),DAY(K759))</f>
        <v>#N/A</v>
      </c>
      <c r="M759" s="36"/>
      <c r="N759" s="34" t="e">
        <f>IF($L759&lt;&gt;0,DATE(YEAR($L759),MONTH($L759)-#REF!,DAY($L759)-$M759),"")</f>
        <v>#N/A</v>
      </c>
      <c r="O759" s="33" t="e">
        <f t="shared" ca="1" si="14"/>
        <v>#N/A</v>
      </c>
      <c r="P759" s="34" t="e">
        <f>I759/H759*VLOOKUP(F757,'[1]Membership Level'!$A$3:$C$15,3,FALSE)+K759</f>
        <v>#DIV/0!</v>
      </c>
      <c r="Q759" s="36"/>
    </row>
    <row r="760" spans="3:17" x14ac:dyDescent="0.25">
      <c r="C760" s="36"/>
      <c r="D760" s="36"/>
      <c r="E760" s="35"/>
      <c r="F760" s="36"/>
      <c r="G760" s="36"/>
      <c r="H760" s="30"/>
      <c r="I760" s="30"/>
      <c r="J760" s="31"/>
      <c r="K760" s="43"/>
      <c r="L760" s="32" t="e">
        <f>DATE(YEAR(K760),MONTH(K760)+VLOOKUP($F758,'[1]Membership Level'!$A$3:$B$15,2,FALSE),DAY(K760))</f>
        <v>#N/A</v>
      </c>
      <c r="M760" s="36"/>
      <c r="N760" s="34" t="e">
        <f>IF($L760&lt;&gt;0,DATE(YEAR($L760),MONTH($L760)-#REF!,DAY($L760)-$M760),"")</f>
        <v>#N/A</v>
      </c>
      <c r="O760" s="33" t="e">
        <f t="shared" ca="1" si="14"/>
        <v>#N/A</v>
      </c>
      <c r="P760" s="34" t="e">
        <f>I760/H760*VLOOKUP(F758,'[1]Membership Level'!$A$3:$C$15,3,FALSE)+K760</f>
        <v>#DIV/0!</v>
      </c>
      <c r="Q760" s="36"/>
    </row>
    <row r="761" spans="3:17" x14ac:dyDescent="0.25">
      <c r="C761" s="36"/>
      <c r="D761" s="36"/>
      <c r="E761" s="35"/>
      <c r="F761" s="36"/>
      <c r="G761" s="36"/>
      <c r="H761" s="30"/>
      <c r="I761" s="30"/>
      <c r="J761" s="31"/>
      <c r="K761" s="43"/>
      <c r="L761" s="32" t="e">
        <f>DATE(YEAR(K761),MONTH(K761)+VLOOKUP($F759,'[1]Membership Level'!$A$3:$B$15,2,FALSE),DAY(K761))</f>
        <v>#N/A</v>
      </c>
      <c r="M761" s="36"/>
      <c r="N761" s="34" t="e">
        <f>IF($L761&lt;&gt;0,DATE(YEAR($L761),MONTH($L761)-#REF!,DAY($L761)-$M761),"")</f>
        <v>#N/A</v>
      </c>
      <c r="O761" s="33" t="e">
        <f t="shared" ca="1" si="14"/>
        <v>#N/A</v>
      </c>
      <c r="P761" s="34" t="e">
        <f>I761/H761*VLOOKUP(F759,'[1]Membership Level'!$A$3:$C$15,3,FALSE)+K761</f>
        <v>#DIV/0!</v>
      </c>
      <c r="Q761" s="36"/>
    </row>
    <row r="762" spans="3:17" x14ac:dyDescent="0.25">
      <c r="C762" s="36"/>
      <c r="D762" s="36"/>
      <c r="E762" s="66"/>
      <c r="F762" s="36"/>
      <c r="G762" s="36"/>
      <c r="H762" s="30"/>
      <c r="I762" s="30"/>
      <c r="J762" s="31"/>
      <c r="K762" s="43"/>
      <c r="L762" s="32" t="e">
        <f>DATE(YEAR(K762),MONTH(K762)+VLOOKUP($F760,'[1]Membership Level'!$A$3:$B$15,2,FALSE),DAY(K762))</f>
        <v>#N/A</v>
      </c>
      <c r="M762" s="36"/>
      <c r="N762" s="34" t="e">
        <f>IF($L762&lt;&gt;0,DATE(YEAR($L762),MONTH($L762)-#REF!,DAY($L762)-$M762),"")</f>
        <v>#N/A</v>
      </c>
      <c r="O762" s="33" t="e">
        <f t="shared" ca="1" si="14"/>
        <v>#N/A</v>
      </c>
      <c r="P762" s="34" t="e">
        <f>I762/H762*VLOOKUP(F760,'[1]Membership Level'!$A$3:$C$15,3,FALSE)+K762</f>
        <v>#DIV/0!</v>
      </c>
      <c r="Q762" s="36"/>
    </row>
    <row r="763" spans="3:17" x14ac:dyDescent="0.25">
      <c r="C763" s="36"/>
      <c r="D763" s="36"/>
      <c r="E763" s="35"/>
      <c r="F763" s="36"/>
      <c r="G763" s="36"/>
      <c r="H763" s="30"/>
      <c r="I763" s="30"/>
      <c r="J763" s="31"/>
      <c r="K763" s="43"/>
      <c r="L763" s="32" t="e">
        <f>DATE(YEAR(K763),MONTH(K763)+VLOOKUP($F761,'[1]Membership Level'!$A$3:$B$15,2,FALSE),DAY(K763))</f>
        <v>#N/A</v>
      </c>
      <c r="M763" s="36"/>
      <c r="N763" s="34" t="e">
        <f>IF($L763&lt;&gt;0,DATE(YEAR($L763),MONTH($L763)-#REF!,DAY($L763)-$M763),"")</f>
        <v>#N/A</v>
      </c>
      <c r="O763" s="33" t="e">
        <f t="shared" ca="1" si="14"/>
        <v>#N/A</v>
      </c>
      <c r="P763" s="34" t="e">
        <f>I763/H763*VLOOKUP(F761,'[1]Membership Level'!$A$3:$C$15,3,FALSE)+K763</f>
        <v>#DIV/0!</v>
      </c>
      <c r="Q763" s="36"/>
    </row>
    <row r="764" spans="3:17" x14ac:dyDescent="0.25">
      <c r="C764" s="36"/>
      <c r="D764" s="36"/>
      <c r="E764" s="35"/>
      <c r="F764" s="36"/>
      <c r="G764" s="36"/>
      <c r="H764" s="30"/>
      <c r="I764" s="30"/>
      <c r="J764" s="31"/>
      <c r="K764" s="43"/>
      <c r="L764" s="32" t="e">
        <f>DATE(YEAR(K764),MONTH(K764)+VLOOKUP($F762,'[1]Membership Level'!$A$3:$B$15,2,FALSE),DAY(K764))</f>
        <v>#N/A</v>
      </c>
      <c r="M764" s="36"/>
      <c r="N764" s="34" t="e">
        <f>IF($L764&lt;&gt;0,DATE(YEAR($L764),MONTH($L764)-#REF!,DAY($L764)-$M764),"")</f>
        <v>#N/A</v>
      </c>
      <c r="O764" s="33" t="e">
        <f t="shared" ca="1" si="14"/>
        <v>#N/A</v>
      </c>
      <c r="P764" s="34" t="e">
        <f>I764/H764*VLOOKUP(F762,'[1]Membership Level'!$A$3:$C$15,3,FALSE)+K764</f>
        <v>#DIV/0!</v>
      </c>
      <c r="Q764" s="36"/>
    </row>
    <row r="765" spans="3:17" x14ac:dyDescent="0.25">
      <c r="C765" s="36"/>
      <c r="D765" s="36"/>
      <c r="E765" s="35"/>
      <c r="F765" s="36"/>
      <c r="G765" s="36"/>
      <c r="H765" s="30"/>
      <c r="I765" s="30"/>
      <c r="J765" s="31"/>
      <c r="K765" s="43"/>
      <c r="L765" s="32" t="e">
        <f>DATE(YEAR(K765),MONTH(K765)+VLOOKUP($F763,'[1]Membership Level'!$A$3:$B$15,2,FALSE),DAY(K765))</f>
        <v>#N/A</v>
      </c>
      <c r="M765" s="36"/>
      <c r="N765" s="34" t="e">
        <f>IF($L765&lt;&gt;0,DATE(YEAR($L765),MONTH($L765)-#REF!,DAY($L765)-$M765),"")</f>
        <v>#N/A</v>
      </c>
      <c r="O765" s="33" t="e">
        <f t="shared" ref="O765:O828" ca="1" si="15">IF(DAYS360(NOW(), $L765) &gt;= 0, DAYS360(NOW(), $L765), "")</f>
        <v>#N/A</v>
      </c>
      <c r="P765" s="34" t="e">
        <f>I765/H765*VLOOKUP(F763,'[1]Membership Level'!$A$3:$C$15,3,FALSE)+K765</f>
        <v>#DIV/0!</v>
      </c>
      <c r="Q765" s="36"/>
    </row>
    <row r="766" spans="3:17" x14ac:dyDescent="0.25">
      <c r="C766" s="36"/>
      <c r="D766" s="36"/>
      <c r="E766" s="66"/>
      <c r="F766" s="36"/>
      <c r="G766" s="36"/>
      <c r="H766" s="30"/>
      <c r="I766" s="30"/>
      <c r="J766" s="31"/>
      <c r="K766" s="43"/>
      <c r="L766" s="32" t="e">
        <f>DATE(YEAR(K766),MONTH(K766)+VLOOKUP($F764,'[1]Membership Level'!$A$3:$B$15,2,FALSE),DAY(K766))</f>
        <v>#N/A</v>
      </c>
      <c r="M766" s="36"/>
      <c r="N766" s="34" t="e">
        <f>IF($L766&lt;&gt;0,DATE(YEAR($L766),MONTH($L766)-#REF!,DAY($L766)-$M766),"")</f>
        <v>#N/A</v>
      </c>
      <c r="O766" s="33" t="e">
        <f t="shared" ca="1" si="15"/>
        <v>#N/A</v>
      </c>
      <c r="P766" s="34" t="e">
        <f>I766/H766*VLOOKUP(F764,'[1]Membership Level'!$A$3:$C$15,3,FALSE)+K766</f>
        <v>#DIV/0!</v>
      </c>
      <c r="Q766" s="36"/>
    </row>
    <row r="767" spans="3:17" x14ac:dyDescent="0.25">
      <c r="C767" s="36"/>
      <c r="D767" s="36"/>
      <c r="E767" s="35"/>
      <c r="F767" s="36"/>
      <c r="G767" s="36"/>
      <c r="H767" s="30"/>
      <c r="I767" s="30"/>
      <c r="J767" s="31"/>
      <c r="K767" s="43"/>
      <c r="L767" s="32" t="e">
        <f>DATE(YEAR(K767),MONTH(K767)+VLOOKUP($F765,'[1]Membership Level'!$A$3:$B$15,2,FALSE),DAY(K767))</f>
        <v>#N/A</v>
      </c>
      <c r="M767" s="36"/>
      <c r="N767" s="34" t="e">
        <f>IF($L767&lt;&gt;0,DATE(YEAR($L767),MONTH($L767)-#REF!,DAY($L767)-$M767),"")</f>
        <v>#N/A</v>
      </c>
      <c r="O767" s="33" t="e">
        <f t="shared" ca="1" si="15"/>
        <v>#N/A</v>
      </c>
      <c r="P767" s="34" t="e">
        <f>I767/H767*VLOOKUP(F765,'[1]Membership Level'!$A$3:$C$15,3,FALSE)+K767</f>
        <v>#DIV/0!</v>
      </c>
      <c r="Q767" s="36"/>
    </row>
    <row r="768" spans="3:17" x14ac:dyDescent="0.25">
      <c r="C768" s="36"/>
      <c r="D768" s="36"/>
      <c r="E768" s="35"/>
      <c r="F768" s="36"/>
      <c r="G768" s="36"/>
      <c r="H768" s="30"/>
      <c r="I768" s="30"/>
      <c r="J768" s="31"/>
      <c r="K768" s="43"/>
      <c r="L768" s="32" t="e">
        <f>DATE(YEAR(K768),MONTH(K768)+VLOOKUP($F766,'[1]Membership Level'!$A$3:$B$15,2,FALSE),DAY(K768))</f>
        <v>#N/A</v>
      </c>
      <c r="M768" s="36"/>
      <c r="N768" s="34" t="e">
        <f>IF($L768&lt;&gt;0,DATE(YEAR($L768),MONTH($L768)-#REF!,DAY($L768)-$M768),"")</f>
        <v>#N/A</v>
      </c>
      <c r="O768" s="33" t="e">
        <f t="shared" ca="1" si="15"/>
        <v>#N/A</v>
      </c>
      <c r="P768" s="34" t="e">
        <f>I768/H768*VLOOKUP(F766,'[1]Membership Level'!$A$3:$C$15,3,FALSE)+K768</f>
        <v>#DIV/0!</v>
      </c>
      <c r="Q768" s="36"/>
    </row>
    <row r="769" spans="3:17" x14ac:dyDescent="0.25">
      <c r="C769" s="36"/>
      <c r="D769" s="36"/>
      <c r="E769" s="35"/>
      <c r="F769" s="36"/>
      <c r="G769" s="36"/>
      <c r="H769" s="30"/>
      <c r="I769" s="30"/>
      <c r="J769" s="31"/>
      <c r="K769" s="43"/>
      <c r="L769" s="32" t="e">
        <f>DATE(YEAR(K769),MONTH(K769)+VLOOKUP($F767,'[1]Membership Level'!$A$3:$B$15,2,FALSE),DAY(K769))</f>
        <v>#N/A</v>
      </c>
      <c r="M769" s="36"/>
      <c r="N769" s="34" t="e">
        <f>IF($L769&lt;&gt;0,DATE(YEAR($L769),MONTH($L769)-#REF!,DAY($L769)-$M769),"")</f>
        <v>#N/A</v>
      </c>
      <c r="O769" s="33" t="e">
        <f t="shared" ca="1" si="15"/>
        <v>#N/A</v>
      </c>
      <c r="P769" s="34" t="e">
        <f>I769/H769*VLOOKUP(F767,'[1]Membership Level'!$A$3:$C$15,3,FALSE)+K769</f>
        <v>#DIV/0!</v>
      </c>
      <c r="Q769" s="36"/>
    </row>
    <row r="770" spans="3:17" x14ac:dyDescent="0.25">
      <c r="C770" s="36"/>
      <c r="D770" s="36"/>
      <c r="E770" s="66"/>
      <c r="F770" s="36"/>
      <c r="G770" s="36"/>
      <c r="H770" s="30"/>
      <c r="I770" s="30"/>
      <c r="J770" s="31"/>
      <c r="K770" s="43"/>
      <c r="L770" s="32" t="e">
        <f>DATE(YEAR(K770),MONTH(K770)+VLOOKUP($F768,'[1]Membership Level'!$A$3:$B$15,2,FALSE),DAY(K770))</f>
        <v>#N/A</v>
      </c>
      <c r="M770" s="36"/>
      <c r="N770" s="34" t="e">
        <f>IF($L770&lt;&gt;0,DATE(YEAR($L770),MONTH($L770)-#REF!,DAY($L770)-$M770),"")</f>
        <v>#N/A</v>
      </c>
      <c r="O770" s="33" t="e">
        <f t="shared" ca="1" si="15"/>
        <v>#N/A</v>
      </c>
      <c r="P770" s="34" t="e">
        <f>I770/H770*VLOOKUP(F768,'[1]Membership Level'!$A$3:$C$15,3,FALSE)+K770</f>
        <v>#DIV/0!</v>
      </c>
      <c r="Q770" s="36"/>
    </row>
    <row r="771" spans="3:17" x14ac:dyDescent="0.25">
      <c r="C771" s="36"/>
      <c r="D771" s="36"/>
      <c r="E771" s="35"/>
      <c r="F771" s="36"/>
      <c r="G771" s="36"/>
      <c r="H771" s="30"/>
      <c r="I771" s="30"/>
      <c r="J771" s="31"/>
      <c r="K771" s="43"/>
      <c r="L771" s="32" t="e">
        <f>DATE(YEAR(K771),MONTH(K771)+VLOOKUP($F769,'[1]Membership Level'!$A$3:$B$15,2,FALSE),DAY(K771))</f>
        <v>#N/A</v>
      </c>
      <c r="M771" s="36"/>
      <c r="N771" s="34" t="e">
        <f>IF($L771&lt;&gt;0,DATE(YEAR($L771),MONTH($L771)-#REF!,DAY($L771)-$M771),"")</f>
        <v>#N/A</v>
      </c>
      <c r="O771" s="33" t="e">
        <f t="shared" ca="1" si="15"/>
        <v>#N/A</v>
      </c>
      <c r="P771" s="34" t="e">
        <f>I771/H771*VLOOKUP(F769,'[1]Membership Level'!$A$3:$C$15,3,FALSE)+K771</f>
        <v>#DIV/0!</v>
      </c>
      <c r="Q771" s="36"/>
    </row>
    <row r="772" spans="3:17" x14ac:dyDescent="0.25">
      <c r="C772" s="36"/>
      <c r="D772" s="36"/>
      <c r="E772" s="35"/>
      <c r="F772" s="36"/>
      <c r="G772" s="36"/>
      <c r="H772" s="30"/>
      <c r="I772" s="30"/>
      <c r="J772" s="31"/>
      <c r="K772" s="43"/>
      <c r="L772" s="32" t="e">
        <f>DATE(YEAR(K772),MONTH(K772)+VLOOKUP($F770,'[1]Membership Level'!$A$3:$B$15,2,FALSE),DAY(K772))</f>
        <v>#N/A</v>
      </c>
      <c r="M772" s="36"/>
      <c r="N772" s="34" t="e">
        <f>IF($L772&lt;&gt;0,DATE(YEAR($L772),MONTH($L772)-#REF!,DAY($L772)-$M772),"")</f>
        <v>#N/A</v>
      </c>
      <c r="O772" s="33" t="e">
        <f t="shared" ca="1" si="15"/>
        <v>#N/A</v>
      </c>
      <c r="P772" s="34" t="e">
        <f>I772/H772*VLOOKUP(F770,'[1]Membership Level'!$A$3:$C$15,3,FALSE)+K772</f>
        <v>#DIV/0!</v>
      </c>
      <c r="Q772" s="36"/>
    </row>
    <row r="773" spans="3:17" x14ac:dyDescent="0.25">
      <c r="C773" s="36"/>
      <c r="D773" s="36"/>
      <c r="E773" s="66"/>
      <c r="F773" s="33"/>
      <c r="G773" s="36"/>
      <c r="H773" s="30"/>
      <c r="I773" s="30"/>
      <c r="J773" s="31"/>
      <c r="K773" s="43"/>
      <c r="L773" s="32" t="e">
        <f>DATE(YEAR(K773),MONTH(K773)+VLOOKUP($F771,'[1]Membership Level'!$A$3:$B$15,2,FALSE),DAY(K773))</f>
        <v>#N/A</v>
      </c>
      <c r="M773" s="36"/>
      <c r="N773" s="34" t="e">
        <f>IF($L773&lt;&gt;0,DATE(YEAR($L773),MONTH($L773)-#REF!,DAY($L773)-$M773),"")</f>
        <v>#N/A</v>
      </c>
      <c r="O773" s="33" t="e">
        <f t="shared" ca="1" si="15"/>
        <v>#N/A</v>
      </c>
      <c r="P773" s="34" t="e">
        <f>I773/H773*VLOOKUP(F771,'[1]Membership Level'!$A$3:$C$15,3,FALSE)+K773</f>
        <v>#DIV/0!</v>
      </c>
      <c r="Q773" s="36"/>
    </row>
    <row r="774" spans="3:17" x14ac:dyDescent="0.25">
      <c r="C774" s="36"/>
      <c r="D774" s="36"/>
      <c r="E774" s="66"/>
      <c r="F774" s="36"/>
      <c r="G774" s="36"/>
      <c r="H774" s="30"/>
      <c r="I774" s="30"/>
      <c r="J774" s="31"/>
      <c r="K774" s="43"/>
      <c r="L774" s="32" t="e">
        <f>DATE(YEAR(K774),MONTH(K774)+VLOOKUP($F772,'[1]Membership Level'!$A$3:$B$15,2,FALSE),DAY(K774))</f>
        <v>#N/A</v>
      </c>
      <c r="M774" s="36"/>
      <c r="N774" s="34" t="e">
        <f>IF($L774&lt;&gt;0,DATE(YEAR($L774),MONTH($L774)-#REF!,DAY($L774)-$M774),"")</f>
        <v>#N/A</v>
      </c>
      <c r="O774" s="33" t="e">
        <f t="shared" ca="1" si="15"/>
        <v>#N/A</v>
      </c>
      <c r="P774" s="34" t="e">
        <f>I774/H774*VLOOKUP(F772,'[1]Membership Level'!$A$3:$C$15,3,FALSE)+K774</f>
        <v>#DIV/0!</v>
      </c>
      <c r="Q774" s="36"/>
    </row>
    <row r="775" spans="3:17" s="22" customFormat="1" x14ac:dyDescent="0.25">
      <c r="C775" s="33"/>
      <c r="D775" s="33"/>
      <c r="E775" s="66"/>
      <c r="F775" s="36"/>
      <c r="G775" s="33"/>
      <c r="H775" s="44"/>
      <c r="I775" s="44"/>
      <c r="J775" s="31"/>
      <c r="K775" s="32"/>
      <c r="L775" s="32" t="e">
        <f>DATE(YEAR(K775),MONTH(K775)+VLOOKUP($F773,'[1]Membership Level'!$A$3:$B$15,2,FALSE),DAY(K775))</f>
        <v>#N/A</v>
      </c>
      <c r="M775" s="33"/>
      <c r="N775" s="34" t="e">
        <f>IF($L775&lt;&gt;0,DATE(YEAR($L775),MONTH($L775)-#REF!,DAY($L775)-$M775),"")</f>
        <v>#N/A</v>
      </c>
      <c r="O775" s="33" t="e">
        <f t="shared" ca="1" si="15"/>
        <v>#N/A</v>
      </c>
      <c r="P775" s="34" t="e">
        <f>I775/H775*VLOOKUP(F773,'[1]Membership Level'!$A$3:$C$15,3,FALSE)+K775</f>
        <v>#DIV/0!</v>
      </c>
      <c r="Q775" s="33"/>
    </row>
    <row r="776" spans="3:17" x14ac:dyDescent="0.25">
      <c r="C776" s="36"/>
      <c r="D776" s="36"/>
      <c r="E776" s="35"/>
      <c r="F776" s="36"/>
      <c r="G776" s="36"/>
      <c r="H776" s="30"/>
      <c r="I776" s="30"/>
      <c r="J776" s="31"/>
      <c r="K776" s="43"/>
      <c r="L776" s="32" t="e">
        <f>DATE(YEAR(K776),MONTH(K776)+VLOOKUP($F774,'[1]Membership Level'!$A$3:$B$15,2,FALSE),DAY(K776))</f>
        <v>#N/A</v>
      </c>
      <c r="M776" s="36"/>
      <c r="N776" s="34" t="e">
        <f>IF($L776&lt;&gt;0,DATE(YEAR($L776),MONTH($L776)-#REF!,DAY($L776)-$M776),"")</f>
        <v>#N/A</v>
      </c>
      <c r="O776" s="33" t="e">
        <f t="shared" ca="1" si="15"/>
        <v>#N/A</v>
      </c>
      <c r="P776" s="34" t="e">
        <f>I776/H776*VLOOKUP(F774,'[1]Membership Level'!$A$3:$C$15,3,FALSE)+K776</f>
        <v>#DIV/0!</v>
      </c>
      <c r="Q776" s="36"/>
    </row>
    <row r="777" spans="3:17" x14ac:dyDescent="0.25">
      <c r="C777" s="36"/>
      <c r="D777" s="36"/>
      <c r="E777" s="35"/>
      <c r="F777" s="36"/>
      <c r="G777" s="36"/>
      <c r="H777" s="30"/>
      <c r="I777" s="30"/>
      <c r="J777" s="31"/>
      <c r="K777" s="43"/>
      <c r="L777" s="32" t="e">
        <f>DATE(YEAR(K777),MONTH(K777)+VLOOKUP($F775,'[1]Membership Level'!$A$3:$B$15,2,FALSE),DAY(K777))</f>
        <v>#N/A</v>
      </c>
      <c r="M777" s="36"/>
      <c r="N777" s="34" t="e">
        <f>IF($L777&lt;&gt;0,DATE(YEAR($L777),MONTH($L777)-#REF!,DAY($L777)-$M777),"")</f>
        <v>#N/A</v>
      </c>
      <c r="O777" s="33" t="e">
        <f t="shared" ca="1" si="15"/>
        <v>#N/A</v>
      </c>
      <c r="P777" s="34" t="e">
        <f>I777/H777*VLOOKUP(F775,'[1]Membership Level'!$A$3:$C$15,3,FALSE)+K777</f>
        <v>#DIV/0!</v>
      </c>
      <c r="Q777" s="36"/>
    </row>
    <row r="778" spans="3:17" x14ac:dyDescent="0.25">
      <c r="C778" s="36"/>
      <c r="D778" s="36"/>
      <c r="E778" s="35"/>
      <c r="F778" s="36"/>
      <c r="G778" s="36"/>
      <c r="H778" s="30"/>
      <c r="I778" s="30"/>
      <c r="J778" s="31"/>
      <c r="K778" s="43"/>
      <c r="L778" s="32" t="e">
        <f>DATE(YEAR(K778),MONTH(K778)+VLOOKUP($F776,'[1]Membership Level'!$A$3:$B$15,2,FALSE),DAY(K778))</f>
        <v>#N/A</v>
      </c>
      <c r="M778" s="36"/>
      <c r="N778" s="34" t="e">
        <f>IF($L778&lt;&gt;0,DATE(YEAR($L778),MONTH($L778)-#REF!,DAY($L778)-$M778),"")</f>
        <v>#N/A</v>
      </c>
      <c r="O778" s="33" t="e">
        <f t="shared" ca="1" si="15"/>
        <v>#N/A</v>
      </c>
      <c r="P778" s="34" t="e">
        <f>I778/H778*VLOOKUP(F776,'[1]Membership Level'!$A$3:$C$15,3,FALSE)+K778</f>
        <v>#DIV/0!</v>
      </c>
      <c r="Q778" s="36"/>
    </row>
    <row r="779" spans="3:17" x14ac:dyDescent="0.25">
      <c r="C779" s="36"/>
      <c r="D779" s="36"/>
      <c r="E779" s="35"/>
      <c r="F779" s="36"/>
      <c r="G779" s="36"/>
      <c r="H779" s="30"/>
      <c r="I779" s="30"/>
      <c r="J779" s="31"/>
      <c r="K779" s="43"/>
      <c r="L779" s="32" t="e">
        <f>DATE(YEAR(K779),MONTH(K779)+VLOOKUP($F777,'[1]Membership Level'!$A$3:$B$15,2,FALSE),DAY(K779))</f>
        <v>#N/A</v>
      </c>
      <c r="M779" s="36"/>
      <c r="N779" s="34" t="e">
        <f>IF($L779&lt;&gt;0,DATE(YEAR($L779),MONTH($L779)-#REF!,DAY($L779)-$M779),"")</f>
        <v>#N/A</v>
      </c>
      <c r="O779" s="33" t="e">
        <f t="shared" ca="1" si="15"/>
        <v>#N/A</v>
      </c>
      <c r="P779" s="34" t="e">
        <f>I779/H779*VLOOKUP(F777,'[1]Membership Level'!$A$3:$C$15,3,FALSE)+K779</f>
        <v>#DIV/0!</v>
      </c>
      <c r="Q779" s="36"/>
    </row>
    <row r="780" spans="3:17" x14ac:dyDescent="0.25">
      <c r="C780" s="36"/>
      <c r="D780" s="36"/>
      <c r="E780" s="66"/>
      <c r="F780" s="36"/>
      <c r="G780" s="36"/>
      <c r="H780" s="30"/>
      <c r="I780" s="30"/>
      <c r="J780" s="31"/>
      <c r="K780" s="43"/>
      <c r="L780" s="32" t="e">
        <f>DATE(YEAR(K780),MONTH(K780)+VLOOKUP($F778,'[1]Membership Level'!$A$3:$B$15,2,FALSE),DAY(K780))</f>
        <v>#N/A</v>
      </c>
      <c r="M780" s="36"/>
      <c r="N780" s="34" t="e">
        <f>IF($L780&lt;&gt;0,DATE(YEAR($L780),MONTH($L780)-#REF!,DAY($L780)-$M780),"")</f>
        <v>#N/A</v>
      </c>
      <c r="O780" s="33" t="e">
        <f t="shared" ca="1" si="15"/>
        <v>#N/A</v>
      </c>
      <c r="P780" s="34" t="e">
        <f>I780/H780*VLOOKUP(F778,'[1]Membership Level'!$A$3:$C$15,3,FALSE)+K780</f>
        <v>#DIV/0!</v>
      </c>
      <c r="Q780" s="36"/>
    </row>
    <row r="781" spans="3:17" x14ac:dyDescent="0.25">
      <c r="C781" s="36"/>
      <c r="D781" s="36"/>
      <c r="E781" s="35"/>
      <c r="F781" s="36"/>
      <c r="G781" s="36"/>
      <c r="H781" s="30"/>
      <c r="I781" s="30"/>
      <c r="J781" s="31"/>
      <c r="K781" s="43"/>
      <c r="L781" s="32" t="e">
        <f>DATE(YEAR(K781),MONTH(K781)+VLOOKUP($F779,'[1]Membership Level'!$A$3:$B$15,2,FALSE),DAY(K781))</f>
        <v>#N/A</v>
      </c>
      <c r="M781" s="36"/>
      <c r="N781" s="34" t="e">
        <f>IF($L781&lt;&gt;0,DATE(YEAR($L781),MONTH($L781)-#REF!,DAY($L781)-$M781),"")</f>
        <v>#N/A</v>
      </c>
      <c r="O781" s="33" t="e">
        <f t="shared" ca="1" si="15"/>
        <v>#N/A</v>
      </c>
      <c r="P781" s="34" t="e">
        <f>I781/H781*VLOOKUP(F779,'[1]Membership Level'!$A$3:$C$15,3,FALSE)+K781</f>
        <v>#DIV/0!</v>
      </c>
      <c r="Q781" s="36"/>
    </row>
    <row r="782" spans="3:17" x14ac:dyDescent="0.25">
      <c r="C782" s="36"/>
      <c r="D782" s="36"/>
      <c r="E782" s="66"/>
      <c r="F782" s="36"/>
      <c r="G782" s="36"/>
      <c r="H782" s="30"/>
      <c r="I782" s="30"/>
      <c r="J782" s="31"/>
      <c r="K782" s="43"/>
      <c r="L782" s="32" t="e">
        <f>DATE(YEAR(K782),MONTH(K782)+VLOOKUP($F780,'[1]Membership Level'!$A$3:$B$15,2,FALSE),DAY(K782))</f>
        <v>#N/A</v>
      </c>
      <c r="M782" s="36"/>
      <c r="N782" s="34" t="e">
        <f>IF($L782&lt;&gt;0,DATE(YEAR($L782),MONTH($L782)-#REF!,DAY($L782)-$M782),"")</f>
        <v>#N/A</v>
      </c>
      <c r="O782" s="33" t="e">
        <f t="shared" ca="1" si="15"/>
        <v>#N/A</v>
      </c>
      <c r="P782" s="34" t="e">
        <f>I782/H782*VLOOKUP(F780,'[1]Membership Level'!$A$3:$C$15,3,FALSE)+K782</f>
        <v>#DIV/0!</v>
      </c>
      <c r="Q782" s="36"/>
    </row>
    <row r="783" spans="3:17" x14ac:dyDescent="0.25">
      <c r="C783" s="36"/>
      <c r="D783" s="36"/>
      <c r="E783" s="35"/>
      <c r="F783" s="74"/>
      <c r="G783" s="36"/>
      <c r="H783" s="30"/>
      <c r="I783" s="30"/>
      <c r="J783" s="31"/>
      <c r="K783" s="43"/>
      <c r="L783" s="32" t="e">
        <f>DATE(YEAR(K783),MONTH(K783)+VLOOKUP($F781,'[1]Membership Level'!$A$3:$B$15,2,FALSE),DAY(K783))</f>
        <v>#N/A</v>
      </c>
      <c r="M783" s="36"/>
      <c r="N783" s="34" t="e">
        <f>IF($L783&lt;&gt;0,DATE(YEAR($L783),MONTH($L783)-#REF!,DAY($L783)-$M783),"")</f>
        <v>#N/A</v>
      </c>
      <c r="O783" s="33" t="e">
        <f t="shared" ca="1" si="15"/>
        <v>#N/A</v>
      </c>
      <c r="P783" s="34" t="e">
        <f>I783/H783*VLOOKUP(F781,'[1]Membership Level'!$A$3:$C$15,3,FALSE)+K783</f>
        <v>#DIV/0!</v>
      </c>
      <c r="Q783" s="36"/>
    </row>
    <row r="784" spans="3:17" x14ac:dyDescent="0.25">
      <c r="C784" s="36"/>
      <c r="D784" s="36"/>
      <c r="E784" s="75"/>
      <c r="F784" s="36"/>
      <c r="G784" s="36"/>
      <c r="H784" s="30"/>
      <c r="I784" s="30"/>
      <c r="J784" s="31"/>
      <c r="K784" s="43"/>
      <c r="L784" s="32" t="e">
        <f>DATE(YEAR(K784),MONTH(K784)+VLOOKUP($F782,'[1]Membership Level'!$A$3:$B$15,2,FALSE),DAY(K784))</f>
        <v>#N/A</v>
      </c>
      <c r="M784" s="36"/>
      <c r="N784" s="34" t="e">
        <f>IF($L784&lt;&gt;0,DATE(YEAR($L784),MONTH($L784)-#REF!,DAY($L784)-$M784),"")</f>
        <v>#N/A</v>
      </c>
      <c r="O784" s="33" t="e">
        <f t="shared" ca="1" si="15"/>
        <v>#N/A</v>
      </c>
      <c r="P784" s="34" t="e">
        <f>I784/H784*VLOOKUP(F782,'[1]Membership Level'!$A$3:$C$15,3,FALSE)+K784</f>
        <v>#DIV/0!</v>
      </c>
      <c r="Q784" s="36"/>
    </row>
    <row r="785" spans="3:17" s="56" customFormat="1" x14ac:dyDescent="0.25">
      <c r="C785" s="74"/>
      <c r="D785" s="74"/>
      <c r="E785" s="35"/>
      <c r="F785" s="36"/>
      <c r="G785" s="74"/>
      <c r="H785" s="76"/>
      <c r="I785" s="76"/>
      <c r="J785" s="77"/>
      <c r="K785" s="78"/>
      <c r="L785" s="78" t="e">
        <f>DATE(YEAR(K785),MONTH(K785)+VLOOKUP($F783,'[1]Membership Level'!$A$3:$B$15,2,FALSE),DAY(K785))</f>
        <v>#N/A</v>
      </c>
      <c r="M785" s="74"/>
      <c r="N785" s="34" t="e">
        <f>IF($L785&lt;&gt;0,DATE(YEAR($L785),MONTH($L785)-#REF!,DAY($L785)-$M785),"")</f>
        <v>#N/A</v>
      </c>
      <c r="O785" s="33" t="e">
        <f t="shared" ca="1" si="15"/>
        <v>#N/A</v>
      </c>
      <c r="P785" s="34" t="e">
        <f>I785/H785*VLOOKUP(F783,'[1]Membership Level'!$A$3:$C$15,3,FALSE)+K785</f>
        <v>#DIV/0!</v>
      </c>
      <c r="Q785" s="74"/>
    </row>
    <row r="786" spans="3:17" x14ac:dyDescent="0.25">
      <c r="C786" s="36"/>
      <c r="D786" s="36"/>
      <c r="E786" s="66"/>
      <c r="F786" s="36"/>
      <c r="G786" s="36"/>
      <c r="H786" s="30"/>
      <c r="I786" s="30"/>
      <c r="J786" s="31"/>
      <c r="K786" s="43"/>
      <c r="L786" s="32" t="e">
        <f>DATE(YEAR(K786),MONTH(K786)+VLOOKUP($F784,'[1]Membership Level'!$A$3:$B$15,2,FALSE),DAY(K786))</f>
        <v>#N/A</v>
      </c>
      <c r="M786" s="36"/>
      <c r="N786" s="34" t="e">
        <f>IF($L786&lt;&gt;0,DATE(YEAR($L786),MONTH($L786)-#REF!,DAY($L786)-$M786),"")</f>
        <v>#N/A</v>
      </c>
      <c r="O786" s="33" t="e">
        <f t="shared" ca="1" si="15"/>
        <v>#N/A</v>
      </c>
      <c r="P786" s="34" t="e">
        <f>I786/H786*VLOOKUP(F784,'[1]Membership Level'!$A$3:$C$15,3,FALSE)+K786</f>
        <v>#DIV/0!</v>
      </c>
      <c r="Q786" s="36" t="s">
        <v>37</v>
      </c>
    </row>
    <row r="787" spans="3:17" x14ac:dyDescent="0.25">
      <c r="C787" s="36"/>
      <c r="D787" s="36"/>
      <c r="E787" s="66"/>
      <c r="F787" s="36"/>
      <c r="G787" s="36"/>
      <c r="H787" s="30"/>
      <c r="I787" s="30"/>
      <c r="J787" s="31"/>
      <c r="K787" s="43"/>
      <c r="L787" s="32" t="e">
        <f>DATE(YEAR(K787),MONTH(K787)+VLOOKUP($F785,'[1]Membership Level'!$A$3:$B$15,2,FALSE),DAY(K787))</f>
        <v>#N/A</v>
      </c>
      <c r="M787" s="36"/>
      <c r="N787" s="34" t="e">
        <f>IF($L787&lt;&gt;0,DATE(YEAR($L787),MONTH($L787)-#REF!,DAY($L787)-$M787),"")</f>
        <v>#N/A</v>
      </c>
      <c r="O787" s="33" t="e">
        <f t="shared" ca="1" si="15"/>
        <v>#N/A</v>
      </c>
      <c r="P787" s="34" t="e">
        <f>I787/H787*VLOOKUP(F785,'[1]Membership Level'!$A$3:$C$15,3,FALSE)+K787</f>
        <v>#DIV/0!</v>
      </c>
      <c r="Q787" s="36"/>
    </row>
    <row r="788" spans="3:17" x14ac:dyDescent="0.25">
      <c r="C788" s="36"/>
      <c r="D788" s="36"/>
      <c r="E788" s="66"/>
      <c r="F788" s="74"/>
      <c r="G788" s="36"/>
      <c r="H788" s="30"/>
      <c r="I788" s="30"/>
      <c r="J788" s="31"/>
      <c r="K788" s="43"/>
      <c r="L788" s="32" t="e">
        <f>DATE(YEAR(K788),MONTH(K788)+VLOOKUP($F786,'[1]Membership Level'!$A$3:$B$15,2,FALSE),DAY(K788))</f>
        <v>#N/A</v>
      </c>
      <c r="M788" s="36"/>
      <c r="N788" s="34" t="e">
        <f>IF($L788&lt;&gt;0,DATE(YEAR($L788),MONTH($L788)-#REF!,DAY($L788)-$M788),"")</f>
        <v>#N/A</v>
      </c>
      <c r="O788" s="33" t="e">
        <f t="shared" ca="1" si="15"/>
        <v>#N/A</v>
      </c>
      <c r="P788" s="34" t="e">
        <f>I788/H788*VLOOKUP(F786,'[1]Membership Level'!$A$3:$C$15,3,FALSE)+K788</f>
        <v>#DIV/0!</v>
      </c>
      <c r="Q788" s="36"/>
    </row>
    <row r="789" spans="3:17" x14ac:dyDescent="0.25">
      <c r="C789" s="36"/>
      <c r="D789" s="36"/>
      <c r="E789" s="75"/>
      <c r="F789" s="36"/>
      <c r="G789" s="36"/>
      <c r="H789" s="30"/>
      <c r="I789" s="30"/>
      <c r="J789" s="31"/>
      <c r="K789" s="43"/>
      <c r="L789" s="32" t="e">
        <f>DATE(YEAR(K789),MONTH(K789)+VLOOKUP($F787,'[1]Membership Level'!$A$3:$B$15,2,FALSE),DAY(K789))</f>
        <v>#N/A</v>
      </c>
      <c r="M789" s="36"/>
      <c r="N789" s="34" t="e">
        <f>IF($L789&lt;&gt;0,DATE(YEAR($L789),MONTH($L789)-#REF!,DAY($L789)-$M789),"")</f>
        <v>#N/A</v>
      </c>
      <c r="O789" s="33" t="e">
        <f t="shared" ca="1" si="15"/>
        <v>#N/A</v>
      </c>
      <c r="P789" s="34" t="e">
        <f>I789/H789*VLOOKUP(F787,'[1]Membership Level'!$A$3:$C$15,3,FALSE)+K789</f>
        <v>#DIV/0!</v>
      </c>
      <c r="Q789" s="36"/>
    </row>
    <row r="790" spans="3:17" s="56" customFormat="1" x14ac:dyDescent="0.25">
      <c r="C790" s="74"/>
      <c r="D790" s="74"/>
      <c r="E790" s="66"/>
      <c r="F790" s="33"/>
      <c r="G790" s="74"/>
      <c r="H790" s="76"/>
      <c r="I790" s="76"/>
      <c r="J790" s="77"/>
      <c r="K790" s="78"/>
      <c r="L790" s="78" t="e">
        <f>DATE(YEAR(K790),MONTH(K790)+VLOOKUP($F788,'[1]Membership Level'!$A$3:$B$15,2,FALSE),DAY(K790))</f>
        <v>#N/A</v>
      </c>
      <c r="M790" s="74"/>
      <c r="N790" s="34" t="e">
        <f>IF($L790&lt;&gt;0,DATE(YEAR($L790),MONTH($L790)-#REF!,DAY($L790)-$M790),"")</f>
        <v>#N/A</v>
      </c>
      <c r="O790" s="33" t="e">
        <f t="shared" ca="1" si="15"/>
        <v>#N/A</v>
      </c>
      <c r="P790" s="34" t="e">
        <f>I790/H790*VLOOKUP(F788,'[1]Membership Level'!$A$3:$C$15,3,FALSE)+K790</f>
        <v>#DIV/0!</v>
      </c>
      <c r="Q790" s="74"/>
    </row>
    <row r="791" spans="3:17" x14ac:dyDescent="0.25">
      <c r="C791" s="36"/>
      <c r="D791" s="36"/>
      <c r="E791" s="33"/>
      <c r="F791" s="33"/>
      <c r="G791" s="36"/>
      <c r="H791" s="30"/>
      <c r="I791" s="30"/>
      <c r="J791" s="31"/>
      <c r="K791" s="43"/>
      <c r="L791" s="32" t="e">
        <f>DATE(YEAR(K791),MONTH(K791)+VLOOKUP($F789,'[1]Membership Level'!$A$3:$B$15,2,FALSE),DAY(K791))</f>
        <v>#N/A</v>
      </c>
      <c r="M791" s="36"/>
      <c r="N791" s="34" t="e">
        <f>IF($L791&lt;&gt;0,DATE(YEAR($L791),MONTH($L791)-#REF!,DAY($L791)-$M791),"")</f>
        <v>#N/A</v>
      </c>
      <c r="O791" s="33" t="e">
        <f t="shared" ca="1" si="15"/>
        <v>#N/A</v>
      </c>
      <c r="P791" s="34" t="e">
        <f>I791/H791*VLOOKUP(F789,'[1]Membership Level'!$A$3:$C$15,3,FALSE)+K791</f>
        <v>#DIV/0!</v>
      </c>
      <c r="Q791" s="36"/>
    </row>
    <row r="792" spans="3:17" s="22" customFormat="1" x14ac:dyDescent="0.25">
      <c r="C792" s="33"/>
      <c r="D792" s="33"/>
      <c r="E792" s="33"/>
      <c r="F792" s="33"/>
      <c r="G792" s="33"/>
      <c r="H792" s="44"/>
      <c r="I792" s="44"/>
      <c r="J792" s="31"/>
      <c r="K792" s="32"/>
      <c r="L792" s="32" t="e">
        <f>DATE(YEAR(K792),MONTH(K792)+VLOOKUP($F790,'[1]Membership Level'!$A$3:$B$15,2,FALSE),DAY(K792))</f>
        <v>#N/A</v>
      </c>
      <c r="M792" s="33"/>
      <c r="N792" s="34" t="e">
        <f>IF($L792&lt;&gt;0,DATE(YEAR($L792),MONTH($L792)-#REF!,DAY($L792)-$M792),"")</f>
        <v>#N/A</v>
      </c>
      <c r="O792" s="33" t="e">
        <f t="shared" ca="1" si="15"/>
        <v>#N/A</v>
      </c>
      <c r="P792" s="34" t="e">
        <f>I792/H792*VLOOKUP(F790,'[1]Membership Level'!$A$3:$C$15,3,FALSE)+K792</f>
        <v>#DIV/0!</v>
      </c>
      <c r="Q792" s="33"/>
    </row>
    <row r="793" spans="3:17" s="22" customFormat="1" x14ac:dyDescent="0.25">
      <c r="C793" s="33"/>
      <c r="D793" s="33"/>
      <c r="E793" s="33"/>
      <c r="F793" s="36"/>
      <c r="G793" s="33"/>
      <c r="H793" s="44"/>
      <c r="I793" s="44"/>
      <c r="J793" s="31"/>
      <c r="K793" s="32"/>
      <c r="L793" s="32" t="e">
        <f>DATE(YEAR(K793),MONTH(K793)+VLOOKUP($F791,'[1]Membership Level'!$A$3:$B$15,2,FALSE),DAY(K793))</f>
        <v>#N/A</v>
      </c>
      <c r="M793" s="33"/>
      <c r="N793" s="34" t="e">
        <f>IF($L793&lt;&gt;0,DATE(YEAR($L793),MONTH($L793)-#REF!,DAY($L793)-$M793),"")</f>
        <v>#N/A</v>
      </c>
      <c r="O793" s="33" t="e">
        <f t="shared" ca="1" si="15"/>
        <v>#N/A</v>
      </c>
      <c r="P793" s="34" t="e">
        <f>I793/H793*VLOOKUP(F791,'[1]Membership Level'!$A$3:$C$15,3,FALSE)+K793</f>
        <v>#DIV/0!</v>
      </c>
      <c r="Q793" s="33"/>
    </row>
    <row r="794" spans="3:17" s="22" customFormat="1" x14ac:dyDescent="0.25">
      <c r="C794" s="33"/>
      <c r="D794" s="33"/>
      <c r="E794" s="35"/>
      <c r="F794" s="36"/>
      <c r="G794" s="33"/>
      <c r="H794" s="44"/>
      <c r="I794" s="44"/>
      <c r="J794" s="31"/>
      <c r="K794" s="32"/>
      <c r="L794" s="32" t="e">
        <f>DATE(YEAR(K794),MONTH(K794)+VLOOKUP($F792,'[1]Membership Level'!$A$3:$B$15,2,FALSE),DAY(K794))</f>
        <v>#N/A</v>
      </c>
      <c r="M794" s="33"/>
      <c r="N794" s="34" t="e">
        <f>IF($L794&lt;&gt;0,DATE(YEAR($L794),MONTH($L794)-#REF!,DAY($L794)-$M794),"")</f>
        <v>#N/A</v>
      </c>
      <c r="O794" s="33" t="e">
        <f t="shared" ca="1" si="15"/>
        <v>#N/A</v>
      </c>
      <c r="P794" s="34" t="e">
        <f>I794/H794*VLOOKUP(F792,'[1]Membership Level'!$A$3:$C$15,3,FALSE)+K794</f>
        <v>#DIV/0!</v>
      </c>
      <c r="Q794" s="33"/>
    </row>
    <row r="795" spans="3:17" x14ac:dyDescent="0.25">
      <c r="C795" s="36"/>
      <c r="D795" s="36"/>
      <c r="E795" s="36"/>
      <c r="F795" s="36"/>
      <c r="G795" s="36"/>
      <c r="H795" s="30"/>
      <c r="I795" s="30"/>
      <c r="J795" s="31"/>
      <c r="K795" s="43"/>
      <c r="L795" s="32" t="e">
        <f>DATE(YEAR(K795),MONTH(K795)+VLOOKUP($F793,'[1]Membership Level'!$A$3:$B$15,2,FALSE),DAY(K795))</f>
        <v>#N/A</v>
      </c>
      <c r="M795" s="36"/>
      <c r="N795" s="34" t="e">
        <f>IF($L795&lt;&gt;0,DATE(YEAR($L795),MONTH($L795)-#REF!,DAY($L795)-$M795),"")</f>
        <v>#N/A</v>
      </c>
      <c r="O795" s="33" t="e">
        <f t="shared" ca="1" si="15"/>
        <v>#N/A</v>
      </c>
      <c r="P795" s="34" t="e">
        <f>I795/H795*VLOOKUP(F793,'[1]Membership Level'!$A$3:$C$15,3,FALSE)+K795</f>
        <v>#DIV/0!</v>
      </c>
      <c r="Q795" s="36"/>
    </row>
    <row r="796" spans="3:17" x14ac:dyDescent="0.25">
      <c r="C796" s="36"/>
      <c r="D796" s="36"/>
      <c r="E796" s="36"/>
      <c r="F796" s="36"/>
      <c r="G796" s="36"/>
      <c r="H796" s="30"/>
      <c r="I796" s="30"/>
      <c r="J796" s="31"/>
      <c r="K796" s="43"/>
      <c r="L796" s="32" t="e">
        <f>DATE(YEAR(K796),MONTH(K796)+VLOOKUP($F794,'[1]Membership Level'!$A$3:$B$15,2,FALSE),DAY(K796))</f>
        <v>#N/A</v>
      </c>
      <c r="M796" s="36"/>
      <c r="N796" s="34" t="e">
        <f>IF($L796&lt;&gt;0,DATE(YEAR($L796),MONTH($L796)-#REF!,DAY($L796)-$M796),"")</f>
        <v>#N/A</v>
      </c>
      <c r="O796" s="33" t="e">
        <f t="shared" ca="1" si="15"/>
        <v>#N/A</v>
      </c>
      <c r="P796" s="34" t="e">
        <f>I796/H796*VLOOKUP(F794,'[1]Membership Level'!$A$3:$C$15,3,FALSE)+K796</f>
        <v>#DIV/0!</v>
      </c>
      <c r="Q796" s="36"/>
    </row>
    <row r="797" spans="3:17" x14ac:dyDescent="0.25">
      <c r="C797" s="36"/>
      <c r="D797" s="36"/>
      <c r="E797" s="35"/>
      <c r="F797" s="36"/>
      <c r="G797" s="36"/>
      <c r="H797" s="30"/>
      <c r="I797" s="30"/>
      <c r="J797" s="31"/>
      <c r="K797" s="43"/>
      <c r="L797" s="32" t="e">
        <f>DATE(YEAR(K797),MONTH(K797)+VLOOKUP($F795,'[1]Membership Level'!$A$3:$B$15,2,FALSE),DAY(K797))</f>
        <v>#N/A</v>
      </c>
      <c r="M797" s="36"/>
      <c r="N797" s="34" t="e">
        <f>IF($L797&lt;&gt;0,DATE(YEAR($L797),MONTH($L797)-#REF!,DAY($L797)-$M797),"")</f>
        <v>#N/A</v>
      </c>
      <c r="O797" s="33" t="e">
        <f t="shared" ca="1" si="15"/>
        <v>#N/A</v>
      </c>
      <c r="P797" s="34" t="e">
        <f>I797/H797*VLOOKUP(F795,'[1]Membership Level'!$A$3:$C$15,3,FALSE)+K797</f>
        <v>#DIV/0!</v>
      </c>
      <c r="Q797" s="36"/>
    </row>
    <row r="798" spans="3:17" x14ac:dyDescent="0.25">
      <c r="C798" s="36"/>
      <c r="D798" s="36"/>
      <c r="E798" s="35"/>
      <c r="F798" s="36"/>
      <c r="G798" s="36"/>
      <c r="H798" s="30"/>
      <c r="I798" s="30"/>
      <c r="J798" s="31"/>
      <c r="K798" s="43"/>
      <c r="L798" s="32" t="e">
        <f>DATE(YEAR(K798),MONTH(K798)+VLOOKUP($F796,'[1]Membership Level'!$A$3:$B$15,2,FALSE),DAY(K798))</f>
        <v>#N/A</v>
      </c>
      <c r="M798" s="36"/>
      <c r="N798" s="34" t="e">
        <f>IF($L798&lt;&gt;0,DATE(YEAR($L798),MONTH($L798)-#REF!,DAY($L798)-$M798),"")</f>
        <v>#N/A</v>
      </c>
      <c r="O798" s="33" t="e">
        <f t="shared" ca="1" si="15"/>
        <v>#N/A</v>
      </c>
      <c r="P798" s="34" t="e">
        <f>I798/H798*VLOOKUP(F796,'[1]Membership Level'!$A$3:$C$15,3,FALSE)+K798</f>
        <v>#DIV/0!</v>
      </c>
      <c r="Q798" s="36"/>
    </row>
    <row r="799" spans="3:17" x14ac:dyDescent="0.25">
      <c r="C799" s="36"/>
      <c r="D799" s="36"/>
      <c r="E799" s="36"/>
      <c r="F799" s="36"/>
      <c r="G799" s="36"/>
      <c r="H799" s="30"/>
      <c r="I799" s="30"/>
      <c r="J799" s="31"/>
      <c r="K799" s="43"/>
      <c r="L799" s="32" t="e">
        <f>DATE(YEAR(K799),MONTH(K799)+VLOOKUP($F797,'[1]Membership Level'!$A$3:$B$15,2,FALSE),DAY(K799))</f>
        <v>#N/A</v>
      </c>
      <c r="M799" s="36"/>
      <c r="N799" s="34" t="e">
        <f>IF($L799&lt;&gt;0,DATE(YEAR($L799),MONTH($L799)-#REF!,DAY($L799)-$M799),"")</f>
        <v>#N/A</v>
      </c>
      <c r="O799" s="33" t="e">
        <f t="shared" ca="1" si="15"/>
        <v>#N/A</v>
      </c>
      <c r="P799" s="34" t="e">
        <f>I799/H799*VLOOKUP(F797,'[1]Membership Level'!$A$3:$C$15,3,FALSE)+K799</f>
        <v>#DIV/0!</v>
      </c>
      <c r="Q799" s="36"/>
    </row>
    <row r="800" spans="3:17" x14ac:dyDescent="0.25">
      <c r="C800" s="36"/>
      <c r="D800" s="36"/>
      <c r="E800" s="66"/>
      <c r="F800" s="36"/>
      <c r="G800" s="36"/>
      <c r="H800" s="30"/>
      <c r="I800" s="30"/>
      <c r="J800" s="31"/>
      <c r="K800" s="43"/>
      <c r="L800" s="32" t="e">
        <f>DATE(YEAR(K800),MONTH(K800)+VLOOKUP($F798,'[1]Membership Level'!$A$3:$B$15,2,FALSE),DAY(K800))</f>
        <v>#N/A</v>
      </c>
      <c r="M800" s="36"/>
      <c r="N800" s="34" t="e">
        <f>IF($L800&lt;&gt;0,DATE(YEAR($L800),MONTH($L800)-#REF!,DAY($L800)-$M800),"")</f>
        <v>#N/A</v>
      </c>
      <c r="O800" s="33" t="e">
        <f t="shared" ca="1" si="15"/>
        <v>#N/A</v>
      </c>
      <c r="P800" s="34" t="e">
        <f>I800/H800*VLOOKUP(F798,'[1]Membership Level'!$A$3:$C$15,3,FALSE)+K800</f>
        <v>#DIV/0!</v>
      </c>
      <c r="Q800" s="36"/>
    </row>
    <row r="801" spans="3:17" x14ac:dyDescent="0.25">
      <c r="C801" s="36"/>
      <c r="D801" s="36"/>
      <c r="E801" s="66"/>
      <c r="F801" s="36"/>
      <c r="G801" s="36"/>
      <c r="H801" s="30"/>
      <c r="I801" s="30"/>
      <c r="J801" s="31"/>
      <c r="K801" s="43"/>
      <c r="L801" s="32" t="e">
        <f>DATE(YEAR(K801),MONTH(K801)+VLOOKUP($F799,'[1]Membership Level'!$A$3:$B$15,2,FALSE),DAY(K801))</f>
        <v>#N/A</v>
      </c>
      <c r="M801" s="36"/>
      <c r="N801" s="34" t="e">
        <f>IF($L801&lt;&gt;0,DATE(YEAR($L801),MONTH($L801)-#REF!,DAY($L801)-$M801),"")</f>
        <v>#N/A</v>
      </c>
      <c r="O801" s="33" t="e">
        <f t="shared" ca="1" si="15"/>
        <v>#N/A</v>
      </c>
      <c r="P801" s="34" t="e">
        <f>I801/H801*VLOOKUP(F799,'[1]Membership Level'!$A$3:$C$15,3,FALSE)+K801</f>
        <v>#DIV/0!</v>
      </c>
      <c r="Q801" s="36"/>
    </row>
    <row r="802" spans="3:17" x14ac:dyDescent="0.25">
      <c r="C802" s="36"/>
      <c r="D802" s="36"/>
      <c r="E802" s="36"/>
      <c r="F802" s="36"/>
      <c r="G802" s="36"/>
      <c r="H802" s="30"/>
      <c r="I802" s="30"/>
      <c r="J802" s="31"/>
      <c r="K802" s="43"/>
      <c r="L802" s="32" t="e">
        <f>DATE(YEAR(K802),MONTH(K802)+VLOOKUP($F800,'[1]Membership Level'!$A$3:$B$15,2,FALSE),DAY(K802))</f>
        <v>#N/A</v>
      </c>
      <c r="M802" s="36"/>
      <c r="N802" s="34" t="e">
        <f>IF($L802&lt;&gt;0,DATE(YEAR($L802),MONTH($L802)-#REF!,DAY($L802)-$M802),"")</f>
        <v>#N/A</v>
      </c>
      <c r="O802" s="33" t="e">
        <f t="shared" ca="1" si="15"/>
        <v>#N/A</v>
      </c>
      <c r="P802" s="34" t="e">
        <f>I802/H802*VLOOKUP(F800,'[1]Membership Level'!$A$3:$C$15,3,FALSE)+K802</f>
        <v>#DIV/0!</v>
      </c>
      <c r="Q802" s="36"/>
    </row>
    <row r="803" spans="3:17" x14ac:dyDescent="0.25">
      <c r="C803" s="36"/>
      <c r="D803" s="36"/>
      <c r="E803" s="36"/>
      <c r="F803" s="36"/>
      <c r="G803" s="36"/>
      <c r="H803" s="30"/>
      <c r="I803" s="30"/>
      <c r="J803" s="31"/>
      <c r="K803" s="43"/>
      <c r="L803" s="32" t="e">
        <f>DATE(YEAR(K803),MONTH(K803)+VLOOKUP($F801,'[1]Membership Level'!$A$3:$B$15,2,FALSE),DAY(K803))</f>
        <v>#N/A</v>
      </c>
      <c r="M803" s="36"/>
      <c r="N803" s="34" t="e">
        <f>IF($L803&lt;&gt;0,DATE(YEAR($L803),MONTH($L803)-#REF!,DAY($L803)-$M803),"")</f>
        <v>#N/A</v>
      </c>
      <c r="O803" s="33" t="e">
        <f t="shared" ca="1" si="15"/>
        <v>#N/A</v>
      </c>
      <c r="P803" s="34" t="e">
        <f>I803/H803*VLOOKUP(F801,'[1]Membership Level'!$A$3:$C$15,3,FALSE)+K803</f>
        <v>#DIV/0!</v>
      </c>
      <c r="Q803" s="36"/>
    </row>
    <row r="804" spans="3:17" x14ac:dyDescent="0.25">
      <c r="C804" s="36"/>
      <c r="D804" s="36"/>
      <c r="E804" s="66"/>
      <c r="F804" s="36"/>
      <c r="G804" s="36"/>
      <c r="H804" s="30"/>
      <c r="I804" s="30"/>
      <c r="J804" s="31"/>
      <c r="K804" s="43"/>
      <c r="L804" s="32" t="e">
        <f>DATE(YEAR(K804),MONTH(K804)+VLOOKUP($F802,'[1]Membership Level'!$A$3:$B$15,2,FALSE),DAY(K804))</f>
        <v>#N/A</v>
      </c>
      <c r="M804" s="36"/>
      <c r="N804" s="34" t="e">
        <f>IF($L804&lt;&gt;0,DATE(YEAR($L804),MONTH($L804)-#REF!,DAY($L804)-$M804),"")</f>
        <v>#N/A</v>
      </c>
      <c r="O804" s="33" t="e">
        <f t="shared" ca="1" si="15"/>
        <v>#N/A</v>
      </c>
      <c r="P804" s="34" t="e">
        <f>I804/H804*VLOOKUP(F802,'[1]Membership Level'!$A$3:$C$15,3,FALSE)+K804</f>
        <v>#DIV/0!</v>
      </c>
      <c r="Q804" s="36"/>
    </row>
    <row r="805" spans="3:17" x14ac:dyDescent="0.25">
      <c r="C805" s="36"/>
      <c r="D805" s="36"/>
      <c r="E805" s="35"/>
      <c r="F805" s="36"/>
      <c r="G805" s="36"/>
      <c r="H805" s="30"/>
      <c r="I805" s="30"/>
      <c r="J805" s="31"/>
      <c r="K805" s="43"/>
      <c r="L805" s="32" t="e">
        <f>DATE(YEAR(K805),MONTH(K805)+VLOOKUP($F803,'[1]Membership Level'!$A$3:$B$15,2,FALSE),DAY(K805))</f>
        <v>#N/A</v>
      </c>
      <c r="M805" s="36"/>
      <c r="N805" s="34" t="e">
        <f>IF($L805&lt;&gt;0,DATE(YEAR($L805),MONTH($L805)-#REF!,DAY($L805)-$M805),"")</f>
        <v>#N/A</v>
      </c>
      <c r="O805" s="33" t="e">
        <f t="shared" ca="1" si="15"/>
        <v>#N/A</v>
      </c>
      <c r="P805" s="34" t="e">
        <f>I805/H805*VLOOKUP(F803,'[1]Membership Level'!$A$3:$C$15,3,FALSE)+K805</f>
        <v>#DIV/0!</v>
      </c>
      <c r="Q805" s="36"/>
    </row>
    <row r="806" spans="3:17" x14ac:dyDescent="0.25">
      <c r="C806" s="36"/>
      <c r="D806" s="36"/>
      <c r="E806" s="35"/>
      <c r="F806" s="36"/>
      <c r="G806" s="36"/>
      <c r="H806" s="30"/>
      <c r="I806" s="30"/>
      <c r="J806" s="31"/>
      <c r="K806" s="43"/>
      <c r="L806" s="32" t="e">
        <f>DATE(YEAR(K806),MONTH(K806)+VLOOKUP($F804,'[1]Membership Level'!$A$3:$B$15,2,FALSE),DAY(K806))</f>
        <v>#N/A</v>
      </c>
      <c r="M806" s="36"/>
      <c r="N806" s="34" t="e">
        <f>IF($L806&lt;&gt;0,DATE(YEAR($L806),MONTH($L806)-#REF!,DAY($L806)-$M806),"")</f>
        <v>#N/A</v>
      </c>
      <c r="O806" s="33" t="e">
        <f t="shared" ca="1" si="15"/>
        <v>#N/A</v>
      </c>
      <c r="P806" s="34" t="e">
        <f>I806/H806*VLOOKUP(F804,'[1]Membership Level'!$A$3:$C$15,3,FALSE)+K806</f>
        <v>#DIV/0!</v>
      </c>
      <c r="Q806" s="36"/>
    </row>
    <row r="807" spans="3:17" x14ac:dyDescent="0.25">
      <c r="C807" s="36"/>
      <c r="D807" s="36"/>
      <c r="E807" s="35"/>
      <c r="F807" s="36"/>
      <c r="G807" s="36"/>
      <c r="H807" s="30"/>
      <c r="I807" s="30"/>
      <c r="J807" s="31"/>
      <c r="K807" s="43"/>
      <c r="L807" s="32" t="e">
        <f>DATE(YEAR(K807),MONTH(K807)+VLOOKUP($F805,'[1]Membership Level'!$A$3:$B$15,2,FALSE),DAY(K807))</f>
        <v>#N/A</v>
      </c>
      <c r="M807" s="36"/>
      <c r="N807" s="34" t="e">
        <f>IF($L807&lt;&gt;0,DATE(YEAR($L807),MONTH($L807)-#REF!,DAY($L807)-$M807),"")</f>
        <v>#N/A</v>
      </c>
      <c r="O807" s="33" t="e">
        <f t="shared" ca="1" si="15"/>
        <v>#N/A</v>
      </c>
      <c r="P807" s="34" t="e">
        <f>I807/H807*VLOOKUP(F805,'[1]Membership Level'!$A$3:$C$15,3,FALSE)+K807</f>
        <v>#DIV/0!</v>
      </c>
      <c r="Q807" s="36"/>
    </row>
    <row r="808" spans="3:17" x14ac:dyDescent="0.25">
      <c r="C808" s="36"/>
      <c r="D808" s="36"/>
      <c r="E808" s="35"/>
      <c r="F808" s="36"/>
      <c r="G808" s="36"/>
      <c r="H808" s="30"/>
      <c r="I808" s="30"/>
      <c r="J808" s="31"/>
      <c r="K808" s="43"/>
      <c r="L808" s="32" t="e">
        <f>DATE(YEAR(K808),MONTH(K808)+VLOOKUP($F806,'[1]Membership Level'!$A$3:$B$15,2,FALSE),DAY(K808))</f>
        <v>#N/A</v>
      </c>
      <c r="M808" s="36"/>
      <c r="N808" s="34" t="e">
        <f>IF($L808&lt;&gt;0,DATE(YEAR($L808),MONTH($L808)-#REF!,DAY($L808)-$M808),"")</f>
        <v>#N/A</v>
      </c>
      <c r="O808" s="33" t="e">
        <f t="shared" ca="1" si="15"/>
        <v>#N/A</v>
      </c>
      <c r="P808" s="34" t="e">
        <f>I808/H808*VLOOKUP(F806,'[1]Membership Level'!$A$3:$C$15,3,FALSE)+K808</f>
        <v>#DIV/0!</v>
      </c>
      <c r="Q808" s="36"/>
    </row>
    <row r="809" spans="3:17" s="63" customFormat="1" x14ac:dyDescent="0.25">
      <c r="C809" s="36"/>
      <c r="D809" s="36"/>
      <c r="E809" s="36"/>
      <c r="F809" s="36"/>
      <c r="G809" s="36"/>
      <c r="H809" s="30"/>
      <c r="I809" s="30"/>
      <c r="J809" s="31"/>
      <c r="K809" s="43"/>
      <c r="L809" s="32" t="e">
        <f>DATE(YEAR(K809),MONTH(K809)+VLOOKUP($F807,'[1]Membership Level'!$A$3:$B$15,2,FALSE),DAY(K809))</f>
        <v>#N/A</v>
      </c>
      <c r="M809" s="36"/>
      <c r="N809" s="34" t="e">
        <f>IF($L809&lt;&gt;0,DATE(YEAR($L809),MONTH($L809)-#REF!,DAY($L809)-$M809),"")</f>
        <v>#N/A</v>
      </c>
      <c r="O809" s="33" t="e">
        <f t="shared" ca="1" si="15"/>
        <v>#N/A</v>
      </c>
      <c r="P809" s="34" t="e">
        <f>I809/H809*VLOOKUP(F807,'[1]Membership Level'!$A$3:$C$15,3,FALSE)+K809</f>
        <v>#DIV/0!</v>
      </c>
      <c r="Q809" s="36"/>
    </row>
    <row r="810" spans="3:17" s="63" customFormat="1" x14ac:dyDescent="0.25">
      <c r="C810" s="36"/>
      <c r="D810" s="36"/>
      <c r="E810" s="66"/>
      <c r="F810" s="36"/>
      <c r="G810" s="36"/>
      <c r="H810" s="30"/>
      <c r="I810" s="30"/>
      <c r="J810" s="31"/>
      <c r="K810" s="43"/>
      <c r="L810" s="32" t="e">
        <f>DATE(YEAR(K810),MONTH(K810)+VLOOKUP($F808,'[1]Membership Level'!$A$3:$B$15,2,FALSE),DAY(K810))</f>
        <v>#N/A</v>
      </c>
      <c r="M810" s="36"/>
      <c r="N810" s="34" t="e">
        <f>IF($L810&lt;&gt;0,DATE(YEAR($L810),MONTH($L810)-#REF!,DAY($L810)-$M810),"")</f>
        <v>#N/A</v>
      </c>
      <c r="O810" s="33" t="e">
        <f t="shared" ca="1" si="15"/>
        <v>#N/A</v>
      </c>
      <c r="P810" s="34" t="e">
        <f>I810/H810*VLOOKUP(F808,'[1]Membership Level'!$A$3:$C$15,3,FALSE)+K810</f>
        <v>#DIV/0!</v>
      </c>
      <c r="Q810" s="36"/>
    </row>
    <row r="811" spans="3:17" s="63" customFormat="1" x14ac:dyDescent="0.25">
      <c r="C811" s="36"/>
      <c r="D811" s="36"/>
      <c r="E811" s="36"/>
      <c r="F811" s="36"/>
      <c r="G811" s="36"/>
      <c r="H811" s="30"/>
      <c r="I811" s="30"/>
      <c r="J811" s="31"/>
      <c r="K811" s="43"/>
      <c r="L811" s="32" t="e">
        <f>DATE(YEAR(K811),MONTH(K811)+VLOOKUP($F809,'[1]Membership Level'!$A$3:$B$15,2,FALSE),DAY(K811))</f>
        <v>#N/A</v>
      </c>
      <c r="M811" s="36"/>
      <c r="N811" s="34" t="e">
        <f>IF($L811&lt;&gt;0,DATE(YEAR($L811),MONTH($L811)-#REF!,DAY($L811)-$M811),"")</f>
        <v>#N/A</v>
      </c>
      <c r="O811" s="33" t="e">
        <f t="shared" ca="1" si="15"/>
        <v>#N/A</v>
      </c>
      <c r="P811" s="34" t="e">
        <f>I811/H811*VLOOKUP(F809,'[1]Membership Level'!$A$3:$C$15,3,FALSE)+K811</f>
        <v>#DIV/0!</v>
      </c>
      <c r="Q811" s="36"/>
    </row>
    <row r="812" spans="3:17" s="63" customFormat="1" x14ac:dyDescent="0.25">
      <c r="C812" s="36"/>
      <c r="D812" s="36"/>
      <c r="E812" s="35"/>
      <c r="F812" s="36"/>
      <c r="G812" s="36"/>
      <c r="H812" s="30"/>
      <c r="I812" s="30"/>
      <c r="J812" s="31"/>
      <c r="K812" s="43"/>
      <c r="L812" s="32" t="e">
        <f>DATE(YEAR(K812),MONTH(K812)+VLOOKUP($F810,'[1]Membership Level'!$A$3:$B$15,2,FALSE),DAY(K812))</f>
        <v>#N/A</v>
      </c>
      <c r="M812" s="36"/>
      <c r="N812" s="34" t="e">
        <f>IF($L812&lt;&gt;0,DATE(YEAR($L812),MONTH($L812)-#REF!,DAY($L812)-$M812),"")</f>
        <v>#N/A</v>
      </c>
      <c r="O812" s="33" t="e">
        <f t="shared" ca="1" si="15"/>
        <v>#N/A</v>
      </c>
      <c r="P812" s="34" t="e">
        <f>I812/H812*VLOOKUP(F810,'[1]Membership Level'!$A$3:$C$15,3,FALSE)+K812</f>
        <v>#DIV/0!</v>
      </c>
      <c r="Q812" s="36"/>
    </row>
    <row r="813" spans="3:17" x14ac:dyDescent="0.25">
      <c r="C813" s="36"/>
      <c r="D813" s="36"/>
      <c r="E813" s="35"/>
      <c r="F813" s="36"/>
      <c r="G813" s="36"/>
      <c r="H813" s="30"/>
      <c r="I813" s="30"/>
      <c r="J813" s="31"/>
      <c r="K813" s="43"/>
      <c r="L813" s="32" t="e">
        <f>DATE(YEAR(K813),MONTH(K813)+VLOOKUP($F811,'[1]Membership Level'!$A$3:$B$15,2,FALSE),DAY(K813))</f>
        <v>#N/A</v>
      </c>
      <c r="M813" s="36"/>
      <c r="N813" s="34" t="e">
        <f>IF($L813&lt;&gt;0,DATE(YEAR($L813),MONTH($L813)-#REF!,DAY($L813)-$M813),"")</f>
        <v>#N/A</v>
      </c>
      <c r="O813" s="33" t="e">
        <f t="shared" ca="1" si="15"/>
        <v>#N/A</v>
      </c>
      <c r="P813" s="34" t="e">
        <f>I813/H813*VLOOKUP(F811,'[1]Membership Level'!$A$3:$C$15,3,FALSE)+K813</f>
        <v>#DIV/0!</v>
      </c>
      <c r="Q813" s="36"/>
    </row>
    <row r="814" spans="3:17" x14ac:dyDescent="0.25">
      <c r="C814" s="36"/>
      <c r="D814" s="36"/>
      <c r="E814" s="35"/>
      <c r="F814" s="36"/>
      <c r="G814" s="36"/>
      <c r="H814" s="30"/>
      <c r="I814" s="30"/>
      <c r="J814" s="31"/>
      <c r="K814" s="43"/>
      <c r="L814" s="32" t="e">
        <f>DATE(YEAR(K814),MONTH(K814)+VLOOKUP($F812,'[1]Membership Level'!$A$3:$B$15,2,FALSE),DAY(K814))</f>
        <v>#N/A</v>
      </c>
      <c r="M814" s="36"/>
      <c r="N814" s="34" t="e">
        <f>IF($L814&lt;&gt;0,DATE(YEAR($L814),MONTH($L814)-#REF!,DAY($L814)-$M814),"")</f>
        <v>#N/A</v>
      </c>
      <c r="O814" s="33" t="e">
        <f t="shared" ca="1" si="15"/>
        <v>#N/A</v>
      </c>
      <c r="P814" s="34" t="e">
        <f>I814/H814*VLOOKUP(F812,'[1]Membership Level'!$A$3:$C$15,3,FALSE)+K814</f>
        <v>#DIV/0!</v>
      </c>
      <c r="Q814" s="36"/>
    </row>
    <row r="815" spans="3:17" x14ac:dyDescent="0.25">
      <c r="C815" s="36"/>
      <c r="D815" s="36"/>
      <c r="E815" s="35"/>
      <c r="F815" s="36"/>
      <c r="G815" s="36"/>
      <c r="H815" s="30"/>
      <c r="I815" s="30"/>
      <c r="J815" s="31"/>
      <c r="K815" s="43"/>
      <c r="L815" s="32" t="e">
        <f>DATE(YEAR(K815),MONTH(K815)+VLOOKUP($F813,'[1]Membership Level'!$A$3:$B$15,2,FALSE),DAY(K815))</f>
        <v>#N/A</v>
      </c>
      <c r="M815" s="36"/>
      <c r="N815" s="34" t="e">
        <f>IF($L815&lt;&gt;0,DATE(YEAR($L815),MONTH($L815)-#REF!,DAY($L815)-$M815),"")</f>
        <v>#N/A</v>
      </c>
      <c r="O815" s="33" t="e">
        <f t="shared" ca="1" si="15"/>
        <v>#N/A</v>
      </c>
      <c r="P815" s="34" t="e">
        <f>I815/H815*VLOOKUP(F813,'[1]Membership Level'!$A$3:$C$15,3,FALSE)+K815</f>
        <v>#DIV/0!</v>
      </c>
      <c r="Q815" s="36"/>
    </row>
    <row r="816" spans="3:17" x14ac:dyDescent="0.25">
      <c r="C816" s="36"/>
      <c r="D816" s="36"/>
      <c r="E816" s="36"/>
      <c r="F816" s="36"/>
      <c r="G816" s="36"/>
      <c r="H816" s="30"/>
      <c r="I816" s="30"/>
      <c r="J816" s="31"/>
      <c r="K816" s="43"/>
      <c r="L816" s="32" t="e">
        <f>DATE(YEAR(K816),MONTH(K816)+VLOOKUP($F814,'[1]Membership Level'!$A$3:$B$15,2,FALSE),DAY(K816))</f>
        <v>#N/A</v>
      </c>
      <c r="M816" s="36"/>
      <c r="N816" s="34" t="e">
        <f>IF($L816&lt;&gt;0,DATE(YEAR($L816),MONTH($L816)-#REF!,DAY($L816)-$M816),"")</f>
        <v>#N/A</v>
      </c>
      <c r="O816" s="33" t="e">
        <f t="shared" ca="1" si="15"/>
        <v>#N/A</v>
      </c>
      <c r="P816" s="34" t="e">
        <f>I816/H816*VLOOKUP(F814,'[1]Membership Level'!$A$3:$C$15,3,FALSE)+K816</f>
        <v>#DIV/0!</v>
      </c>
      <c r="Q816" s="36"/>
    </row>
    <row r="817" spans="3:17" x14ac:dyDescent="0.25">
      <c r="C817" s="36"/>
      <c r="D817" s="36"/>
      <c r="E817" s="36"/>
      <c r="F817" s="36"/>
      <c r="G817" s="36"/>
      <c r="H817" s="30"/>
      <c r="I817" s="30"/>
      <c r="J817" s="31"/>
      <c r="K817" s="43"/>
      <c r="L817" s="32" t="e">
        <f>DATE(YEAR(K817),MONTH(K817)+VLOOKUP($F815,'[1]Membership Level'!$A$3:$B$15,2,FALSE),DAY(K817))</f>
        <v>#N/A</v>
      </c>
      <c r="M817" s="36"/>
      <c r="N817" s="34" t="e">
        <f>IF($L817&lt;&gt;0,DATE(YEAR($L817),MONTH($L817)-#REF!,DAY($L817)-$M817),"")</f>
        <v>#N/A</v>
      </c>
      <c r="O817" s="33" t="e">
        <f t="shared" ca="1" si="15"/>
        <v>#N/A</v>
      </c>
      <c r="P817" s="34" t="e">
        <f>I817/H817*VLOOKUP(F815,'[1]Membership Level'!$A$3:$C$15,3,FALSE)+K817</f>
        <v>#DIV/0!</v>
      </c>
      <c r="Q817" s="36"/>
    </row>
    <row r="818" spans="3:17" x14ac:dyDescent="0.25">
      <c r="C818" s="36"/>
      <c r="D818" s="36"/>
      <c r="E818" s="36"/>
      <c r="F818" s="36"/>
      <c r="G818" s="36"/>
      <c r="H818" s="30"/>
      <c r="I818" s="30"/>
      <c r="J818" s="31"/>
      <c r="K818" s="43"/>
      <c r="L818" s="32" t="e">
        <f>DATE(YEAR(K818),MONTH(K818)+VLOOKUP($F816,'[1]Membership Level'!$A$3:$B$15,2,FALSE),DAY(K818))</f>
        <v>#N/A</v>
      </c>
      <c r="M818" s="36"/>
      <c r="N818" s="34" t="e">
        <f>IF($L818&lt;&gt;0,DATE(YEAR($L818),MONTH($L818)-#REF!,DAY($L818)-$M818),"")</f>
        <v>#N/A</v>
      </c>
      <c r="O818" s="33" t="e">
        <f t="shared" ca="1" si="15"/>
        <v>#N/A</v>
      </c>
      <c r="P818" s="34" t="e">
        <f>I818/H818*VLOOKUP(F816,'[1]Membership Level'!$A$3:$C$15,3,FALSE)+K818</f>
        <v>#DIV/0!</v>
      </c>
      <c r="Q818" s="36"/>
    </row>
    <row r="819" spans="3:17" x14ac:dyDescent="0.25">
      <c r="C819" s="36"/>
      <c r="D819" s="36"/>
      <c r="E819" s="36"/>
      <c r="F819" s="36"/>
      <c r="G819" s="36"/>
      <c r="H819" s="30"/>
      <c r="I819" s="30"/>
      <c r="J819" s="31"/>
      <c r="K819" s="43"/>
      <c r="L819" s="32" t="e">
        <f>DATE(YEAR(K819),MONTH(K819)+VLOOKUP($F817,'[1]Membership Level'!$A$3:$B$15,2,FALSE),DAY(K819))</f>
        <v>#N/A</v>
      </c>
      <c r="M819" s="36"/>
      <c r="N819" s="34" t="e">
        <f>IF($L819&lt;&gt;0,DATE(YEAR($L819),MONTH($L819)-#REF!,DAY($L819)-$M819),"")</f>
        <v>#N/A</v>
      </c>
      <c r="O819" s="33" t="e">
        <f t="shared" ca="1" si="15"/>
        <v>#N/A</v>
      </c>
      <c r="P819" s="34" t="e">
        <f>I819/H819*VLOOKUP(F817,'[1]Membership Level'!$A$3:$C$15,3,FALSE)+K819</f>
        <v>#DIV/0!</v>
      </c>
      <c r="Q819" s="36"/>
    </row>
    <row r="820" spans="3:17" x14ac:dyDescent="0.25">
      <c r="C820" s="36"/>
      <c r="D820" s="36"/>
      <c r="E820" s="35"/>
      <c r="F820" s="36"/>
      <c r="G820" s="36"/>
      <c r="H820" s="30"/>
      <c r="I820" s="30"/>
      <c r="J820" s="31"/>
      <c r="K820" s="43"/>
      <c r="L820" s="32" t="e">
        <f>DATE(YEAR(K820),MONTH(K820)+VLOOKUP($F818,'[1]Membership Level'!$A$3:$B$15,2,FALSE),DAY(K820))</f>
        <v>#N/A</v>
      </c>
      <c r="M820" s="36"/>
      <c r="N820" s="34" t="e">
        <f>IF($L820&lt;&gt;0,DATE(YEAR($L820),MONTH($L820)-#REF!,DAY($L820)-$M820),"")</f>
        <v>#N/A</v>
      </c>
      <c r="O820" s="33" t="e">
        <f t="shared" ca="1" si="15"/>
        <v>#N/A</v>
      </c>
      <c r="P820" s="34" t="e">
        <f>I820/H820*VLOOKUP(F818,'[1]Membership Level'!$A$3:$C$15,3,FALSE)+K820</f>
        <v>#DIV/0!</v>
      </c>
      <c r="Q820" s="36"/>
    </row>
    <row r="821" spans="3:17" x14ac:dyDescent="0.25">
      <c r="C821" s="36"/>
      <c r="D821" s="36"/>
      <c r="E821" s="35"/>
      <c r="F821" s="36"/>
      <c r="G821" s="36"/>
      <c r="H821" s="30"/>
      <c r="I821" s="30"/>
      <c r="J821" s="31"/>
      <c r="K821" s="43"/>
      <c r="L821" s="32" t="e">
        <f>DATE(YEAR(K821),MONTH(K821)+VLOOKUP($F819,'[1]Membership Level'!$A$3:$B$15,2,FALSE),DAY(K821))</f>
        <v>#N/A</v>
      </c>
      <c r="M821" s="36"/>
      <c r="N821" s="34" t="e">
        <f>IF($L821&lt;&gt;0,DATE(YEAR($L821),MONTH($L821)-#REF!,DAY($L821)-$M821),"")</f>
        <v>#N/A</v>
      </c>
      <c r="O821" s="33" t="e">
        <f t="shared" ca="1" si="15"/>
        <v>#N/A</v>
      </c>
      <c r="P821" s="34" t="e">
        <f>I821/H821*VLOOKUP(F819,'[1]Membership Level'!$A$3:$C$15,3,FALSE)+K821</f>
        <v>#DIV/0!</v>
      </c>
      <c r="Q821" s="36"/>
    </row>
    <row r="822" spans="3:17" x14ac:dyDescent="0.25">
      <c r="C822" s="36"/>
      <c r="D822" s="36"/>
      <c r="E822" s="35"/>
      <c r="F822" s="36"/>
      <c r="G822" s="36"/>
      <c r="H822" s="30"/>
      <c r="I822" s="30"/>
      <c r="J822" s="31"/>
      <c r="K822" s="43"/>
      <c r="L822" s="32" t="e">
        <f>DATE(YEAR(K822),MONTH(K822)+VLOOKUP($F820,'[1]Membership Level'!$A$3:$B$15,2,FALSE),DAY(K822))</f>
        <v>#N/A</v>
      </c>
      <c r="M822" s="36"/>
      <c r="N822" s="34" t="e">
        <f>IF($L822&lt;&gt;0,DATE(YEAR($L822),MONTH($L822)-#REF!,DAY($L822)-$M822),"")</f>
        <v>#N/A</v>
      </c>
      <c r="O822" s="33" t="e">
        <f t="shared" ca="1" si="15"/>
        <v>#N/A</v>
      </c>
      <c r="P822" s="34" t="e">
        <f>I822/H822*VLOOKUP(F820,'[1]Membership Level'!$A$3:$C$15,3,FALSE)+K822</f>
        <v>#DIV/0!</v>
      </c>
      <c r="Q822" s="36"/>
    </row>
    <row r="823" spans="3:17" x14ac:dyDescent="0.25">
      <c r="C823" s="36"/>
      <c r="D823" s="36"/>
      <c r="E823" s="35"/>
      <c r="F823" s="36"/>
      <c r="G823" s="36"/>
      <c r="H823" s="30"/>
      <c r="I823" s="30"/>
      <c r="J823" s="31"/>
      <c r="K823" s="43"/>
      <c r="L823" s="32" t="e">
        <f>DATE(YEAR(K823),MONTH(K823)+VLOOKUP($F821,'[1]Membership Level'!$A$3:$B$15,2,FALSE),DAY(K823))</f>
        <v>#N/A</v>
      </c>
      <c r="M823" s="36"/>
      <c r="N823" s="34" t="e">
        <f>IF($L823&lt;&gt;0,DATE(YEAR($L823),MONTH($L823)-#REF!,DAY($L823)-$M823),"")</f>
        <v>#N/A</v>
      </c>
      <c r="O823" s="33" t="e">
        <f t="shared" ca="1" si="15"/>
        <v>#N/A</v>
      </c>
      <c r="P823" s="34" t="e">
        <f>I823/H823*VLOOKUP(F821,'[1]Membership Level'!$A$3:$C$15,3,FALSE)+K823</f>
        <v>#DIV/0!</v>
      </c>
      <c r="Q823" s="36"/>
    </row>
    <row r="824" spans="3:17" x14ac:dyDescent="0.25">
      <c r="C824" s="36"/>
      <c r="D824" s="36"/>
      <c r="E824" s="35"/>
      <c r="F824" s="36"/>
      <c r="G824" s="36"/>
      <c r="H824" s="30"/>
      <c r="I824" s="30"/>
      <c r="J824" s="31"/>
      <c r="K824" s="43"/>
      <c r="L824" s="32" t="e">
        <f>DATE(YEAR(K824),MONTH(K824)+VLOOKUP($F822,'[1]Membership Level'!$A$3:$B$15,2,FALSE),DAY(K824))</f>
        <v>#N/A</v>
      </c>
      <c r="M824" s="36"/>
      <c r="N824" s="34" t="e">
        <f>IF($L824&lt;&gt;0,DATE(YEAR($L824),MONTH($L824)-#REF!,DAY($L824)-$M824),"")</f>
        <v>#N/A</v>
      </c>
      <c r="O824" s="33" t="e">
        <f t="shared" ca="1" si="15"/>
        <v>#N/A</v>
      </c>
      <c r="P824" s="34" t="e">
        <f>I824/H824*VLOOKUP(F822,'[1]Membership Level'!$A$3:$C$15,3,FALSE)+K824</f>
        <v>#DIV/0!</v>
      </c>
      <c r="Q824" s="36"/>
    </row>
    <row r="825" spans="3:17" x14ac:dyDescent="0.25">
      <c r="C825" s="36"/>
      <c r="D825" s="36"/>
      <c r="E825" s="66"/>
      <c r="F825" s="36"/>
      <c r="G825" s="36"/>
      <c r="H825" s="30"/>
      <c r="I825" s="30"/>
      <c r="J825" s="31"/>
      <c r="K825" s="43"/>
      <c r="L825" s="32" t="e">
        <f>DATE(YEAR(K825),MONTH(K825)+VLOOKUP($F823,'[1]Membership Level'!$A$3:$B$15,2,FALSE),DAY(K825))</f>
        <v>#N/A</v>
      </c>
      <c r="M825" s="36"/>
      <c r="N825" s="34" t="e">
        <f>IF($L825&lt;&gt;0,DATE(YEAR($L825),MONTH($L825)-#REF!,DAY($L825)-$M825),"")</f>
        <v>#N/A</v>
      </c>
      <c r="O825" s="33" t="e">
        <f t="shared" ca="1" si="15"/>
        <v>#N/A</v>
      </c>
      <c r="P825" s="34" t="e">
        <f>I825/H825*VLOOKUP(F823,'[1]Membership Level'!$A$3:$C$15,3,FALSE)+K825</f>
        <v>#DIV/0!</v>
      </c>
      <c r="Q825" s="36"/>
    </row>
    <row r="826" spans="3:17" x14ac:dyDescent="0.25">
      <c r="C826" s="36"/>
      <c r="D826" s="36"/>
      <c r="E826" s="36"/>
      <c r="F826" s="36"/>
      <c r="G826" s="36"/>
      <c r="H826" s="30"/>
      <c r="I826" s="30"/>
      <c r="J826" s="31"/>
      <c r="K826" s="43"/>
      <c r="L826" s="32" t="e">
        <f>DATE(YEAR(K826),MONTH(K826)+VLOOKUP($F824,'[1]Membership Level'!$A$3:$B$15,2,FALSE),DAY(K826))</f>
        <v>#N/A</v>
      </c>
      <c r="M826" s="36"/>
      <c r="N826" s="34" t="e">
        <f>IF($L826&lt;&gt;0,DATE(YEAR($L826),MONTH($L826)-#REF!,DAY($L826)-$M826),"")</f>
        <v>#N/A</v>
      </c>
      <c r="O826" s="33" t="e">
        <f t="shared" ca="1" si="15"/>
        <v>#N/A</v>
      </c>
      <c r="P826" s="34" t="e">
        <f>I826/H826*VLOOKUP(F824,'[1]Membership Level'!$A$3:$C$15,3,FALSE)+K826</f>
        <v>#DIV/0!</v>
      </c>
      <c r="Q826" s="36"/>
    </row>
    <row r="827" spans="3:17" x14ac:dyDescent="0.25">
      <c r="C827" s="36"/>
      <c r="D827" s="36"/>
      <c r="E827" s="36"/>
      <c r="F827" s="36"/>
      <c r="G827" s="36"/>
      <c r="H827" s="30"/>
      <c r="I827" s="30"/>
      <c r="J827" s="31"/>
      <c r="K827" s="43"/>
      <c r="L827" s="32" t="e">
        <f>DATE(YEAR(K827),MONTH(K827)+VLOOKUP($F825,'[1]Membership Level'!$A$3:$B$15,2,FALSE),DAY(K827))</f>
        <v>#N/A</v>
      </c>
      <c r="M827" s="36"/>
      <c r="N827" s="34" t="e">
        <f>IF($L827&lt;&gt;0,DATE(YEAR($L827),MONTH($L827)-#REF!,DAY($L827)-$M827),"")</f>
        <v>#N/A</v>
      </c>
      <c r="O827" s="33" t="e">
        <f t="shared" ca="1" si="15"/>
        <v>#N/A</v>
      </c>
      <c r="P827" s="34" t="e">
        <f>I827/H827*VLOOKUP(F825,'[1]Membership Level'!$A$3:$C$15,3,FALSE)+K827</f>
        <v>#DIV/0!</v>
      </c>
      <c r="Q827" s="36"/>
    </row>
    <row r="828" spans="3:17" x14ac:dyDescent="0.25">
      <c r="C828" s="36"/>
      <c r="D828" s="36"/>
      <c r="E828" s="36"/>
      <c r="F828" s="36"/>
      <c r="G828" s="36"/>
      <c r="H828" s="30"/>
      <c r="I828" s="30"/>
      <c r="J828" s="31"/>
      <c r="K828" s="43"/>
      <c r="L828" s="32" t="e">
        <f>DATE(YEAR(K828),MONTH(K828)+VLOOKUP($F826,'[1]Membership Level'!$A$3:$B$15,2,FALSE),DAY(K828))</f>
        <v>#N/A</v>
      </c>
      <c r="M828" s="36"/>
      <c r="N828" s="34" t="e">
        <f>IF($L828&lt;&gt;0,DATE(YEAR($L828),MONTH($L828)-#REF!,DAY($L828)-$M828),"")</f>
        <v>#N/A</v>
      </c>
      <c r="O828" s="33" t="e">
        <f t="shared" ca="1" si="15"/>
        <v>#N/A</v>
      </c>
      <c r="P828" s="34" t="e">
        <f>I828/H828*VLOOKUP(F826,'[1]Membership Level'!$A$3:$C$15,3,FALSE)+K828</f>
        <v>#DIV/0!</v>
      </c>
      <c r="Q828" s="36"/>
    </row>
    <row r="829" spans="3:17" x14ac:dyDescent="0.25">
      <c r="C829" s="36"/>
      <c r="D829" s="36"/>
      <c r="E829" s="36"/>
      <c r="F829" s="33"/>
      <c r="G829" s="36"/>
      <c r="H829" s="30"/>
      <c r="I829" s="30"/>
      <c r="J829" s="31"/>
      <c r="K829" s="43"/>
      <c r="L829" s="32" t="e">
        <f>DATE(YEAR(K829),MONTH(K829)+VLOOKUP($F827,'[1]Membership Level'!$A$3:$B$15,2,FALSE),DAY(K829))</f>
        <v>#N/A</v>
      </c>
      <c r="M829" s="36"/>
      <c r="N829" s="34" t="e">
        <f>IF($L829&lt;&gt;0,DATE(YEAR($L829),MONTH($L829)-#REF!,DAY($L829)-$M829),"")</f>
        <v>#N/A</v>
      </c>
      <c r="O829" s="33" t="e">
        <f t="shared" ref="O829:O892" ca="1" si="16">IF(DAYS360(NOW(), $L829) &gt;= 0, DAYS360(NOW(), $L829), "")</f>
        <v>#N/A</v>
      </c>
      <c r="P829" s="34" t="e">
        <f>I829/H829*VLOOKUP(F827,'[1]Membership Level'!$A$3:$C$15,3,FALSE)+K829</f>
        <v>#DIV/0!</v>
      </c>
      <c r="Q829" s="36"/>
    </row>
    <row r="830" spans="3:17" x14ac:dyDescent="0.25">
      <c r="C830" s="36"/>
      <c r="D830" s="36"/>
      <c r="E830" s="66"/>
      <c r="F830" s="33"/>
      <c r="G830" s="36"/>
      <c r="H830" s="30"/>
      <c r="I830" s="30"/>
      <c r="J830" s="31"/>
      <c r="K830" s="43"/>
      <c r="L830" s="32" t="e">
        <f>DATE(YEAR(K830),MONTH(K830)+VLOOKUP($F828,'[1]Membership Level'!$A$3:$B$15,2,FALSE),DAY(K830))</f>
        <v>#N/A</v>
      </c>
      <c r="M830" s="36"/>
      <c r="N830" s="34" t="e">
        <f>IF($L830&lt;&gt;0,DATE(YEAR($L830),MONTH($L830)-#REF!,DAY($L830)-$M830),"")</f>
        <v>#N/A</v>
      </c>
      <c r="O830" s="33" t="e">
        <f t="shared" ca="1" si="16"/>
        <v>#N/A</v>
      </c>
      <c r="P830" s="34" t="e">
        <f>I830/H830*VLOOKUP(F828,'[1]Membership Level'!$A$3:$C$15,3,FALSE)+K830</f>
        <v>#DIV/0!</v>
      </c>
      <c r="Q830" s="36"/>
    </row>
    <row r="831" spans="3:17" s="22" customFormat="1" x14ac:dyDescent="0.25">
      <c r="C831" s="33"/>
      <c r="D831" s="33"/>
      <c r="E831" s="66"/>
      <c r="F831" s="33"/>
      <c r="G831" s="33"/>
      <c r="H831" s="44"/>
      <c r="I831" s="44"/>
      <c r="J831" s="31"/>
      <c r="K831" s="32"/>
      <c r="L831" s="32" t="e">
        <f>DATE(YEAR(K831),MONTH(K831)+VLOOKUP($F829,'[1]Membership Level'!$A$3:$B$15,2,FALSE),DAY(K831))</f>
        <v>#N/A</v>
      </c>
      <c r="M831" s="33"/>
      <c r="N831" s="34" t="e">
        <f>IF($L831&lt;&gt;0,DATE(YEAR($L831),MONTH($L831)-#REF!,DAY($L831)-$M831),"")</f>
        <v>#N/A</v>
      </c>
      <c r="O831" s="33" t="e">
        <f t="shared" ca="1" si="16"/>
        <v>#N/A</v>
      </c>
      <c r="P831" s="34" t="e">
        <f>I831/H831*VLOOKUP(F829,'[1]Membership Level'!$A$3:$C$15,3,FALSE)+K831</f>
        <v>#DIV/0!</v>
      </c>
      <c r="Q831" s="33"/>
    </row>
    <row r="832" spans="3:17" s="22" customFormat="1" x14ac:dyDescent="0.25">
      <c r="C832" s="33"/>
      <c r="D832" s="33"/>
      <c r="E832" s="66"/>
      <c r="F832" s="36"/>
      <c r="G832" s="33"/>
      <c r="H832" s="44"/>
      <c r="I832" s="44"/>
      <c r="J832" s="31"/>
      <c r="K832" s="32"/>
      <c r="L832" s="32" t="e">
        <f>DATE(YEAR(K832),MONTH(K832)+VLOOKUP($F830,'[1]Membership Level'!$A$3:$B$15,2,FALSE),DAY(K832))</f>
        <v>#N/A</v>
      </c>
      <c r="M832" s="33"/>
      <c r="N832" s="34" t="e">
        <f>IF($L832&lt;&gt;0,DATE(YEAR($L832),MONTH($L832)-#REF!,DAY($L832)-$M832),"")</f>
        <v>#N/A</v>
      </c>
      <c r="O832" s="33" t="e">
        <f t="shared" ca="1" si="16"/>
        <v>#N/A</v>
      </c>
      <c r="P832" s="34" t="e">
        <f>I832/H832*VLOOKUP(F830,'[1]Membership Level'!$A$3:$C$15,3,FALSE)+K832</f>
        <v>#DIV/0!</v>
      </c>
      <c r="Q832" s="33"/>
    </row>
    <row r="833" spans="3:17" s="22" customFormat="1" x14ac:dyDescent="0.25">
      <c r="C833" s="33"/>
      <c r="D833" s="33"/>
      <c r="E833" s="35"/>
      <c r="F833" s="36"/>
      <c r="G833" s="33"/>
      <c r="H833" s="44"/>
      <c r="I833" s="30"/>
      <c r="J833" s="31"/>
      <c r="K833" s="32"/>
      <c r="L833" s="32" t="e">
        <f>DATE(YEAR(K833),MONTH(K833)+VLOOKUP($F831,'[1]Membership Level'!$A$3:$B$15,2,FALSE),DAY(K833))</f>
        <v>#N/A</v>
      </c>
      <c r="M833" s="36"/>
      <c r="N833" s="34" t="e">
        <f>IF($L833&lt;&gt;0,DATE(YEAR($L833),MONTH($L833)-#REF!,DAY($L833)-$M833),"")</f>
        <v>#N/A</v>
      </c>
      <c r="O833" s="33" t="e">
        <f t="shared" ca="1" si="16"/>
        <v>#N/A</v>
      </c>
      <c r="P833" s="34" t="e">
        <f>I833/H833*VLOOKUP(F831,'[1]Membership Level'!$A$3:$C$15,3,FALSE)+K833</f>
        <v>#DIV/0!</v>
      </c>
      <c r="Q833" s="33"/>
    </row>
    <row r="834" spans="3:17" x14ac:dyDescent="0.25">
      <c r="C834" s="36"/>
      <c r="D834" s="36"/>
      <c r="E834" s="66"/>
      <c r="F834" s="36"/>
      <c r="G834" s="36"/>
      <c r="H834" s="30"/>
      <c r="I834" s="30"/>
      <c r="J834" s="31"/>
      <c r="K834" s="43"/>
      <c r="L834" s="32" t="e">
        <f>DATE(YEAR(K834),MONTH(K834)+VLOOKUP($F832,'[1]Membership Level'!$A$3:$B$15,2,FALSE),DAY(K834))</f>
        <v>#N/A</v>
      </c>
      <c r="M834" s="36"/>
      <c r="N834" s="34" t="e">
        <f>IF($L834&lt;&gt;0,DATE(YEAR($L834),MONTH($L834)-#REF!,DAY($L834)-$M834),"")</f>
        <v>#N/A</v>
      </c>
      <c r="O834" s="33" t="e">
        <f t="shared" ca="1" si="16"/>
        <v>#N/A</v>
      </c>
      <c r="P834" s="34" t="e">
        <f>I834/H834*VLOOKUP(F832,'[1]Membership Level'!$A$3:$C$15,3,FALSE)+K834</f>
        <v>#DIV/0!</v>
      </c>
      <c r="Q834" s="36"/>
    </row>
    <row r="835" spans="3:17" x14ac:dyDescent="0.25">
      <c r="C835" s="36"/>
      <c r="D835" s="36"/>
      <c r="E835" s="66"/>
      <c r="F835" s="36"/>
      <c r="G835" s="36"/>
      <c r="H835" s="30"/>
      <c r="I835" s="30"/>
      <c r="J835" s="31"/>
      <c r="K835" s="43"/>
      <c r="L835" s="32" t="e">
        <f>DATE(YEAR(K835),MONTH(K835)+VLOOKUP($F833,'[1]Membership Level'!$A$3:$B$15,2,FALSE),DAY(K835))</f>
        <v>#N/A</v>
      </c>
      <c r="M835" s="36"/>
      <c r="N835" s="34" t="e">
        <f>IF($L835&lt;&gt;0,DATE(YEAR($L835),MONTH($L835)-#REF!,DAY($L835)-$M835),"")</f>
        <v>#N/A</v>
      </c>
      <c r="O835" s="33" t="e">
        <f t="shared" ca="1" si="16"/>
        <v>#N/A</v>
      </c>
      <c r="P835" s="34" t="e">
        <f>I835/H835*VLOOKUP(F833,'[1]Membership Level'!$A$3:$C$15,3,FALSE)+K835</f>
        <v>#DIV/0!</v>
      </c>
      <c r="Q835" s="36"/>
    </row>
    <row r="836" spans="3:17" x14ac:dyDescent="0.25">
      <c r="C836" s="36"/>
      <c r="D836" s="36"/>
      <c r="E836" s="35"/>
      <c r="F836" s="36"/>
      <c r="G836" s="36"/>
      <c r="H836" s="30"/>
      <c r="I836" s="30"/>
      <c r="J836" s="31"/>
      <c r="K836" s="43"/>
      <c r="L836" s="32" t="e">
        <f>DATE(YEAR(K836),MONTH(K836)+VLOOKUP($F834,'[1]Membership Level'!$A$3:$B$15,2,FALSE),DAY(K836))</f>
        <v>#N/A</v>
      </c>
      <c r="M836" s="36"/>
      <c r="N836" s="34" t="e">
        <f>IF($L836&lt;&gt;0,DATE(YEAR($L836),MONTH($L836)-#REF!,DAY($L836)-$M836),"")</f>
        <v>#N/A</v>
      </c>
      <c r="O836" s="33" t="e">
        <f t="shared" ca="1" si="16"/>
        <v>#N/A</v>
      </c>
      <c r="P836" s="34" t="e">
        <f>I836/H836*VLOOKUP(F834,'[1]Membership Level'!$A$3:$C$15,3,FALSE)+K836</f>
        <v>#DIV/0!</v>
      </c>
      <c r="Q836" s="36"/>
    </row>
    <row r="837" spans="3:17" x14ac:dyDescent="0.25">
      <c r="C837" s="36"/>
      <c r="D837" s="36"/>
      <c r="E837" s="36"/>
      <c r="F837" s="36"/>
      <c r="G837" s="36"/>
      <c r="H837" s="30"/>
      <c r="I837" s="30"/>
      <c r="J837" s="31"/>
      <c r="K837" s="43"/>
      <c r="L837" s="32" t="e">
        <f>DATE(YEAR(K837),MONTH(K837)+VLOOKUP($F835,'[1]Membership Level'!$A$3:$B$15,2,FALSE),DAY(K837))</f>
        <v>#N/A</v>
      </c>
      <c r="M837" s="36"/>
      <c r="N837" s="34" t="e">
        <f>IF($L837&lt;&gt;0,DATE(YEAR($L837),MONTH($L837)-#REF!,DAY($L837)-$M837),"")</f>
        <v>#N/A</v>
      </c>
      <c r="O837" s="33" t="e">
        <f t="shared" ca="1" si="16"/>
        <v>#N/A</v>
      </c>
      <c r="P837" s="34" t="e">
        <f>I837/H837*VLOOKUP(F835,'[1]Membership Level'!$A$3:$C$15,3,FALSE)+K837</f>
        <v>#DIV/0!</v>
      </c>
      <c r="Q837" s="36"/>
    </row>
    <row r="838" spans="3:17" x14ac:dyDescent="0.25">
      <c r="C838" s="36"/>
      <c r="D838" s="36"/>
      <c r="E838" s="36"/>
      <c r="F838" s="36"/>
      <c r="G838" s="36"/>
      <c r="H838" s="30"/>
      <c r="I838" s="30"/>
      <c r="J838" s="31"/>
      <c r="K838" s="43"/>
      <c r="L838" s="32" t="e">
        <f>DATE(YEAR(K838),MONTH(K838)+VLOOKUP($F836,'[1]Membership Level'!$A$3:$B$15,2,FALSE),DAY(K838))</f>
        <v>#N/A</v>
      </c>
      <c r="M838" s="36"/>
      <c r="N838" s="34" t="e">
        <f>IF($L838&lt;&gt;0,DATE(YEAR($L838),MONTH($L838)-#REF!,DAY($L838)-$M838),"")</f>
        <v>#N/A</v>
      </c>
      <c r="O838" s="33" t="e">
        <f t="shared" ca="1" si="16"/>
        <v>#N/A</v>
      </c>
      <c r="P838" s="34" t="e">
        <f>I838/H838*VLOOKUP(F836,'[1]Membership Level'!$A$3:$C$15,3,FALSE)+K838</f>
        <v>#DIV/0!</v>
      </c>
      <c r="Q838" s="36"/>
    </row>
    <row r="839" spans="3:17" x14ac:dyDescent="0.25">
      <c r="C839" s="36"/>
      <c r="D839" s="36"/>
      <c r="E839" s="36"/>
      <c r="F839" s="36"/>
      <c r="G839" s="36"/>
      <c r="H839" s="30"/>
      <c r="I839" s="30"/>
      <c r="J839" s="31"/>
      <c r="K839" s="43"/>
      <c r="L839" s="32" t="e">
        <f>DATE(YEAR(K839),MONTH(K839)+VLOOKUP($F837,'[1]Membership Level'!$A$3:$B$15,2,FALSE),DAY(K839))</f>
        <v>#N/A</v>
      </c>
      <c r="M839" s="36"/>
      <c r="N839" s="34" t="e">
        <f>IF($L839&lt;&gt;0,DATE(YEAR($L839),MONTH($L839)-#REF!,DAY($L839)-$M839),"")</f>
        <v>#N/A</v>
      </c>
      <c r="O839" s="33" t="e">
        <f t="shared" ca="1" si="16"/>
        <v>#N/A</v>
      </c>
      <c r="P839" s="34" t="e">
        <f>I839/H839*VLOOKUP(F837,'[1]Membership Level'!$A$3:$C$15,3,FALSE)+K839</f>
        <v>#DIV/0!</v>
      </c>
      <c r="Q839" s="36"/>
    </row>
    <row r="840" spans="3:17" x14ac:dyDescent="0.25">
      <c r="C840" s="36"/>
      <c r="D840" s="36"/>
      <c r="E840" s="36"/>
      <c r="F840" s="36"/>
      <c r="G840" s="36"/>
      <c r="H840" s="30"/>
      <c r="I840" s="30"/>
      <c r="J840" s="31"/>
      <c r="K840" s="43"/>
      <c r="L840" s="32" t="e">
        <f>DATE(YEAR(K840),MONTH(K840)+VLOOKUP($F838,'[1]Membership Level'!$A$3:$B$15,2,FALSE),DAY(K840))</f>
        <v>#N/A</v>
      </c>
      <c r="M840" s="36"/>
      <c r="N840" s="34" t="e">
        <f>IF($L840&lt;&gt;0,DATE(YEAR($L840),MONTH($L840)-#REF!,DAY($L840)-$M840),"")</f>
        <v>#N/A</v>
      </c>
      <c r="O840" s="33" t="e">
        <f t="shared" ca="1" si="16"/>
        <v>#N/A</v>
      </c>
      <c r="P840" s="34" t="e">
        <f>I840/H840*VLOOKUP(F838,'[1]Membership Level'!$A$3:$C$15,3,FALSE)+K840</f>
        <v>#DIV/0!</v>
      </c>
      <c r="Q840" s="36"/>
    </row>
    <row r="841" spans="3:17" x14ac:dyDescent="0.25">
      <c r="C841" s="36"/>
      <c r="D841" s="36"/>
      <c r="E841" s="36"/>
      <c r="F841" s="36"/>
      <c r="G841" s="36"/>
      <c r="H841" s="30"/>
      <c r="I841" s="30"/>
      <c r="J841" s="31"/>
      <c r="K841" s="43"/>
      <c r="L841" s="32" t="e">
        <f>DATE(YEAR(K841),MONTH(K841)+VLOOKUP($F839,'[1]Membership Level'!$A$3:$B$15,2,FALSE),DAY(K841))</f>
        <v>#N/A</v>
      </c>
      <c r="M841" s="36"/>
      <c r="N841" s="34" t="e">
        <f>IF($L841&lt;&gt;0,DATE(YEAR($L841),MONTH($L841)-#REF!,DAY($L841)-$M841),"")</f>
        <v>#N/A</v>
      </c>
      <c r="O841" s="33" t="e">
        <f t="shared" ca="1" si="16"/>
        <v>#N/A</v>
      </c>
      <c r="P841" s="34" t="e">
        <f>I841/H841*VLOOKUP(F839,'[1]Membership Level'!$A$3:$C$15,3,FALSE)+K841</f>
        <v>#DIV/0!</v>
      </c>
      <c r="Q841" s="36"/>
    </row>
    <row r="842" spans="3:17" x14ac:dyDescent="0.25">
      <c r="C842" s="36"/>
      <c r="D842" s="36"/>
      <c r="E842" s="36"/>
      <c r="F842" s="36"/>
      <c r="G842" s="36"/>
      <c r="H842" s="30"/>
      <c r="I842" s="30"/>
      <c r="J842" s="31"/>
      <c r="K842" s="43"/>
      <c r="L842" s="32" t="e">
        <f>DATE(YEAR(K842),MONTH(K842)+VLOOKUP($F840,'[1]Membership Level'!$A$3:$B$15,2,FALSE),DAY(K842))</f>
        <v>#N/A</v>
      </c>
      <c r="M842" s="36"/>
      <c r="N842" s="34" t="e">
        <f>IF($L842&lt;&gt;0,DATE(YEAR($L842),MONTH($L842)-#REF!,DAY($L842)-$M842),"")</f>
        <v>#N/A</v>
      </c>
      <c r="O842" s="33" t="e">
        <f t="shared" ca="1" si="16"/>
        <v>#N/A</v>
      </c>
      <c r="P842" s="34" t="e">
        <f>I842/H842*VLOOKUP(F840,'[1]Membership Level'!$A$3:$C$15,3,FALSE)+K842</f>
        <v>#DIV/0!</v>
      </c>
      <c r="Q842" s="36"/>
    </row>
    <row r="843" spans="3:17" x14ac:dyDescent="0.25">
      <c r="C843" s="36"/>
      <c r="D843" s="36"/>
      <c r="E843" s="66"/>
      <c r="F843" s="36"/>
      <c r="G843" s="36"/>
      <c r="H843" s="30"/>
      <c r="I843" s="30"/>
      <c r="J843" s="31"/>
      <c r="K843" s="43"/>
      <c r="L843" s="32" t="e">
        <f>DATE(YEAR(K843),MONTH(K843)+VLOOKUP($F841,'[1]Membership Level'!$A$3:$B$15,2,FALSE),DAY(K843))</f>
        <v>#N/A</v>
      </c>
      <c r="M843" s="36"/>
      <c r="N843" s="34" t="e">
        <f>IF($L843&lt;&gt;0,DATE(YEAR($L843),MONTH($L843)-#REF!,DAY($L843)-$M843),"")</f>
        <v>#N/A</v>
      </c>
      <c r="O843" s="33" t="e">
        <f t="shared" ca="1" si="16"/>
        <v>#N/A</v>
      </c>
      <c r="P843" s="34" t="e">
        <f>I843/H843*VLOOKUP(F841,'[1]Membership Level'!$A$3:$C$15,3,FALSE)+K843</f>
        <v>#DIV/0!</v>
      </c>
      <c r="Q843" s="36"/>
    </row>
    <row r="844" spans="3:17" x14ac:dyDescent="0.25">
      <c r="C844" s="36"/>
      <c r="D844" s="36"/>
      <c r="E844" s="36"/>
      <c r="F844" s="36"/>
      <c r="G844" s="36"/>
      <c r="H844" s="30"/>
      <c r="I844" s="30"/>
      <c r="J844" s="31"/>
      <c r="K844" s="43"/>
      <c r="L844" s="32" t="e">
        <f>DATE(YEAR(K844),MONTH(K844)+VLOOKUP($F842,'[1]Membership Level'!$A$3:$B$15,2,FALSE),DAY(K844))</f>
        <v>#N/A</v>
      </c>
      <c r="M844" s="36"/>
      <c r="N844" s="34" t="e">
        <f>IF($L844&lt;&gt;0,DATE(YEAR($L844),MONTH($L844)-#REF!,DAY($L844)-$M844),"")</f>
        <v>#N/A</v>
      </c>
      <c r="O844" s="33" t="e">
        <f t="shared" ca="1" si="16"/>
        <v>#N/A</v>
      </c>
      <c r="P844" s="34" t="e">
        <f>I844/H844*VLOOKUP(F842,'[1]Membership Level'!$A$3:$C$15,3,FALSE)+K844</f>
        <v>#DIV/0!</v>
      </c>
      <c r="Q844" s="36"/>
    </row>
    <row r="845" spans="3:17" x14ac:dyDescent="0.25">
      <c r="C845" s="36"/>
      <c r="D845" s="36"/>
      <c r="E845" s="36"/>
      <c r="F845" s="33"/>
      <c r="G845" s="36"/>
      <c r="H845" s="30"/>
      <c r="I845" s="30"/>
      <c r="J845" s="31"/>
      <c r="K845" s="43"/>
      <c r="L845" s="32" t="e">
        <f>DATE(YEAR(K845),MONTH(K845)+VLOOKUP($F843,'[1]Membership Level'!$A$3:$B$15,2,FALSE),DAY(K845))</f>
        <v>#N/A</v>
      </c>
      <c r="M845" s="36"/>
      <c r="N845" s="34" t="e">
        <f>IF($L845&lt;&gt;0,DATE(YEAR($L845),MONTH($L845)-#REF!,DAY($L845)-$M845),"")</f>
        <v>#N/A</v>
      </c>
      <c r="O845" s="33" t="e">
        <f t="shared" ca="1" si="16"/>
        <v>#N/A</v>
      </c>
      <c r="P845" s="34" t="e">
        <f>I845/H845*VLOOKUP(F843,'[1]Membership Level'!$A$3:$C$15,3,FALSE)+K845</f>
        <v>#DIV/0!</v>
      </c>
      <c r="Q845" s="36"/>
    </row>
    <row r="846" spans="3:17" x14ac:dyDescent="0.25">
      <c r="C846" s="36"/>
      <c r="D846" s="36"/>
      <c r="E846" s="66"/>
      <c r="F846" s="36"/>
      <c r="G846" s="36"/>
      <c r="H846" s="30"/>
      <c r="I846" s="30"/>
      <c r="J846" s="31"/>
      <c r="K846" s="43"/>
      <c r="L846" s="32" t="e">
        <f>DATE(YEAR(K846),MONTH(K846)+VLOOKUP($F844,'[1]Membership Level'!$A$3:$B$15,2,FALSE),DAY(K846))</f>
        <v>#N/A</v>
      </c>
      <c r="M846" s="36"/>
      <c r="N846" s="34" t="e">
        <f>IF($L846&lt;&gt;0,DATE(YEAR($L846),MONTH($L846)-#REF!,DAY($L846)-$M846),"")</f>
        <v>#N/A</v>
      </c>
      <c r="O846" s="33" t="e">
        <f t="shared" ca="1" si="16"/>
        <v>#N/A</v>
      </c>
      <c r="P846" s="34" t="e">
        <f>I846/H846*VLOOKUP(F844,'[1]Membership Level'!$A$3:$C$15,3,FALSE)+K846</f>
        <v>#DIV/0!</v>
      </c>
      <c r="Q846" s="36"/>
    </row>
    <row r="847" spans="3:17" s="22" customFormat="1" x14ac:dyDescent="0.25">
      <c r="C847" s="33"/>
      <c r="D847" s="33"/>
      <c r="E847" s="36"/>
      <c r="F847" s="36"/>
      <c r="G847" s="33"/>
      <c r="H847" s="44"/>
      <c r="I847" s="44"/>
      <c r="J847" s="31"/>
      <c r="K847" s="32"/>
      <c r="L847" s="32" t="e">
        <f>DATE(YEAR(K847),MONTH(K847)+VLOOKUP($F845,'[1]Membership Level'!$A$3:$B$15,2,FALSE),DAY(K847))</f>
        <v>#N/A</v>
      </c>
      <c r="M847" s="33"/>
      <c r="N847" s="34" t="e">
        <f>IF($L847&lt;&gt;0,DATE(YEAR($L847),MONTH($L847)-#REF!,DAY($L847)-$M847),"")</f>
        <v>#N/A</v>
      </c>
      <c r="O847" s="33" t="e">
        <f t="shared" ca="1" si="16"/>
        <v>#N/A</v>
      </c>
      <c r="P847" s="34" t="e">
        <f>I847/H847*VLOOKUP(F845,'[1]Membership Level'!$A$3:$C$15,3,FALSE)+K847</f>
        <v>#DIV/0!</v>
      </c>
      <c r="Q847" s="33"/>
    </row>
    <row r="848" spans="3:17" x14ac:dyDescent="0.25">
      <c r="C848" s="36"/>
      <c r="D848" s="36"/>
      <c r="E848" s="66"/>
      <c r="F848" s="36"/>
      <c r="G848" s="36"/>
      <c r="H848" s="30"/>
      <c r="I848" s="30"/>
      <c r="J848" s="31"/>
      <c r="K848" s="43"/>
      <c r="L848" s="32" t="e">
        <f>DATE(YEAR(K848),MONTH(K848)+VLOOKUP($F846,'[1]Membership Level'!$A$3:$B$15,2,FALSE),DAY(K848))</f>
        <v>#N/A</v>
      </c>
      <c r="M848" s="36"/>
      <c r="N848" s="34" t="e">
        <f>IF($L848&lt;&gt;0,DATE(YEAR($L848),MONTH($L848)-#REF!,DAY($L848)-$M848),"")</f>
        <v>#N/A</v>
      </c>
      <c r="O848" s="33" t="e">
        <f t="shared" ca="1" si="16"/>
        <v>#N/A</v>
      </c>
      <c r="P848" s="34" t="e">
        <f>I848/H848*VLOOKUP(F846,'[1]Membership Level'!$A$3:$C$15,3,FALSE)+K848</f>
        <v>#DIV/0!</v>
      </c>
      <c r="Q848" s="36"/>
    </row>
    <row r="849" spans="3:17" x14ac:dyDescent="0.25">
      <c r="C849" s="36"/>
      <c r="D849" s="36"/>
      <c r="E849" s="36"/>
      <c r="F849" s="36"/>
      <c r="G849" s="36"/>
      <c r="H849" s="30"/>
      <c r="I849" s="30"/>
      <c r="J849" s="31"/>
      <c r="K849" s="43"/>
      <c r="L849" s="32" t="e">
        <f>DATE(YEAR(K849),MONTH(K849)+VLOOKUP($F847,'[1]Membership Level'!$A$3:$B$15,2,FALSE),DAY(K849))</f>
        <v>#N/A</v>
      </c>
      <c r="M849" s="36"/>
      <c r="N849" s="34" t="e">
        <f>IF($L849&lt;&gt;0,DATE(YEAR($L849),MONTH($L849)-#REF!,DAY($L849)-$M849),"")</f>
        <v>#N/A</v>
      </c>
      <c r="O849" s="33" t="e">
        <f t="shared" ca="1" si="16"/>
        <v>#N/A</v>
      </c>
      <c r="P849" s="34" t="e">
        <f>I849/H849*VLOOKUP(F847,'[1]Membership Level'!$A$3:$C$15,3,FALSE)+K849</f>
        <v>#DIV/0!</v>
      </c>
      <c r="Q849" s="36"/>
    </row>
    <row r="850" spans="3:17" x14ac:dyDescent="0.25">
      <c r="C850" s="36"/>
      <c r="D850" s="36"/>
      <c r="E850" s="36"/>
      <c r="F850" s="36"/>
      <c r="G850" s="36"/>
      <c r="H850" s="30"/>
      <c r="I850" s="30"/>
      <c r="J850" s="31"/>
      <c r="K850" s="43"/>
      <c r="L850" s="32" t="e">
        <f>DATE(YEAR(K850),MONTH(K850)+VLOOKUP($F848,'[1]Membership Level'!$A$3:$B$15,2,FALSE),DAY(K850))</f>
        <v>#N/A</v>
      </c>
      <c r="M850" s="36"/>
      <c r="N850" s="34" t="e">
        <f>IF($L850&lt;&gt;0,DATE(YEAR($L850),MONTH($L850)-#REF!,DAY($L850)-$M850),"")</f>
        <v>#N/A</v>
      </c>
      <c r="O850" s="33" t="e">
        <f t="shared" ca="1" si="16"/>
        <v>#N/A</v>
      </c>
      <c r="P850" s="34" t="e">
        <f>I850/H850*VLOOKUP(F848,'[1]Membership Level'!$A$3:$C$15,3,FALSE)+K850</f>
        <v>#DIV/0!</v>
      </c>
      <c r="Q850" s="36"/>
    </row>
    <row r="851" spans="3:17" x14ac:dyDescent="0.25">
      <c r="C851" s="36"/>
      <c r="D851" s="36"/>
      <c r="E851" s="36"/>
      <c r="F851" s="36"/>
      <c r="G851" s="36"/>
      <c r="H851" s="30"/>
      <c r="I851" s="30"/>
      <c r="J851" s="31"/>
      <c r="K851" s="43"/>
      <c r="L851" s="32" t="e">
        <f>DATE(YEAR(K851),MONTH(K851)+VLOOKUP($F849,'[1]Membership Level'!$A$3:$B$15,2,FALSE),DAY(K851))</f>
        <v>#N/A</v>
      </c>
      <c r="M851" s="36"/>
      <c r="N851" s="34" t="e">
        <f>IF($L851&lt;&gt;0,DATE(YEAR($L851),MONTH($L851)-#REF!,DAY($L851)-$M851),"")</f>
        <v>#N/A</v>
      </c>
      <c r="O851" s="33" t="e">
        <f t="shared" ca="1" si="16"/>
        <v>#N/A</v>
      </c>
      <c r="P851" s="34" t="e">
        <f>I851/H851*VLOOKUP(F849,'[1]Membership Level'!$A$3:$C$15,3,FALSE)+K851</f>
        <v>#DIV/0!</v>
      </c>
      <c r="Q851" s="36"/>
    </row>
    <row r="852" spans="3:17" x14ac:dyDescent="0.25">
      <c r="C852" s="36"/>
      <c r="D852" s="36"/>
      <c r="E852" s="36"/>
      <c r="F852" s="36"/>
      <c r="G852" s="36"/>
      <c r="H852" s="30"/>
      <c r="I852" s="30"/>
      <c r="J852" s="31"/>
      <c r="K852" s="43"/>
      <c r="L852" s="32" t="e">
        <f>DATE(YEAR(K852),MONTH(K852)+VLOOKUP($F850,'[1]Membership Level'!$A$3:$B$15,2,FALSE),DAY(K852))</f>
        <v>#N/A</v>
      </c>
      <c r="M852" s="36"/>
      <c r="N852" s="34" t="e">
        <f>IF($L852&lt;&gt;0,DATE(YEAR($L852),MONTH($L852)-#REF!,DAY($L852)-$M852),"")</f>
        <v>#N/A</v>
      </c>
      <c r="O852" s="33" t="e">
        <f t="shared" ca="1" si="16"/>
        <v>#N/A</v>
      </c>
      <c r="P852" s="34" t="e">
        <f>I852/H852*VLOOKUP(F850,'[1]Membership Level'!$A$3:$C$15,3,FALSE)+K852</f>
        <v>#DIV/0!</v>
      </c>
      <c r="Q852" s="36"/>
    </row>
    <row r="853" spans="3:17" x14ac:dyDescent="0.25">
      <c r="C853" s="36"/>
      <c r="D853" s="36"/>
      <c r="E853" s="36"/>
      <c r="F853" s="36"/>
      <c r="G853" s="36"/>
      <c r="H853" s="30"/>
      <c r="I853" s="30"/>
      <c r="J853" s="31"/>
      <c r="K853" s="43"/>
      <c r="L853" s="32" t="e">
        <f>DATE(YEAR(K853),MONTH(K853)+VLOOKUP($F851,'[1]Membership Level'!$A$3:$B$15,2,FALSE),DAY(K853))</f>
        <v>#N/A</v>
      </c>
      <c r="M853" s="36"/>
      <c r="N853" s="34" t="e">
        <f>IF($L853&lt;&gt;0,DATE(YEAR($L853),MONTH($L853)-#REF!,DAY($L853)-$M853),"")</f>
        <v>#N/A</v>
      </c>
      <c r="O853" s="33" t="e">
        <f t="shared" ca="1" si="16"/>
        <v>#N/A</v>
      </c>
      <c r="P853" s="34" t="e">
        <f>I853/H853*VLOOKUP(F851,'[1]Membership Level'!$A$3:$C$15,3,FALSE)+K853</f>
        <v>#DIV/0!</v>
      </c>
      <c r="Q853" s="36"/>
    </row>
    <row r="854" spans="3:17" x14ac:dyDescent="0.25">
      <c r="C854" s="36"/>
      <c r="D854" s="36"/>
      <c r="E854" s="35"/>
      <c r="F854" s="36"/>
      <c r="G854" s="36"/>
      <c r="H854" s="30"/>
      <c r="I854" s="30"/>
      <c r="J854" s="31"/>
      <c r="K854" s="43"/>
      <c r="L854" s="32" t="e">
        <f>DATE(YEAR(K854),MONTH(K854)+VLOOKUP($F852,'[1]Membership Level'!$A$3:$B$15,2,FALSE),DAY(K854))</f>
        <v>#N/A</v>
      </c>
      <c r="M854" s="36"/>
      <c r="N854" s="34" t="e">
        <f>IF($L854&lt;&gt;0,DATE(YEAR($L854),MONTH($L854)-#REF!,DAY($L854)-$M854),"")</f>
        <v>#N/A</v>
      </c>
      <c r="O854" s="33" t="e">
        <f t="shared" ca="1" si="16"/>
        <v>#N/A</v>
      </c>
      <c r="P854" s="34" t="e">
        <f>I854/H854*VLOOKUP(F852,'[1]Membership Level'!$A$3:$C$15,3,FALSE)+K854</f>
        <v>#DIV/0!</v>
      </c>
      <c r="Q854" s="36"/>
    </row>
    <row r="855" spans="3:17" x14ac:dyDescent="0.25">
      <c r="C855" s="36"/>
      <c r="D855" s="36"/>
      <c r="E855" s="66"/>
      <c r="F855" s="36"/>
      <c r="G855" s="36"/>
      <c r="H855" s="30"/>
      <c r="I855" s="30"/>
      <c r="J855" s="31"/>
      <c r="K855" s="43"/>
      <c r="L855" s="32" t="e">
        <f>DATE(YEAR(K855),MONTH(K855)+VLOOKUP($F853,'[1]Membership Level'!$A$3:$B$15,2,FALSE),DAY(K855))</f>
        <v>#N/A</v>
      </c>
      <c r="M855" s="36"/>
      <c r="N855" s="34" t="e">
        <f>IF($L855&lt;&gt;0,DATE(YEAR($L855),MONTH($L855)-#REF!,DAY($L855)-$M855),"")</f>
        <v>#N/A</v>
      </c>
      <c r="O855" s="33" t="e">
        <f t="shared" ca="1" si="16"/>
        <v>#N/A</v>
      </c>
      <c r="P855" s="34" t="e">
        <f>I855/H855*VLOOKUP(F853,'[1]Membership Level'!$A$3:$C$15,3,FALSE)+K855</f>
        <v>#DIV/0!</v>
      </c>
      <c r="Q855" s="36"/>
    </row>
    <row r="856" spans="3:17" x14ac:dyDescent="0.25">
      <c r="C856" s="36"/>
      <c r="D856" s="36"/>
      <c r="E856" s="66"/>
      <c r="F856" s="36"/>
      <c r="G856" s="36"/>
      <c r="H856" s="30"/>
      <c r="I856" s="30"/>
      <c r="J856" s="31"/>
      <c r="K856" s="43"/>
      <c r="L856" s="32" t="e">
        <f>DATE(YEAR(K856),MONTH(K856)+VLOOKUP($F854,'[1]Membership Level'!$A$3:$B$15,2,FALSE),DAY(K856))</f>
        <v>#N/A</v>
      </c>
      <c r="M856" s="36"/>
      <c r="N856" s="34" t="e">
        <f>IF($L856&lt;&gt;0,DATE(YEAR($L856),MONTH($L856)-#REF!,DAY($L856)-$M856),"")</f>
        <v>#N/A</v>
      </c>
      <c r="O856" s="33" t="e">
        <f t="shared" ca="1" si="16"/>
        <v>#N/A</v>
      </c>
      <c r="P856" s="34" t="e">
        <f>I856/H856*VLOOKUP(F854,'[1]Membership Level'!$A$3:$C$15,3,FALSE)+K856</f>
        <v>#DIV/0!</v>
      </c>
      <c r="Q856" s="36"/>
    </row>
    <row r="857" spans="3:17" x14ac:dyDescent="0.25">
      <c r="C857" s="36"/>
      <c r="D857" s="36"/>
      <c r="E857" s="36"/>
      <c r="F857" s="33"/>
      <c r="G857" s="36"/>
      <c r="H857" s="30"/>
      <c r="I857" s="30"/>
      <c r="J857" s="31"/>
      <c r="K857" s="43"/>
      <c r="L857" s="32" t="e">
        <f>DATE(YEAR(K857),MONTH(K857)+VLOOKUP($F855,'[1]Membership Level'!$A$3:$B$15,2,FALSE),DAY(K857))</f>
        <v>#N/A</v>
      </c>
      <c r="M857" s="36"/>
      <c r="N857" s="34" t="e">
        <f>IF($L857&lt;&gt;0,DATE(YEAR($L857),MONTH($L857)-#REF!,DAY($L857)-$M857),"")</f>
        <v>#N/A</v>
      </c>
      <c r="O857" s="33" t="e">
        <f t="shared" ca="1" si="16"/>
        <v>#N/A</v>
      </c>
      <c r="P857" s="34" t="e">
        <f>I857/H857*VLOOKUP(F855,'[1]Membership Level'!$A$3:$C$15,3,FALSE)+K857</f>
        <v>#DIV/0!</v>
      </c>
      <c r="Q857" s="36" t="s">
        <v>37</v>
      </c>
    </row>
    <row r="858" spans="3:17" x14ac:dyDescent="0.25">
      <c r="C858" s="36"/>
      <c r="D858" s="36"/>
      <c r="E858" s="66"/>
      <c r="F858" s="36"/>
      <c r="G858" s="36"/>
      <c r="H858" s="30"/>
      <c r="I858" s="30"/>
      <c r="J858" s="31"/>
      <c r="K858" s="43"/>
      <c r="L858" s="32" t="e">
        <f>DATE(YEAR(K858),MONTH(K858)+VLOOKUP($F856,'[1]Membership Level'!$A$3:$B$15,2,FALSE),DAY(K858))</f>
        <v>#N/A</v>
      </c>
      <c r="M858" s="36"/>
      <c r="N858" s="34" t="e">
        <f>IF($L858&lt;&gt;0,DATE(YEAR($L858),MONTH($L858)-#REF!,DAY($L858)-$M858),"")</f>
        <v>#N/A</v>
      </c>
      <c r="O858" s="33" t="e">
        <f t="shared" ca="1" si="16"/>
        <v>#N/A</v>
      </c>
      <c r="P858" s="34" t="e">
        <f>I858/H858*VLOOKUP(F856,'[1]Membership Level'!$A$3:$C$15,3,FALSE)+K858</f>
        <v>#DIV/0!</v>
      </c>
      <c r="Q858" s="36"/>
    </row>
    <row r="859" spans="3:17" s="22" customFormat="1" x14ac:dyDescent="0.25">
      <c r="C859" s="33"/>
      <c r="D859" s="33"/>
      <c r="E859" s="66"/>
      <c r="F859" s="36"/>
      <c r="G859" s="33"/>
      <c r="H859" s="44"/>
      <c r="I859" s="30"/>
      <c r="J859" s="31"/>
      <c r="K859" s="32"/>
      <c r="L859" s="32" t="e">
        <f>DATE(YEAR(K859),MONTH(K859)+VLOOKUP($F857,'[1]Membership Level'!$A$3:$B$15,2,FALSE),DAY(K859))</f>
        <v>#N/A</v>
      </c>
      <c r="M859" s="33"/>
      <c r="N859" s="34" t="e">
        <f>IF($L859&lt;&gt;0,DATE(YEAR($L859),MONTH($L859)-#REF!,DAY($L859)-$M859),"")</f>
        <v>#N/A</v>
      </c>
      <c r="O859" s="33" t="e">
        <f t="shared" ca="1" si="16"/>
        <v>#N/A</v>
      </c>
      <c r="P859" s="34" t="e">
        <f>I859/H859*VLOOKUP(F857,'[1]Membership Level'!$A$3:$C$15,3,FALSE)+K859</f>
        <v>#DIV/0!</v>
      </c>
      <c r="Q859" s="33"/>
    </row>
    <row r="860" spans="3:17" x14ac:dyDescent="0.25">
      <c r="C860" s="36"/>
      <c r="D860" s="36"/>
      <c r="E860" s="36"/>
      <c r="F860" s="36"/>
      <c r="G860" s="36"/>
      <c r="H860" s="30"/>
      <c r="I860" s="30"/>
      <c r="J860" s="31"/>
      <c r="K860" s="43"/>
      <c r="L860" s="32" t="e">
        <f>DATE(YEAR(K860),MONTH(K860)+VLOOKUP($F858,'[1]Membership Level'!$A$3:$B$15,2,FALSE),DAY(K860))</f>
        <v>#N/A</v>
      </c>
      <c r="M860" s="36"/>
      <c r="N860" s="34" t="e">
        <f>IF($L860&lt;&gt;0,DATE(YEAR($L860),MONTH($L860)-#REF!,DAY($L860)-$M860),"")</f>
        <v>#N/A</v>
      </c>
      <c r="O860" s="33" t="e">
        <f t="shared" ca="1" si="16"/>
        <v>#N/A</v>
      </c>
      <c r="P860" s="34" t="e">
        <f>I860/H860*VLOOKUP(F858,'[1]Membership Level'!$A$3:$C$15,3,FALSE)+K860</f>
        <v>#DIV/0!</v>
      </c>
      <c r="Q860" s="36"/>
    </row>
    <row r="861" spans="3:17" x14ac:dyDescent="0.25">
      <c r="C861" s="36"/>
      <c r="D861" s="36"/>
      <c r="E861" s="36"/>
      <c r="F861" s="36"/>
      <c r="G861" s="36"/>
      <c r="H861" s="30"/>
      <c r="I861" s="30"/>
      <c r="J861" s="31"/>
      <c r="K861" s="43"/>
      <c r="L861" s="32" t="e">
        <f>DATE(YEAR(K861),MONTH(K861)+VLOOKUP($F859,'[1]Membership Level'!$A$3:$B$15,2,FALSE),DAY(K861))</f>
        <v>#N/A</v>
      </c>
      <c r="M861" s="36"/>
      <c r="N861" s="34" t="e">
        <f>IF($L861&lt;&gt;0,DATE(YEAR($L861),MONTH($L861)-#REF!,DAY($L861)-$M861),"")</f>
        <v>#N/A</v>
      </c>
      <c r="O861" s="33" t="e">
        <f t="shared" ca="1" si="16"/>
        <v>#N/A</v>
      </c>
      <c r="P861" s="34" t="e">
        <f>I861/H861*VLOOKUP(F859,'[1]Membership Level'!$A$3:$C$15,3,FALSE)+K861</f>
        <v>#DIV/0!</v>
      </c>
      <c r="Q861" s="36"/>
    </row>
    <row r="862" spans="3:17" x14ac:dyDescent="0.25">
      <c r="C862" s="36"/>
      <c r="D862" s="36"/>
      <c r="E862" s="66"/>
      <c r="F862" s="36"/>
      <c r="G862" s="36"/>
      <c r="H862" s="30"/>
      <c r="I862" s="30"/>
      <c r="J862" s="31"/>
      <c r="K862" s="43"/>
      <c r="L862" s="32" t="e">
        <f>DATE(YEAR(K862),MONTH(K862)+VLOOKUP($F860,'[1]Membership Level'!$A$3:$B$15,2,FALSE),DAY(K862))</f>
        <v>#N/A</v>
      </c>
      <c r="M862" s="36"/>
      <c r="N862" s="34" t="e">
        <f>IF($L862&lt;&gt;0,DATE(YEAR($L862),MONTH($L862)-#REF!,DAY($L862)-$M862),"")</f>
        <v>#N/A</v>
      </c>
      <c r="O862" s="33" t="e">
        <f t="shared" ca="1" si="16"/>
        <v>#N/A</v>
      </c>
      <c r="P862" s="34" t="e">
        <f>I862/H862*VLOOKUP(F860,'[1]Membership Level'!$A$3:$C$15,3,FALSE)+K862</f>
        <v>#DIV/0!</v>
      </c>
      <c r="Q862" s="36"/>
    </row>
    <row r="863" spans="3:17" x14ac:dyDescent="0.25">
      <c r="C863" s="36"/>
      <c r="D863" s="36"/>
      <c r="E863" s="66"/>
      <c r="F863" s="36"/>
      <c r="G863" s="36"/>
      <c r="H863" s="30"/>
      <c r="I863" s="30"/>
      <c r="J863" s="31"/>
      <c r="K863" s="43"/>
      <c r="L863" s="32" t="e">
        <f>DATE(YEAR(K863),MONTH(K863)+VLOOKUP($F861,'[1]Membership Level'!$A$3:$B$15,2,FALSE),DAY(K863))</f>
        <v>#N/A</v>
      </c>
      <c r="M863" s="36"/>
      <c r="N863" s="34" t="e">
        <f>IF($L863&lt;&gt;0,DATE(YEAR($L863),MONTH($L863)-#REF!,DAY($L863)-$M863),"")</f>
        <v>#N/A</v>
      </c>
      <c r="O863" s="33" t="e">
        <f t="shared" ca="1" si="16"/>
        <v>#N/A</v>
      </c>
      <c r="P863" s="34" t="e">
        <f>I863/H863*VLOOKUP(F861,'[1]Membership Level'!$A$3:$C$15,3,FALSE)+K863</f>
        <v>#DIV/0!</v>
      </c>
      <c r="Q863" s="36"/>
    </row>
    <row r="864" spans="3:17" x14ac:dyDescent="0.25">
      <c r="C864" s="36"/>
      <c r="D864" s="36"/>
      <c r="E864" s="35"/>
      <c r="F864" s="36"/>
      <c r="G864" s="36"/>
      <c r="H864" s="30"/>
      <c r="I864" s="30"/>
      <c r="J864" s="31"/>
      <c r="K864" s="43"/>
      <c r="L864" s="32" t="e">
        <f>DATE(YEAR(K864),MONTH(K864)+VLOOKUP($F862,'[1]Membership Level'!$A$3:$B$15,2,FALSE),DAY(K864))</f>
        <v>#N/A</v>
      </c>
      <c r="M864" s="36"/>
      <c r="N864" s="34" t="e">
        <f>IF($L864&lt;&gt;0,DATE(YEAR($L864),MONTH($L864)-#REF!,DAY($L864)-$M864),"")</f>
        <v>#N/A</v>
      </c>
      <c r="O864" s="33" t="e">
        <f t="shared" ca="1" si="16"/>
        <v>#N/A</v>
      </c>
      <c r="P864" s="34" t="e">
        <f>I864/H864*VLOOKUP(F862,'[1]Membership Level'!$A$3:$C$15,3,FALSE)+K864</f>
        <v>#DIV/0!</v>
      </c>
      <c r="Q864" s="36"/>
    </row>
    <row r="865" spans="3:17" x14ac:dyDescent="0.25">
      <c r="C865" s="36"/>
      <c r="D865" s="36"/>
      <c r="E865" s="66"/>
      <c r="F865" s="36"/>
      <c r="G865" s="36"/>
      <c r="H865" s="30"/>
      <c r="I865" s="30"/>
      <c r="J865" s="31"/>
      <c r="K865" s="43"/>
      <c r="L865" s="32" t="e">
        <f>DATE(YEAR(K865),MONTH(K865)+VLOOKUP($F863,'[1]Membership Level'!$A$3:$B$15,2,FALSE),DAY(K865))</f>
        <v>#N/A</v>
      </c>
      <c r="M865" s="36"/>
      <c r="N865" s="34" t="e">
        <f>IF($L865&lt;&gt;0,DATE(YEAR($L865),MONTH($L865)-#REF!,DAY($L865)-$M865),"")</f>
        <v>#N/A</v>
      </c>
      <c r="O865" s="33" t="e">
        <f t="shared" ca="1" si="16"/>
        <v>#N/A</v>
      </c>
      <c r="P865" s="34" t="e">
        <f>I865/H865*VLOOKUP(F863,'[1]Membership Level'!$A$3:$C$15,3,FALSE)+K865</f>
        <v>#DIV/0!</v>
      </c>
      <c r="Q865" s="36"/>
    </row>
    <row r="866" spans="3:17" x14ac:dyDescent="0.25">
      <c r="C866" s="36"/>
      <c r="D866" s="36"/>
      <c r="E866" s="36"/>
      <c r="F866" s="36"/>
      <c r="G866" s="36"/>
      <c r="H866" s="30"/>
      <c r="I866" s="30"/>
      <c r="J866" s="31"/>
      <c r="K866" s="43"/>
      <c r="L866" s="32" t="e">
        <f>DATE(YEAR(K866),MONTH(K866)+VLOOKUP($F864,'[1]Membership Level'!$A$3:$B$15,2,FALSE),DAY(K866))</f>
        <v>#N/A</v>
      </c>
      <c r="M866" s="36"/>
      <c r="N866" s="34" t="e">
        <f>IF($L866&lt;&gt;0,DATE(YEAR($L866),MONTH($L866)-#REF!,DAY($L866)-$M866),"")</f>
        <v>#N/A</v>
      </c>
      <c r="O866" s="33" t="e">
        <f t="shared" ca="1" si="16"/>
        <v>#N/A</v>
      </c>
      <c r="P866" s="34" t="e">
        <f>I866/H866*VLOOKUP(F864,'[1]Membership Level'!$A$3:$C$15,3,FALSE)+K866</f>
        <v>#DIV/0!</v>
      </c>
      <c r="Q866" s="36"/>
    </row>
    <row r="867" spans="3:17" x14ac:dyDescent="0.25">
      <c r="C867" s="36"/>
      <c r="D867" s="36"/>
      <c r="E867" s="35"/>
      <c r="F867" s="36"/>
      <c r="G867" s="36"/>
      <c r="H867" s="30"/>
      <c r="I867" s="30"/>
      <c r="J867" s="31"/>
      <c r="K867" s="43"/>
      <c r="L867" s="32" t="e">
        <f>DATE(YEAR(K867),MONTH(K867)+VLOOKUP($F865,'[1]Membership Level'!$A$3:$B$15,2,FALSE),DAY(K867))</f>
        <v>#N/A</v>
      </c>
      <c r="M867" s="36"/>
      <c r="N867" s="34" t="e">
        <f>IF($L867&lt;&gt;0,DATE(YEAR($L867),MONTH($L867)-#REF!,DAY($L867)-$M867),"")</f>
        <v>#N/A</v>
      </c>
      <c r="O867" s="33" t="e">
        <f t="shared" ca="1" si="16"/>
        <v>#N/A</v>
      </c>
      <c r="P867" s="34" t="e">
        <f>I867/H867*VLOOKUP(F865,'[1]Membership Level'!$A$3:$C$15,3,FALSE)+K867</f>
        <v>#DIV/0!</v>
      </c>
      <c r="Q867" s="36"/>
    </row>
    <row r="868" spans="3:17" x14ac:dyDescent="0.25">
      <c r="C868" s="36"/>
      <c r="D868" s="36"/>
      <c r="E868" s="66"/>
      <c r="F868" s="36"/>
      <c r="G868" s="36"/>
      <c r="H868" s="30"/>
      <c r="I868" s="30"/>
      <c r="J868" s="31"/>
      <c r="K868" s="43"/>
      <c r="L868" s="32" t="e">
        <f>DATE(YEAR(K868),MONTH(K868)+VLOOKUP($F866,'[1]Membership Level'!$A$3:$B$15,2,FALSE),DAY(K868))</f>
        <v>#N/A</v>
      </c>
      <c r="M868" s="36"/>
      <c r="N868" s="34" t="e">
        <f>IF($L868&lt;&gt;0,DATE(YEAR($L868),MONTH($L868)-#REF!,DAY($L868)-$M868),"")</f>
        <v>#N/A</v>
      </c>
      <c r="O868" s="33" t="e">
        <f t="shared" ca="1" si="16"/>
        <v>#N/A</v>
      </c>
      <c r="P868" s="34" t="e">
        <f>I868/H868*VLOOKUP(F866,'[1]Membership Level'!$A$3:$C$15,3,FALSE)+K868</f>
        <v>#DIV/0!</v>
      </c>
      <c r="Q868" s="36"/>
    </row>
    <row r="869" spans="3:17" x14ac:dyDescent="0.25">
      <c r="C869" s="36"/>
      <c r="D869" s="36"/>
      <c r="E869" s="66"/>
      <c r="F869" s="36"/>
      <c r="G869" s="36"/>
      <c r="H869" s="30"/>
      <c r="I869" s="30"/>
      <c r="J869" s="31"/>
      <c r="K869" s="43"/>
      <c r="L869" s="32" t="e">
        <f>DATE(YEAR(K869),MONTH(K869)+VLOOKUP($F867,'[1]Membership Level'!$A$3:$B$15,2,FALSE),DAY(K869))</f>
        <v>#N/A</v>
      </c>
      <c r="M869" s="36"/>
      <c r="N869" s="34" t="e">
        <f>IF($L869&lt;&gt;0,DATE(YEAR($L869),MONTH($L869)-#REF!,DAY($L869)-$M869),"")</f>
        <v>#N/A</v>
      </c>
      <c r="O869" s="33" t="e">
        <f t="shared" ca="1" si="16"/>
        <v>#N/A</v>
      </c>
      <c r="P869" s="34" t="e">
        <f>I869/H869*VLOOKUP(F867,'[1]Membership Level'!$A$3:$C$15,3,FALSE)+K869</f>
        <v>#DIV/0!</v>
      </c>
      <c r="Q869" s="36"/>
    </row>
    <row r="870" spans="3:17" x14ac:dyDescent="0.25">
      <c r="C870" s="36"/>
      <c r="D870" s="36"/>
      <c r="E870" s="66"/>
      <c r="F870" s="36"/>
      <c r="G870" s="36"/>
      <c r="H870" s="30"/>
      <c r="I870" s="30"/>
      <c r="J870" s="31"/>
      <c r="K870" s="43"/>
      <c r="L870" s="32" t="e">
        <f>DATE(YEAR(K870),MONTH(K870)+VLOOKUP($F868,'[1]Membership Level'!$A$3:$B$15,2,FALSE),DAY(K870))</f>
        <v>#N/A</v>
      </c>
      <c r="M870" s="36"/>
      <c r="N870" s="34" t="e">
        <f>IF($L870&lt;&gt;0,DATE(YEAR($L870),MONTH($L870)-#REF!,DAY($L870)-$M870),"")</f>
        <v>#N/A</v>
      </c>
      <c r="O870" s="33" t="e">
        <f t="shared" ca="1" si="16"/>
        <v>#N/A</v>
      </c>
      <c r="P870" s="34" t="e">
        <f>I870/H870*VLOOKUP(F868,'[1]Membership Level'!$A$3:$C$15,3,FALSE)+K870</f>
        <v>#DIV/0!</v>
      </c>
      <c r="Q870" s="36"/>
    </row>
    <row r="871" spans="3:17" x14ac:dyDescent="0.25">
      <c r="C871" s="36"/>
      <c r="D871" s="36"/>
      <c r="E871" s="35"/>
      <c r="F871" s="36"/>
      <c r="G871" s="36"/>
      <c r="H871" s="30"/>
      <c r="I871" s="30"/>
      <c r="J871" s="31"/>
      <c r="K871" s="43"/>
      <c r="L871" s="32" t="e">
        <f>DATE(YEAR(K871),MONTH(K871)+VLOOKUP($F869,'[1]Membership Level'!$A$3:$B$15,2,FALSE),DAY(K871))</f>
        <v>#N/A</v>
      </c>
      <c r="M871" s="36"/>
      <c r="N871" s="34" t="e">
        <f>IF($L871&lt;&gt;0,DATE(YEAR($L871),MONTH($L871)-#REF!,DAY($L871)-$M871),"")</f>
        <v>#N/A</v>
      </c>
      <c r="O871" s="33" t="e">
        <f t="shared" ca="1" si="16"/>
        <v>#N/A</v>
      </c>
      <c r="P871" s="34" t="e">
        <f>I871/H871*VLOOKUP(F869,'[1]Membership Level'!$A$3:$C$15,3,FALSE)+K871</f>
        <v>#DIV/0!</v>
      </c>
      <c r="Q871" s="36"/>
    </row>
    <row r="872" spans="3:17" x14ac:dyDescent="0.25">
      <c r="C872" s="36"/>
      <c r="D872" s="36"/>
      <c r="E872" s="35"/>
      <c r="F872" s="36"/>
      <c r="G872" s="36"/>
      <c r="H872" s="30"/>
      <c r="I872" s="30"/>
      <c r="J872" s="31"/>
      <c r="K872" s="43"/>
      <c r="L872" s="32" t="e">
        <f>DATE(YEAR(K872),MONTH(K872)+VLOOKUP($F870,'[1]Membership Level'!$A$3:$B$15,2,FALSE),DAY(K872))</f>
        <v>#N/A</v>
      </c>
      <c r="M872" s="36"/>
      <c r="N872" s="34" t="e">
        <f>IF($L872&lt;&gt;0,DATE(YEAR($L872),MONTH($L872)-#REF!,DAY($L872)-$M872),"")</f>
        <v>#N/A</v>
      </c>
      <c r="O872" s="33" t="e">
        <f t="shared" ca="1" si="16"/>
        <v>#N/A</v>
      </c>
      <c r="P872" s="34" t="e">
        <f>I872/H872*VLOOKUP(F870,'[1]Membership Level'!$A$3:$C$15,3,FALSE)+K872</f>
        <v>#DIV/0!</v>
      </c>
      <c r="Q872" s="36"/>
    </row>
    <row r="873" spans="3:17" x14ac:dyDescent="0.25">
      <c r="C873" s="36"/>
      <c r="D873" s="36"/>
      <c r="E873" s="35"/>
      <c r="F873" s="36"/>
      <c r="G873" s="36"/>
      <c r="H873" s="30"/>
      <c r="I873" s="30"/>
      <c r="J873" s="31"/>
      <c r="K873" s="43"/>
      <c r="L873" s="32" t="e">
        <f>DATE(YEAR(K873),MONTH(K873)+VLOOKUP($F871,'[1]Membership Level'!$A$3:$B$15,2,FALSE),DAY(K873))</f>
        <v>#N/A</v>
      </c>
      <c r="M873" s="36"/>
      <c r="N873" s="34" t="e">
        <f>IF($L873&lt;&gt;0,DATE(YEAR($L873),MONTH($L873)-#REF!,DAY($L873)-$M873),"")</f>
        <v>#N/A</v>
      </c>
      <c r="O873" s="33" t="e">
        <f t="shared" ca="1" si="16"/>
        <v>#N/A</v>
      </c>
      <c r="P873" s="34" t="e">
        <f>I873/H873*VLOOKUP(F871,'[1]Membership Level'!$A$3:$C$15,3,FALSE)+K873</f>
        <v>#DIV/0!</v>
      </c>
      <c r="Q873" s="36"/>
    </row>
    <row r="874" spans="3:17" x14ac:dyDescent="0.25">
      <c r="C874" s="36"/>
      <c r="D874" s="36"/>
      <c r="E874" s="36"/>
      <c r="F874" s="36"/>
      <c r="G874" s="36"/>
      <c r="H874" s="30"/>
      <c r="I874" s="30"/>
      <c r="J874" s="31"/>
      <c r="K874" s="43"/>
      <c r="L874" s="32" t="e">
        <f>DATE(YEAR(K874),MONTH(K874)+VLOOKUP($F872,'[1]Membership Level'!$A$3:$B$15,2,FALSE),DAY(K874))</f>
        <v>#N/A</v>
      </c>
      <c r="M874" s="36"/>
      <c r="N874" s="34" t="e">
        <f>IF($L874&lt;&gt;0,DATE(YEAR($L874),MONTH($L874)-#REF!,DAY($L874)-$M874),"")</f>
        <v>#N/A</v>
      </c>
      <c r="O874" s="33" t="e">
        <f t="shared" ca="1" si="16"/>
        <v>#N/A</v>
      </c>
      <c r="P874" s="34" t="e">
        <f>I874/H874*VLOOKUP(F872,'[1]Membership Level'!$A$3:$C$15,3,FALSE)+K874</f>
        <v>#DIV/0!</v>
      </c>
      <c r="Q874" s="36"/>
    </row>
    <row r="875" spans="3:17" x14ac:dyDescent="0.25">
      <c r="C875" s="36"/>
      <c r="D875" s="36"/>
      <c r="E875" s="35"/>
      <c r="F875" s="36"/>
      <c r="G875" s="36"/>
      <c r="H875" s="30"/>
      <c r="I875" s="30"/>
      <c r="J875" s="31"/>
      <c r="K875" s="43"/>
      <c r="L875" s="32" t="e">
        <f>DATE(YEAR(K875),MONTH(K875)+VLOOKUP($F873,'[1]Membership Level'!$A$3:$B$15,2,FALSE),DAY(K875))</f>
        <v>#N/A</v>
      </c>
      <c r="M875" s="36"/>
      <c r="N875" s="34" t="e">
        <f>IF($L875&lt;&gt;0,DATE(YEAR($L875),MONTH($L875)-#REF!,DAY($L875)-$M875),"")</f>
        <v>#N/A</v>
      </c>
      <c r="O875" s="33" t="e">
        <f t="shared" ca="1" si="16"/>
        <v>#N/A</v>
      </c>
      <c r="P875" s="34" t="e">
        <f>I875/H875*VLOOKUP(F873,'[1]Membership Level'!$A$3:$C$15,3,FALSE)+K875</f>
        <v>#DIV/0!</v>
      </c>
      <c r="Q875" s="36"/>
    </row>
    <row r="876" spans="3:17" x14ac:dyDescent="0.25">
      <c r="C876" s="36"/>
      <c r="D876" s="36"/>
      <c r="E876" s="35"/>
      <c r="F876" s="33"/>
      <c r="G876" s="36"/>
      <c r="H876" s="30"/>
      <c r="I876" s="30"/>
      <c r="J876" s="31"/>
      <c r="K876" s="43"/>
      <c r="L876" s="32" t="e">
        <f>DATE(YEAR(K876),MONTH(K876)+VLOOKUP($F874,'[1]Membership Level'!$A$3:$B$15,2,FALSE),DAY(K876))</f>
        <v>#N/A</v>
      </c>
      <c r="M876" s="33">
        <v>3</v>
      </c>
      <c r="N876" s="34" t="e">
        <f>IF($L876&lt;&gt;0,DATE(YEAR($L876),MONTH($L876)-#REF!,DAY($L876)-$M876),"")</f>
        <v>#N/A</v>
      </c>
      <c r="O876" s="33" t="e">
        <f t="shared" ca="1" si="16"/>
        <v>#N/A</v>
      </c>
      <c r="P876" s="34" t="e">
        <f>I876/H876*VLOOKUP(F874,'[1]Membership Level'!$A$3:$C$15,3,FALSE)+K876</f>
        <v>#DIV/0!</v>
      </c>
      <c r="Q876" s="36"/>
    </row>
    <row r="877" spans="3:17" x14ac:dyDescent="0.25">
      <c r="C877" s="36"/>
      <c r="D877" s="36"/>
      <c r="E877" s="66"/>
      <c r="F877" s="33"/>
      <c r="G877" s="36"/>
      <c r="H877" s="30"/>
      <c r="I877" s="30"/>
      <c r="J877" s="31"/>
      <c r="K877" s="43"/>
      <c r="L877" s="32" t="e">
        <f>DATE(YEAR(K877),MONTH(K877)+VLOOKUP($F875,'[1]Membership Level'!$A$3:$B$15,2,FALSE),DAY(K877))</f>
        <v>#N/A</v>
      </c>
      <c r="M877" s="33">
        <v>3</v>
      </c>
      <c r="N877" s="34" t="e">
        <f>IF($L877&lt;&gt;0,DATE(YEAR($L877),MONTH($L877)-#REF!,DAY($L877)-$M877),"")</f>
        <v>#N/A</v>
      </c>
      <c r="O877" s="33" t="e">
        <f t="shared" ca="1" si="16"/>
        <v>#N/A</v>
      </c>
      <c r="P877" s="34" t="e">
        <f>I877/H877*VLOOKUP(F875,'[1]Membership Level'!$A$3:$C$15,3,FALSE)+K877</f>
        <v>#DIV/0!</v>
      </c>
      <c r="Q877" s="36"/>
    </row>
    <row r="878" spans="3:17" s="22" customFormat="1" x14ac:dyDescent="0.25">
      <c r="C878" s="33"/>
      <c r="D878" s="33"/>
      <c r="F878" s="33"/>
      <c r="G878" s="33"/>
      <c r="H878" s="44"/>
      <c r="I878" s="30"/>
      <c r="J878" s="31"/>
      <c r="K878" s="32"/>
      <c r="L878" s="32" t="e">
        <f>DATE(YEAR(K878),MONTH(K878)+VLOOKUP($F876,'[1]Membership Level'!$A$3:$B$15,2,FALSE),DAY(K878))</f>
        <v>#N/A</v>
      </c>
      <c r="M878" s="36"/>
      <c r="N878" s="34" t="e">
        <f>IF($L878&lt;&gt;0,DATE(YEAR($L878),MONTH($L878)-#REF!,DAY($L878)-$M878),"")</f>
        <v>#N/A</v>
      </c>
      <c r="O878" s="33" t="e">
        <f t="shared" ca="1" si="16"/>
        <v>#N/A</v>
      </c>
      <c r="P878" s="34" t="e">
        <f>I878/H878*VLOOKUP(F876,'[1]Membership Level'!$A$3:$C$15,3,FALSE)+K878</f>
        <v>#DIV/0!</v>
      </c>
      <c r="Q878" s="33"/>
    </row>
    <row r="879" spans="3:17" s="22" customFormat="1" x14ac:dyDescent="0.25">
      <c r="C879" s="33"/>
      <c r="D879" s="33"/>
      <c r="E879" s="33"/>
      <c r="F879" s="33"/>
      <c r="G879" s="33"/>
      <c r="H879" s="44"/>
      <c r="I879" s="30"/>
      <c r="J879" s="31"/>
      <c r="K879" s="32"/>
      <c r="L879" s="32" t="e">
        <f>DATE(YEAR(K879),MONTH(K879)+VLOOKUP($F877,'[1]Membership Level'!$A$3:$B$15,2,FALSE),DAY(K879))</f>
        <v>#N/A</v>
      </c>
      <c r="M879" s="36"/>
      <c r="N879" s="34" t="e">
        <f>IF($L879&lt;&gt;0,DATE(YEAR($L879),MONTH($L879)-#REF!,DAY($L879)-$M879),"")</f>
        <v>#N/A</v>
      </c>
      <c r="O879" s="33" t="e">
        <f t="shared" ca="1" si="16"/>
        <v>#N/A</v>
      </c>
      <c r="P879" s="34" t="e">
        <f>I879/H879*VLOOKUP(F877,'[1]Membership Level'!$A$3:$C$15,3,FALSE)+K879</f>
        <v>#DIV/0!</v>
      </c>
      <c r="Q879" s="33"/>
    </row>
    <row r="880" spans="3:17" s="22" customFormat="1" x14ac:dyDescent="0.25">
      <c r="C880" s="33"/>
      <c r="D880" s="33"/>
      <c r="E880" s="33"/>
      <c r="F880" s="33"/>
      <c r="G880" s="33"/>
      <c r="H880" s="44"/>
      <c r="I880" s="44"/>
      <c r="J880" s="31"/>
      <c r="K880" s="32"/>
      <c r="L880" s="32" t="e">
        <f>DATE(YEAR(K880),MONTH(K880)+VLOOKUP($F878,'[1]Membership Level'!$A$3:$B$15,2,FALSE),DAY(K880))</f>
        <v>#N/A</v>
      </c>
      <c r="M880" s="33"/>
      <c r="N880" s="34" t="e">
        <f>IF($L880&lt;&gt;0,DATE(YEAR($L880),MONTH($L880)-#REF!,DAY($L880)-$M880),"")</f>
        <v>#N/A</v>
      </c>
      <c r="O880" s="33" t="e">
        <f t="shared" ca="1" si="16"/>
        <v>#N/A</v>
      </c>
      <c r="P880" s="34" t="e">
        <f>I880/H880*VLOOKUP(F878,'[1]Membership Level'!$A$3:$C$15,3,FALSE)+K880</f>
        <v>#DIV/0!</v>
      </c>
      <c r="Q880" s="33"/>
    </row>
    <row r="881" spans="3:17" s="22" customFormat="1" x14ac:dyDescent="0.25">
      <c r="C881" s="33"/>
      <c r="D881" s="33"/>
      <c r="E881" s="66"/>
      <c r="F881" s="33"/>
      <c r="G881" s="33"/>
      <c r="H881" s="44"/>
      <c r="I881" s="44"/>
      <c r="J881" s="31"/>
      <c r="K881" s="32"/>
      <c r="L881" s="32" t="e">
        <f>DATE(YEAR(K881),MONTH(K881)+VLOOKUP($F879,'[1]Membership Level'!$A$3:$B$15,2,FALSE),DAY(K881))</f>
        <v>#N/A</v>
      </c>
      <c r="M881" s="33"/>
      <c r="N881" s="34" t="e">
        <f>IF($L881&lt;&gt;0,DATE(YEAR($L881),MONTH($L881)-#REF!,DAY($L881)-$M881),"")</f>
        <v>#N/A</v>
      </c>
      <c r="O881" s="33" t="e">
        <f t="shared" ca="1" si="16"/>
        <v>#N/A</v>
      </c>
      <c r="P881" s="34" t="e">
        <f>I881/H881*VLOOKUP(F879,'[1]Membership Level'!$A$3:$C$15,3,FALSE)+K881</f>
        <v>#DIV/0!</v>
      </c>
      <c r="Q881" s="33"/>
    </row>
    <row r="882" spans="3:17" s="22" customFormat="1" x14ac:dyDescent="0.25">
      <c r="C882" s="33"/>
      <c r="D882" s="33"/>
      <c r="E882" s="33"/>
      <c r="F882" s="33"/>
      <c r="G882" s="33"/>
      <c r="H882" s="44"/>
      <c r="I882" s="30"/>
      <c r="J882" s="31"/>
      <c r="K882" s="32"/>
      <c r="L882" s="32" t="e">
        <f>DATE(YEAR(K882),MONTH(K882)+VLOOKUP($F880,'[1]Membership Level'!$A$3:$B$15,2,FALSE),DAY(K882))</f>
        <v>#N/A</v>
      </c>
      <c r="M882" s="33"/>
      <c r="N882" s="34" t="e">
        <f>IF($L882&lt;&gt;0,DATE(YEAR($L882),MONTH($L882)-#REF!,DAY($L882)-$M882),"")</f>
        <v>#N/A</v>
      </c>
      <c r="O882" s="33" t="e">
        <f t="shared" ca="1" si="16"/>
        <v>#N/A</v>
      </c>
      <c r="P882" s="34" t="e">
        <f>I882/H882*VLOOKUP(F880,'[1]Membership Level'!$A$3:$C$15,3,FALSE)+K882</f>
        <v>#DIV/0!</v>
      </c>
      <c r="Q882" s="33"/>
    </row>
    <row r="883" spans="3:17" s="22" customFormat="1" x14ac:dyDescent="0.25">
      <c r="C883" s="33"/>
      <c r="D883" s="33"/>
      <c r="E883" s="66"/>
      <c r="F883" s="33"/>
      <c r="G883" s="33"/>
      <c r="H883" s="44"/>
      <c r="I883" s="30"/>
      <c r="J883" s="31"/>
      <c r="K883" s="32"/>
      <c r="L883" s="32" t="e">
        <f>DATE(YEAR(K883),MONTH(K883)+VLOOKUP($F881,'[1]Membership Level'!$A$3:$B$15,2,FALSE),DAY(K883))</f>
        <v>#N/A</v>
      </c>
      <c r="M883" s="33"/>
      <c r="N883" s="34" t="e">
        <f>IF($L883&lt;&gt;0,DATE(YEAR($L883),MONTH($L883)-#REF!,DAY($L883)-$M883),"")</f>
        <v>#N/A</v>
      </c>
      <c r="O883" s="33" t="e">
        <f t="shared" ca="1" si="16"/>
        <v>#N/A</v>
      </c>
      <c r="P883" s="34" t="e">
        <f>I883/H883*VLOOKUP(F881,'[1]Membership Level'!$A$3:$C$15,3,FALSE)+K883</f>
        <v>#DIV/0!</v>
      </c>
      <c r="Q883" s="33"/>
    </row>
    <row r="884" spans="3:17" s="22" customFormat="1" x14ac:dyDescent="0.25">
      <c r="C884" s="33"/>
      <c r="D884" s="33"/>
      <c r="E884" s="66"/>
      <c r="F884" s="33"/>
      <c r="G884" s="33"/>
      <c r="H884" s="44"/>
      <c r="I884" s="30"/>
      <c r="J884" s="31"/>
      <c r="K884" s="32"/>
      <c r="L884" s="32" t="e">
        <f>DATE(YEAR(K884),MONTH(K884)+VLOOKUP($F882,'[1]Membership Level'!$A$3:$B$15,2,FALSE),DAY(K884))</f>
        <v>#N/A</v>
      </c>
      <c r="M884" s="36"/>
      <c r="N884" s="34" t="e">
        <f>IF($L884&lt;&gt;0,DATE(YEAR($L884),MONTH($L884)-#REF!,DAY($L884)-$M884),"")</f>
        <v>#N/A</v>
      </c>
      <c r="O884" s="33" t="e">
        <f t="shared" ca="1" si="16"/>
        <v>#N/A</v>
      </c>
      <c r="P884" s="34" t="e">
        <f>I884/H884*VLOOKUP(F882,'[1]Membership Level'!$A$3:$C$15,3,FALSE)+K884</f>
        <v>#DIV/0!</v>
      </c>
      <c r="Q884" s="33"/>
    </row>
    <row r="885" spans="3:17" s="22" customFormat="1" x14ac:dyDescent="0.25">
      <c r="C885" s="33"/>
      <c r="D885" s="33"/>
      <c r="E885" s="79"/>
      <c r="F885" s="33"/>
      <c r="G885" s="33"/>
      <c r="H885" s="44"/>
      <c r="I885" s="30"/>
      <c r="J885" s="31"/>
      <c r="K885" s="32"/>
      <c r="L885" s="32" t="e">
        <f>DATE(YEAR(K885),MONTH(K885)+VLOOKUP($F883,'[1]Membership Level'!$A$3:$B$15,2,FALSE),DAY(K885))</f>
        <v>#N/A</v>
      </c>
      <c r="M885" s="36"/>
      <c r="N885" s="34" t="e">
        <f>IF($L885&lt;&gt;0,DATE(YEAR($L885),MONTH($L885)-#REF!,DAY($L885)-$M885),"")</f>
        <v>#N/A</v>
      </c>
      <c r="O885" s="33" t="e">
        <f t="shared" ca="1" si="16"/>
        <v>#N/A</v>
      </c>
      <c r="P885" s="34" t="e">
        <f>I885/H885*VLOOKUP(F883,'[1]Membership Level'!$A$3:$C$15,3,FALSE)+K885</f>
        <v>#DIV/0!</v>
      </c>
      <c r="Q885" s="33"/>
    </row>
    <row r="886" spans="3:17" x14ac:dyDescent="0.25">
      <c r="C886" s="33"/>
      <c r="D886" s="33"/>
      <c r="E886" s="33"/>
      <c r="F886" s="80"/>
      <c r="G886" s="33"/>
      <c r="H886" s="81"/>
      <c r="I886" s="30"/>
      <c r="J886" s="31"/>
      <c r="K886" s="32"/>
      <c r="L886" s="32" t="e">
        <f>DATE(YEAR(K886),MONTH(K886)+VLOOKUP($F884,'[1]Membership Level'!$A$3:$B$15,2,FALSE),DAY(K886))</f>
        <v>#N/A</v>
      </c>
      <c r="M886" s="33">
        <v>3</v>
      </c>
      <c r="N886" s="34" t="e">
        <f>IF($L886&lt;&gt;0,DATE(YEAR($L886),MONTH($L886)-#REF!,DAY($L886)-$M886),"")</f>
        <v>#N/A</v>
      </c>
      <c r="O886" s="33" t="e">
        <f t="shared" ca="1" si="16"/>
        <v>#N/A</v>
      </c>
      <c r="P886" s="34" t="e">
        <f>I886/H886*VLOOKUP(F884,'[1]Membership Level'!$A$3:$C$15,3,FALSE)+K886</f>
        <v>#DIV/0!</v>
      </c>
      <c r="Q886" s="33"/>
    </row>
    <row r="887" spans="3:17" x14ac:dyDescent="0.25">
      <c r="C887" s="33"/>
      <c r="D887" s="33"/>
      <c r="E887" s="80"/>
      <c r="F887" s="33"/>
      <c r="G887" s="33"/>
      <c r="H887" s="81"/>
      <c r="I887" s="30"/>
      <c r="J887" s="31"/>
      <c r="K887" s="32"/>
      <c r="L887" s="32" t="e">
        <f>DATE(YEAR(K887),MONTH(K887)+VLOOKUP($F885,'[1]Membership Level'!$A$3:$B$15,2,FALSE),DAY(K887))</f>
        <v>#N/A</v>
      </c>
      <c r="M887" s="33">
        <v>3</v>
      </c>
      <c r="N887" s="34" t="e">
        <f>IF($L887&lt;&gt;0,DATE(YEAR($L887),MONTH($L887)-#REF!,DAY($L887)-$M887),"")</f>
        <v>#N/A</v>
      </c>
      <c r="O887" s="33" t="e">
        <f t="shared" ca="1" si="16"/>
        <v>#N/A</v>
      </c>
      <c r="P887" s="34" t="e">
        <f>I887/H887*VLOOKUP(F885,'[1]Membership Level'!$A$3:$C$15,3,FALSE)+K887</f>
        <v>#DIV/0!</v>
      </c>
      <c r="Q887" s="33"/>
    </row>
    <row r="888" spans="3:17" x14ac:dyDescent="0.25">
      <c r="C888" s="80"/>
      <c r="D888" s="80"/>
      <c r="E888" s="66"/>
      <c r="F888" s="33"/>
      <c r="G888" s="80"/>
      <c r="H888" s="82"/>
      <c r="I888" s="83"/>
      <c r="J888" s="82"/>
      <c r="K888" s="84"/>
      <c r="L888" s="32" t="e">
        <f>DATE(YEAR(K888),MONTH(K888)+VLOOKUP($F886,'[1]Membership Level'!$A$3:$B$15,2,FALSE),DAY(K888))</f>
        <v>#N/A</v>
      </c>
      <c r="M888" s="33">
        <v>3</v>
      </c>
      <c r="N888" s="34" t="e">
        <f>IF($L888&lt;&gt;0,DATE(YEAR($L888),MONTH($L888)-#REF!,DAY($L888)-$M888),"")</f>
        <v>#N/A</v>
      </c>
      <c r="O888" s="33" t="e">
        <f t="shared" ca="1" si="16"/>
        <v>#N/A</v>
      </c>
      <c r="P888" s="34" t="e">
        <f>I888/H888*VLOOKUP(F886,'[1]Membership Level'!$A$3:$C$15,3,FALSE)+K888</f>
        <v>#DIV/0!</v>
      </c>
      <c r="Q888" s="33"/>
    </row>
    <row r="889" spans="3:17" x14ac:dyDescent="0.25">
      <c r="C889" s="33"/>
      <c r="D889" s="33"/>
      <c r="E889" s="33"/>
      <c r="F889" s="33"/>
      <c r="G889" s="33"/>
      <c r="H889" s="81"/>
      <c r="I889" s="30"/>
      <c r="J889" s="31"/>
      <c r="K889" s="32"/>
      <c r="L889" s="32" t="e">
        <f>DATE(YEAR(K889),MONTH(K889)+VLOOKUP($F887,'[1]Membership Level'!$A$3:$B$15,2,FALSE),DAY(K889))</f>
        <v>#N/A</v>
      </c>
      <c r="M889" s="33">
        <v>3</v>
      </c>
      <c r="N889" s="34" t="e">
        <f>IF($L889&lt;&gt;0,DATE(YEAR($L889),MONTH($L889)-#REF!,DAY($L889)-$M889),"")</f>
        <v>#N/A</v>
      </c>
      <c r="O889" s="33" t="e">
        <f t="shared" ca="1" si="16"/>
        <v>#N/A</v>
      </c>
      <c r="P889" s="34" t="e">
        <f>I889/H889*VLOOKUP(F887,'[1]Membership Level'!$A$3:$C$15,3,FALSE)+K889</f>
        <v>#DIV/0!</v>
      </c>
      <c r="Q889" s="33"/>
    </row>
    <row r="890" spans="3:17" x14ac:dyDescent="0.25">
      <c r="C890" s="33"/>
      <c r="D890" s="33"/>
      <c r="E890" s="33"/>
      <c r="F890" s="33"/>
      <c r="G890" s="33"/>
      <c r="H890" s="81"/>
      <c r="I890" s="30"/>
      <c r="J890" s="31"/>
      <c r="K890" s="32"/>
      <c r="L890" s="32" t="e">
        <f>DATE(YEAR(K890),MONTH(K890)+VLOOKUP($F888,'[1]Membership Level'!$A$3:$B$15,2,FALSE),DAY(K890))</f>
        <v>#N/A</v>
      </c>
      <c r="M890" s="33">
        <v>3</v>
      </c>
      <c r="N890" s="34" t="e">
        <f>IF($L890&lt;&gt;0,DATE(YEAR($L890),MONTH($L890)-#REF!,DAY($L890)-$M890),"")</f>
        <v>#N/A</v>
      </c>
      <c r="O890" s="33" t="e">
        <f t="shared" ca="1" si="16"/>
        <v>#N/A</v>
      </c>
      <c r="P890" s="34" t="e">
        <f>I890/H890*VLOOKUP(F888,'[1]Membership Level'!$A$3:$C$15,3,FALSE)+K890</f>
        <v>#DIV/0!</v>
      </c>
      <c r="Q890" s="33"/>
    </row>
    <row r="891" spans="3:17" x14ac:dyDescent="0.25">
      <c r="C891" s="33"/>
      <c r="D891" s="33"/>
      <c r="E891" s="66"/>
      <c r="F891" s="33"/>
      <c r="G891" s="33"/>
      <c r="H891" s="81"/>
      <c r="I891" s="30"/>
      <c r="J891" s="31"/>
      <c r="K891" s="32"/>
      <c r="L891" s="32" t="e">
        <f>DATE(YEAR(K891),MONTH(K891)+VLOOKUP($F889,'[1]Membership Level'!$A$3:$B$15,2,FALSE),DAY(K891))</f>
        <v>#N/A</v>
      </c>
      <c r="M891" s="33">
        <v>3</v>
      </c>
      <c r="N891" s="34" t="e">
        <f>IF($L891&lt;&gt;0,DATE(YEAR($L891),MONTH($L891)-#REF!,DAY($L891)-$M891),"")</f>
        <v>#N/A</v>
      </c>
      <c r="O891" s="33" t="e">
        <f t="shared" ca="1" si="16"/>
        <v>#N/A</v>
      </c>
      <c r="P891" s="34" t="e">
        <f>I891/H891*VLOOKUP(F889,'[1]Membership Level'!$A$3:$C$15,3,FALSE)+K891</f>
        <v>#DIV/0!</v>
      </c>
      <c r="Q891" s="33"/>
    </row>
    <row r="892" spans="3:17" x14ac:dyDescent="0.25">
      <c r="C892" s="33"/>
      <c r="D892" s="33"/>
      <c r="E892" s="66"/>
      <c r="F892" s="36"/>
      <c r="G892" s="33"/>
      <c r="H892" s="81"/>
      <c r="I892" s="30"/>
      <c r="J892" s="31"/>
      <c r="K892" s="32"/>
      <c r="L892" s="32" t="e">
        <f>DATE(YEAR(K892),MONTH(K892)+VLOOKUP($F890,'[1]Membership Level'!$A$3:$B$15,2,FALSE),DAY(K892))</f>
        <v>#N/A</v>
      </c>
      <c r="M892" s="33">
        <v>3</v>
      </c>
      <c r="N892" s="34" t="e">
        <f>IF($L892&lt;&gt;0,DATE(YEAR($L892),MONTH($L892)-#REF!,DAY($L892)-$M892),"")</f>
        <v>#N/A</v>
      </c>
      <c r="O892" s="33" t="e">
        <f t="shared" ca="1" si="16"/>
        <v>#N/A</v>
      </c>
      <c r="P892" s="34" t="e">
        <f>I892/H892*VLOOKUP(F890,'[1]Membership Level'!$A$3:$C$15,3,FALSE)+K892</f>
        <v>#DIV/0!</v>
      </c>
      <c r="Q892" s="33"/>
    </row>
    <row r="893" spans="3:17" x14ac:dyDescent="0.25">
      <c r="C893" s="33"/>
      <c r="D893" s="33"/>
      <c r="E893" s="35"/>
      <c r="F893" s="36"/>
      <c r="G893" s="33"/>
      <c r="H893" s="81"/>
      <c r="I893" s="30"/>
      <c r="J893" s="31"/>
      <c r="K893" s="32"/>
      <c r="L893" s="32" t="e">
        <f>DATE(YEAR(K893),MONTH(K893)+VLOOKUP($F891,'[1]Membership Level'!$A$3:$B$15,2,FALSE),DAY(K893))</f>
        <v>#N/A</v>
      </c>
      <c r="M893" s="33">
        <v>3</v>
      </c>
      <c r="N893" s="34" t="e">
        <f>IF($L893&lt;&gt;0,DATE(YEAR($L893),MONTH($L893)-#REF!,DAY($L893)-$M893),"")</f>
        <v>#N/A</v>
      </c>
      <c r="O893" s="33" t="e">
        <f t="shared" ref="O893:O956" ca="1" si="17">IF(DAYS360(NOW(), $L893) &gt;= 0, DAYS360(NOW(), $L893), "")</f>
        <v>#N/A</v>
      </c>
      <c r="P893" s="34" t="e">
        <f>I893/H893*VLOOKUP(F891,'[1]Membership Level'!$A$3:$C$15,3,FALSE)+K893</f>
        <v>#DIV/0!</v>
      </c>
      <c r="Q893" s="33"/>
    </row>
    <row r="894" spans="3:17" x14ac:dyDescent="0.25">
      <c r="C894" s="33"/>
      <c r="D894" s="33"/>
      <c r="E894" s="36"/>
      <c r="F894" s="36"/>
      <c r="G894" s="36"/>
      <c r="H894" s="81"/>
      <c r="I894" s="30"/>
      <c r="J894" s="31"/>
      <c r="K894" s="32"/>
      <c r="L894" s="32" t="e">
        <f>DATE(YEAR(K894),MONTH(K894)+VLOOKUP($F892,'[1]Membership Level'!$A$3:$B$15,2,FALSE),DAY(K894))</f>
        <v>#N/A</v>
      </c>
      <c r="M894" s="33">
        <v>3</v>
      </c>
      <c r="N894" s="34" t="e">
        <f>IF($L894&lt;&gt;0,DATE(YEAR($L894),MONTH($L894)-#REF!,DAY($L894)-$M894),"")</f>
        <v>#N/A</v>
      </c>
      <c r="O894" s="33" t="e">
        <f t="shared" ca="1" si="17"/>
        <v>#N/A</v>
      </c>
      <c r="P894" s="34" t="e">
        <f>I894/H894*VLOOKUP(F892,'[1]Membership Level'!$A$3:$C$15,3,FALSE)+K894</f>
        <v>#DIV/0!</v>
      </c>
      <c r="Q894" s="36"/>
    </row>
    <row r="895" spans="3:17" x14ac:dyDescent="0.25">
      <c r="C895" s="33"/>
      <c r="D895" s="33"/>
      <c r="E895" s="36"/>
      <c r="F895" s="36"/>
      <c r="G895" s="36"/>
      <c r="H895" s="81"/>
      <c r="I895" s="30"/>
      <c r="J895" s="31"/>
      <c r="K895" s="32"/>
      <c r="L895" s="32" t="e">
        <f>DATE(YEAR(K895),MONTH(K895)+VLOOKUP($F893,'[1]Membership Level'!$A$3:$B$15,2,FALSE),DAY(K895))</f>
        <v>#N/A</v>
      </c>
      <c r="M895" s="33">
        <v>3</v>
      </c>
      <c r="N895" s="34" t="e">
        <f>IF($L895&lt;&gt;0,DATE(YEAR($L895),MONTH($L895)-#REF!,DAY($L895)-$M895),"")</f>
        <v>#N/A</v>
      </c>
      <c r="O895" s="33" t="e">
        <f t="shared" ca="1" si="17"/>
        <v>#N/A</v>
      </c>
      <c r="P895" s="34" t="e">
        <f>I895/H895*VLOOKUP(F893,'[1]Membership Level'!$A$3:$C$15,3,FALSE)+K895</f>
        <v>#DIV/0!</v>
      </c>
      <c r="Q895" s="36"/>
    </row>
    <row r="896" spans="3:17" x14ac:dyDescent="0.25">
      <c r="C896" s="33"/>
      <c r="D896" s="36"/>
      <c r="E896" s="36"/>
      <c r="F896" s="36"/>
      <c r="G896" s="36"/>
      <c r="H896" s="81"/>
      <c r="I896" s="30"/>
      <c r="J896" s="31"/>
      <c r="K896" s="43"/>
      <c r="L896" s="32" t="e">
        <f>DATE(YEAR(K896),MONTH(K896)+VLOOKUP($F894,'[1]Membership Level'!$A$3:$B$15,2,FALSE),DAY(K896))</f>
        <v>#N/A</v>
      </c>
      <c r="M896" s="33">
        <v>3</v>
      </c>
      <c r="N896" s="34" t="e">
        <f>IF($L896&lt;&gt;0,DATE(YEAR($L896),MONTH($L896)-#REF!,DAY($L896)-$M896),"")</f>
        <v>#N/A</v>
      </c>
      <c r="O896" s="33" t="e">
        <f t="shared" ca="1" si="17"/>
        <v>#N/A</v>
      </c>
      <c r="P896" s="34" t="e">
        <f>I896/H896*VLOOKUP(F894,'[1]Membership Level'!$A$3:$C$15,3,FALSE)+K896</f>
        <v>#DIV/0!</v>
      </c>
      <c r="Q896" s="36"/>
    </row>
    <row r="897" spans="3:17" x14ac:dyDescent="0.25">
      <c r="C897" s="33"/>
      <c r="D897" s="36"/>
      <c r="E897" s="36"/>
      <c r="F897" s="36"/>
      <c r="G897" s="36"/>
      <c r="H897" s="81"/>
      <c r="I897" s="30"/>
      <c r="J897" s="31"/>
      <c r="K897" s="43"/>
      <c r="L897" s="32" t="e">
        <f>DATE(YEAR(K897),MONTH(K897)+VLOOKUP($F895,'[1]Membership Level'!$A$3:$B$15,2,FALSE),DAY(K897))</f>
        <v>#N/A</v>
      </c>
      <c r="M897" s="33">
        <v>3</v>
      </c>
      <c r="N897" s="34" t="e">
        <f>IF($L897&lt;&gt;0,DATE(YEAR($L897),MONTH($L897)-#REF!,DAY($L897)-$M897),"")</f>
        <v>#N/A</v>
      </c>
      <c r="O897" s="33" t="e">
        <f t="shared" ca="1" si="17"/>
        <v>#N/A</v>
      </c>
      <c r="P897" s="34" t="e">
        <f>I897/H897*VLOOKUP(F895,'[1]Membership Level'!$A$3:$C$15,3,FALSE)+K897</f>
        <v>#DIV/0!</v>
      </c>
      <c r="Q897" s="36"/>
    </row>
    <row r="898" spans="3:17" x14ac:dyDescent="0.25">
      <c r="C898" s="33"/>
      <c r="D898" s="33"/>
      <c r="E898" s="36"/>
      <c r="F898" s="36"/>
      <c r="G898" s="36"/>
      <c r="H898" s="81"/>
      <c r="I898" s="30"/>
      <c r="J898" s="31"/>
      <c r="K898" s="43"/>
      <c r="L898" s="32" t="e">
        <f>DATE(YEAR(K898),MONTH(K898)+VLOOKUP($F896,'[1]Membership Level'!$A$3:$B$15,2,FALSE),DAY(K898))</f>
        <v>#N/A</v>
      </c>
      <c r="M898" s="33">
        <v>3</v>
      </c>
      <c r="N898" s="34" t="e">
        <f>IF($L898&lt;&gt;0,DATE(YEAR($L898),MONTH($L898)-#REF!,DAY($L898)-$M898),"")</f>
        <v>#N/A</v>
      </c>
      <c r="O898" s="33" t="e">
        <f t="shared" ca="1" si="17"/>
        <v>#N/A</v>
      </c>
      <c r="P898" s="34" t="e">
        <f>I898/H898*VLOOKUP(F896,'[1]Membership Level'!$A$3:$C$15,3,FALSE)+K898</f>
        <v>#DIV/0!</v>
      </c>
      <c r="Q898" s="36"/>
    </row>
    <row r="899" spans="3:17" x14ac:dyDescent="0.25">
      <c r="C899" s="33"/>
      <c r="D899" s="33"/>
      <c r="E899" s="36"/>
      <c r="F899" s="36"/>
      <c r="G899" s="36"/>
      <c r="H899" s="81"/>
      <c r="I899" s="30"/>
      <c r="J899" s="31"/>
      <c r="K899" s="43"/>
      <c r="L899" s="32" t="e">
        <f>DATE(YEAR(K899),MONTH(K899)+VLOOKUP($F897,'[1]Membership Level'!$A$3:$B$15,2,FALSE),DAY(K899))</f>
        <v>#N/A</v>
      </c>
      <c r="M899" s="33">
        <v>3</v>
      </c>
      <c r="N899" s="34" t="e">
        <f>IF($L899&lt;&gt;0,DATE(YEAR($L899),MONTH($L899)-#REF!,DAY($L899)-$M899),"")</f>
        <v>#N/A</v>
      </c>
      <c r="O899" s="33" t="e">
        <f t="shared" ca="1" si="17"/>
        <v>#N/A</v>
      </c>
      <c r="P899" s="34" t="e">
        <f>I899/H899*VLOOKUP(F897,'[1]Membership Level'!$A$3:$C$15,3,FALSE)+K899</f>
        <v>#DIV/0!</v>
      </c>
      <c r="Q899" s="36"/>
    </row>
    <row r="900" spans="3:17" x14ac:dyDescent="0.25">
      <c r="C900" s="33"/>
      <c r="D900" s="33"/>
      <c r="E900" s="36"/>
      <c r="F900" s="36"/>
      <c r="G900" s="36"/>
      <c r="H900" s="81"/>
      <c r="I900" s="30"/>
      <c r="J900" s="31"/>
      <c r="K900" s="43"/>
      <c r="L900" s="32" t="e">
        <f>DATE(YEAR(K900),MONTH(K900)+VLOOKUP($F898,'[1]Membership Level'!$A$3:$B$15,2,FALSE),DAY(K900))</f>
        <v>#N/A</v>
      </c>
      <c r="M900" s="33">
        <v>3</v>
      </c>
      <c r="N900" s="34" t="e">
        <f>IF($L900&lt;&gt;0,DATE(YEAR($L900),MONTH($L900)-#REF!,DAY($L900)-$M900),"")</f>
        <v>#N/A</v>
      </c>
      <c r="O900" s="33" t="e">
        <f t="shared" ca="1" si="17"/>
        <v>#N/A</v>
      </c>
      <c r="P900" s="34" t="e">
        <f>I900/H900*VLOOKUP(F898,'[1]Membership Level'!$A$3:$C$15,3,FALSE)+K900</f>
        <v>#DIV/0!</v>
      </c>
      <c r="Q900" s="36"/>
    </row>
    <row r="901" spans="3:17" x14ac:dyDescent="0.25">
      <c r="C901" s="33"/>
      <c r="D901" s="33"/>
      <c r="E901" s="36"/>
      <c r="F901" s="36"/>
      <c r="G901" s="36"/>
      <c r="H901" s="81"/>
      <c r="I901" s="30"/>
      <c r="J901" s="31"/>
      <c r="K901" s="43"/>
      <c r="L901" s="32" t="e">
        <f>DATE(YEAR(K901),MONTH(K901)+VLOOKUP($F899,'[1]Membership Level'!$A$3:$B$15,2,FALSE),DAY(K901))</f>
        <v>#N/A</v>
      </c>
      <c r="M901" s="33">
        <v>3</v>
      </c>
      <c r="N901" s="34" t="e">
        <f>IF($L901&lt;&gt;0,DATE(YEAR($L901),MONTH($L901)-#REF!,DAY($L901)-$M901),"")</f>
        <v>#N/A</v>
      </c>
      <c r="O901" s="33" t="e">
        <f t="shared" ca="1" si="17"/>
        <v>#N/A</v>
      </c>
      <c r="P901" s="34" t="e">
        <f>I901/H901*VLOOKUP(F899,'[1]Membership Level'!$A$3:$C$15,3,FALSE)+K901</f>
        <v>#DIV/0!</v>
      </c>
      <c r="Q901" s="36"/>
    </row>
    <row r="902" spans="3:17" x14ac:dyDescent="0.25">
      <c r="C902" s="33"/>
      <c r="D902" s="36"/>
      <c r="E902" s="36"/>
      <c r="F902" s="36"/>
      <c r="G902" s="36"/>
      <c r="H902" s="81"/>
      <c r="I902" s="30"/>
      <c r="J902" s="31"/>
      <c r="K902" s="43"/>
      <c r="L902" s="32" t="e">
        <f>DATE(YEAR(K902),MONTH(K902)+VLOOKUP($F900,'[1]Membership Level'!$A$3:$B$15,2,FALSE),DAY(K902))</f>
        <v>#N/A</v>
      </c>
      <c r="M902" s="33">
        <v>3</v>
      </c>
      <c r="N902" s="34" t="e">
        <f>IF($L902&lt;&gt;0,DATE(YEAR($L902),MONTH($L902)-#REF!,DAY($L902)-$M902),"")</f>
        <v>#N/A</v>
      </c>
      <c r="O902" s="33" t="e">
        <f t="shared" ca="1" si="17"/>
        <v>#N/A</v>
      </c>
      <c r="P902" s="34" t="e">
        <f>I902/H902*VLOOKUP(F900,'[1]Membership Level'!$A$3:$C$15,3,FALSE)+K902</f>
        <v>#DIV/0!</v>
      </c>
      <c r="Q902" s="36"/>
    </row>
    <row r="903" spans="3:17" x14ac:dyDescent="0.25">
      <c r="C903" s="33"/>
      <c r="D903" s="33"/>
      <c r="E903" s="35"/>
      <c r="F903" s="36"/>
      <c r="G903" s="36"/>
      <c r="H903" s="81"/>
      <c r="I903" s="30"/>
      <c r="J903" s="31"/>
      <c r="K903" s="43"/>
      <c r="L903" s="32" t="e">
        <f>DATE(YEAR(K903),MONTH(K903)+VLOOKUP($F901,'[1]Membership Level'!$A$3:$B$15,2,FALSE),DAY(K903))</f>
        <v>#N/A</v>
      </c>
      <c r="M903" s="33">
        <v>3</v>
      </c>
      <c r="N903" s="34" t="e">
        <f>IF($L903&lt;&gt;0,DATE(YEAR($L903),MONTH($L903)-#REF!,DAY($L903)-$M903),"")</f>
        <v>#N/A</v>
      </c>
      <c r="O903" s="33" t="e">
        <f t="shared" ca="1" si="17"/>
        <v>#N/A</v>
      </c>
      <c r="P903" s="34" t="e">
        <f>I903/H903*VLOOKUP(F901,'[1]Membership Level'!$A$3:$C$15,3,FALSE)+K903</f>
        <v>#DIV/0!</v>
      </c>
      <c r="Q903" s="36"/>
    </row>
    <row r="904" spans="3:17" x14ac:dyDescent="0.25">
      <c r="C904" s="33"/>
      <c r="D904" s="33"/>
      <c r="E904" s="35"/>
      <c r="F904" s="36"/>
      <c r="G904" s="36"/>
      <c r="H904" s="81"/>
      <c r="I904" s="30"/>
      <c r="J904" s="31"/>
      <c r="K904" s="43"/>
      <c r="L904" s="32" t="e">
        <f>DATE(YEAR(K904),MONTH(K904)+VLOOKUP($F902,'[1]Membership Level'!$A$3:$B$15,2,FALSE),DAY(K904))</f>
        <v>#N/A</v>
      </c>
      <c r="M904" s="33">
        <v>3</v>
      </c>
      <c r="N904" s="34" t="e">
        <f>IF($L904&lt;&gt;0,DATE(YEAR($L904),MONTH($L904)-#REF!,DAY($L904)-$M904),"")</f>
        <v>#N/A</v>
      </c>
      <c r="O904" s="33" t="e">
        <f t="shared" ca="1" si="17"/>
        <v>#N/A</v>
      </c>
      <c r="P904" s="34" t="e">
        <f>I904/H904*VLOOKUP(F902,'[1]Membership Level'!$A$3:$C$15,3,FALSE)+K904</f>
        <v>#DIV/0!</v>
      </c>
      <c r="Q904" s="36"/>
    </row>
    <row r="905" spans="3:17" x14ac:dyDescent="0.25">
      <c r="C905" s="33"/>
      <c r="D905" s="33"/>
      <c r="E905" s="35"/>
      <c r="F905" s="36"/>
      <c r="G905" s="36"/>
      <c r="H905" s="81"/>
      <c r="I905" s="30"/>
      <c r="J905" s="31"/>
      <c r="K905" s="43"/>
      <c r="L905" s="32" t="e">
        <f>DATE(YEAR(K905),MONTH(K905)+VLOOKUP($F903,'[1]Membership Level'!$A$3:$B$15,2,FALSE),DAY(K905))</f>
        <v>#N/A</v>
      </c>
      <c r="M905" s="33">
        <v>3</v>
      </c>
      <c r="N905" s="34" t="e">
        <f>IF($L905&lt;&gt;0,DATE(YEAR($L905),MONTH($L905)-#REF!,DAY($L905)-$M905),"")</f>
        <v>#N/A</v>
      </c>
      <c r="O905" s="33" t="e">
        <f t="shared" ca="1" si="17"/>
        <v>#N/A</v>
      </c>
      <c r="P905" s="34" t="e">
        <f>I905/H905*VLOOKUP(F903,'[1]Membership Level'!$A$3:$C$15,3,FALSE)+K905</f>
        <v>#DIV/0!</v>
      </c>
      <c r="Q905" s="36"/>
    </row>
    <row r="906" spans="3:17" x14ac:dyDescent="0.25">
      <c r="C906" s="33"/>
      <c r="D906" s="33"/>
      <c r="E906" s="35"/>
      <c r="F906" s="36"/>
      <c r="G906" s="36"/>
      <c r="H906" s="81"/>
      <c r="I906" s="30"/>
      <c r="J906" s="31"/>
      <c r="K906" s="43"/>
      <c r="L906" s="32" t="e">
        <f>DATE(YEAR(K906),MONTH(K906)+VLOOKUP($F904,'[1]Membership Level'!$A$3:$B$15,2,FALSE),DAY(K906))</f>
        <v>#N/A</v>
      </c>
      <c r="M906" s="33">
        <v>3</v>
      </c>
      <c r="N906" s="34" t="e">
        <f>IF($L906&lt;&gt;0,DATE(YEAR($L906),MONTH($L906)-#REF!,DAY($L906)-$M906),"")</f>
        <v>#N/A</v>
      </c>
      <c r="O906" s="33" t="e">
        <f t="shared" ca="1" si="17"/>
        <v>#N/A</v>
      </c>
      <c r="P906" s="34" t="e">
        <f>I906/H906*VLOOKUP(F904,'[1]Membership Level'!$A$3:$C$15,3,FALSE)+K906</f>
        <v>#DIV/0!</v>
      </c>
      <c r="Q906" s="35"/>
    </row>
    <row r="907" spans="3:17" x14ac:dyDescent="0.25">
      <c r="C907" s="33"/>
      <c r="D907" s="33"/>
      <c r="E907" s="36"/>
      <c r="F907" s="36"/>
      <c r="G907" s="36"/>
      <c r="H907" s="81"/>
      <c r="I907" s="30"/>
      <c r="J907" s="31"/>
      <c r="K907" s="43"/>
      <c r="L907" s="32" t="e">
        <f>DATE(YEAR(K907),MONTH(K907)+VLOOKUP($F905,'[1]Membership Level'!$A$3:$B$15,2,FALSE),DAY(K907))</f>
        <v>#N/A</v>
      </c>
      <c r="M907" s="33">
        <v>3</v>
      </c>
      <c r="N907" s="34" t="e">
        <f>IF($L907&lt;&gt;0,DATE(YEAR($L907),MONTH($L907)-#REF!,DAY($L907)-$M907),"")</f>
        <v>#N/A</v>
      </c>
      <c r="O907" s="33" t="e">
        <f t="shared" ca="1" si="17"/>
        <v>#N/A</v>
      </c>
      <c r="P907" s="34" t="e">
        <f>I907/H907*VLOOKUP(F905,'[1]Membership Level'!$A$3:$C$15,3,FALSE)+K907</f>
        <v>#DIV/0!</v>
      </c>
      <c r="Q907" s="35"/>
    </row>
    <row r="908" spans="3:17" x14ac:dyDescent="0.25">
      <c r="C908" s="33"/>
      <c r="D908" s="33"/>
      <c r="E908" s="36"/>
      <c r="F908" s="36"/>
      <c r="G908" s="36"/>
      <c r="H908" s="81"/>
      <c r="I908" s="30"/>
      <c r="J908" s="31"/>
      <c r="K908" s="43"/>
      <c r="L908" s="32" t="e">
        <f>DATE(YEAR(K908),MONTH(K908)+VLOOKUP($F906,'[1]Membership Level'!$A$3:$B$15,2,FALSE),DAY(K908))</f>
        <v>#N/A</v>
      </c>
      <c r="M908" s="33">
        <v>3</v>
      </c>
      <c r="N908" s="34" t="e">
        <f>IF($L908&lt;&gt;0,DATE(YEAR($L908),MONTH($L908)-#REF!,DAY($L908)-$M908),"")</f>
        <v>#N/A</v>
      </c>
      <c r="O908" s="33" t="e">
        <f t="shared" ca="1" si="17"/>
        <v>#N/A</v>
      </c>
      <c r="P908" s="34" t="e">
        <f>I908/H908*VLOOKUP(F906,'[1]Membership Level'!$A$3:$C$15,3,FALSE)+K908</f>
        <v>#DIV/0!</v>
      </c>
      <c r="Q908" s="36"/>
    </row>
    <row r="909" spans="3:17" x14ac:dyDescent="0.25">
      <c r="C909" s="33"/>
      <c r="D909" s="33"/>
      <c r="E909" s="36"/>
      <c r="F909" s="36"/>
      <c r="G909" s="36"/>
      <c r="H909" s="81"/>
      <c r="I909" s="30"/>
      <c r="J909" s="31"/>
      <c r="K909" s="43"/>
      <c r="L909" s="32" t="e">
        <f>DATE(YEAR(K909),MONTH(K909)+VLOOKUP($F907,'[1]Membership Level'!$A$3:$B$15,2,FALSE),DAY(K909))</f>
        <v>#N/A</v>
      </c>
      <c r="M909" s="33">
        <v>3</v>
      </c>
      <c r="N909" s="34" t="e">
        <f>IF($L909&lt;&gt;0,DATE(YEAR($L909),MONTH($L909)-#REF!,DAY($L909)-$M909),"")</f>
        <v>#N/A</v>
      </c>
      <c r="O909" s="33" t="e">
        <f t="shared" ca="1" si="17"/>
        <v>#N/A</v>
      </c>
      <c r="P909" s="34" t="e">
        <f>I909/H909*VLOOKUP(F907,'[1]Membership Level'!$A$3:$C$15,3,FALSE)+K909</f>
        <v>#DIV/0!</v>
      </c>
      <c r="Q909" s="36"/>
    </row>
    <row r="910" spans="3:17" x14ac:dyDescent="0.25">
      <c r="C910" s="33"/>
      <c r="D910" s="33"/>
      <c r="E910" s="36"/>
      <c r="F910" s="36"/>
      <c r="G910" s="36"/>
      <c r="H910" s="81"/>
      <c r="I910" s="30"/>
      <c r="J910" s="31"/>
      <c r="K910" s="43"/>
      <c r="L910" s="32" t="e">
        <f>DATE(YEAR(K910),MONTH(K910)+VLOOKUP($F908,'[1]Membership Level'!$A$3:$B$15,2,FALSE),DAY(K910))</f>
        <v>#N/A</v>
      </c>
      <c r="M910" s="33">
        <v>3</v>
      </c>
      <c r="N910" s="34" t="e">
        <f>IF($L910&lt;&gt;0,DATE(YEAR($L910),MONTH($L910)-#REF!,DAY($L910)-$M910),"")</f>
        <v>#N/A</v>
      </c>
      <c r="O910" s="33" t="e">
        <f t="shared" ca="1" si="17"/>
        <v>#N/A</v>
      </c>
      <c r="P910" s="34" t="e">
        <f>I910/H910*VLOOKUP(F908,'[1]Membership Level'!$A$3:$C$15,3,FALSE)+K910</f>
        <v>#DIV/0!</v>
      </c>
      <c r="Q910" s="36"/>
    </row>
    <row r="911" spans="3:17" x14ac:dyDescent="0.25">
      <c r="C911" s="33"/>
      <c r="D911" s="33"/>
      <c r="E911" s="36"/>
      <c r="F911" s="36"/>
      <c r="G911" s="36"/>
      <c r="H911" s="81"/>
      <c r="I911" s="30"/>
      <c r="J911" s="31"/>
      <c r="K911" s="43"/>
      <c r="L911" s="32" t="e">
        <f>DATE(YEAR(K911),MONTH(K911)+VLOOKUP($F909,'[1]Membership Level'!$A$3:$B$15,2,FALSE),DAY(K911))</f>
        <v>#N/A</v>
      </c>
      <c r="M911" s="33">
        <v>3</v>
      </c>
      <c r="N911" s="34" t="e">
        <f>IF($L911&lt;&gt;0,DATE(YEAR($L911),MONTH($L911)-#REF!,DAY($L911)-$M911),"")</f>
        <v>#N/A</v>
      </c>
      <c r="O911" s="33" t="e">
        <f t="shared" ca="1" si="17"/>
        <v>#N/A</v>
      </c>
      <c r="P911" s="34" t="e">
        <f>I911/H911*VLOOKUP(F909,'[1]Membership Level'!$A$3:$C$15,3,FALSE)+K911</f>
        <v>#DIV/0!</v>
      </c>
      <c r="Q911" s="36"/>
    </row>
    <row r="912" spans="3:17" x14ac:dyDescent="0.25">
      <c r="C912" s="33"/>
      <c r="D912" s="33"/>
      <c r="E912" s="36"/>
      <c r="F912" s="36"/>
      <c r="G912" s="36"/>
      <c r="H912" s="30"/>
      <c r="I912" s="30"/>
      <c r="J912" s="31"/>
      <c r="K912" s="43"/>
      <c r="L912" s="32" t="e">
        <f>DATE(YEAR(K912),MONTH(K912)+VLOOKUP($F910,'[1]Membership Level'!$A$3:$B$15,2,FALSE),DAY(K912))</f>
        <v>#N/A</v>
      </c>
      <c r="M912" s="33">
        <v>3</v>
      </c>
      <c r="N912" s="34" t="e">
        <f>IF($L912&lt;&gt;0,DATE(YEAR($L912),MONTH($L912)-#REF!,DAY($L912)-$M912),"")</f>
        <v>#N/A</v>
      </c>
      <c r="O912" s="33" t="e">
        <f t="shared" ca="1" si="17"/>
        <v>#N/A</v>
      </c>
      <c r="P912" s="34" t="e">
        <f>I912/H912*VLOOKUP(F910,'[1]Membership Level'!$A$3:$C$15,3,FALSE)+K912</f>
        <v>#DIV/0!</v>
      </c>
      <c r="Q912" s="36"/>
    </row>
    <row r="913" spans="3:17" x14ac:dyDescent="0.25">
      <c r="C913" s="33"/>
      <c r="D913" s="33"/>
      <c r="E913" s="36"/>
      <c r="F913" s="36"/>
      <c r="G913" s="36"/>
      <c r="H913" s="81"/>
      <c r="I913" s="30"/>
      <c r="J913" s="31"/>
      <c r="K913" s="43"/>
      <c r="L913" s="32" t="e">
        <f>DATE(YEAR(K913),MONTH(K913)+VLOOKUP($F911,'[1]Membership Level'!$A$3:$B$15,2,FALSE),DAY(K913))</f>
        <v>#N/A</v>
      </c>
      <c r="M913" s="33">
        <v>3</v>
      </c>
      <c r="N913" s="34" t="e">
        <f>IF($L913&lt;&gt;0,DATE(YEAR($L913),MONTH($L913)-#REF!,DAY($L913)-$M913),"")</f>
        <v>#N/A</v>
      </c>
      <c r="O913" s="33" t="e">
        <f t="shared" ca="1" si="17"/>
        <v>#N/A</v>
      </c>
      <c r="P913" s="34" t="e">
        <f>I913/H913*VLOOKUP(F911,'[1]Membership Level'!$A$3:$C$15,3,FALSE)+K913</f>
        <v>#DIV/0!</v>
      </c>
      <c r="Q913" s="36"/>
    </row>
    <row r="914" spans="3:17" x14ac:dyDescent="0.25">
      <c r="C914" s="33"/>
      <c r="D914" s="36"/>
      <c r="E914" s="36"/>
      <c r="F914" s="36"/>
      <c r="G914" s="36"/>
      <c r="H914" s="81"/>
      <c r="I914" s="30"/>
      <c r="J914" s="31"/>
      <c r="K914" s="43"/>
      <c r="L914" s="32" t="e">
        <f>DATE(YEAR(K914),MONTH(K914)+VLOOKUP($F912,'[1]Membership Level'!$A$3:$B$15,2,FALSE),DAY(K914))</f>
        <v>#N/A</v>
      </c>
      <c r="M914" s="33">
        <v>3</v>
      </c>
      <c r="N914" s="34" t="e">
        <f>IF($L914&lt;&gt;0,DATE(YEAR($L914),MONTH($L914)-#REF!,DAY($L914)-$M914),"")</f>
        <v>#N/A</v>
      </c>
      <c r="O914" s="33" t="e">
        <f t="shared" ca="1" si="17"/>
        <v>#N/A</v>
      </c>
      <c r="P914" s="34" t="e">
        <f>I914/H914*VLOOKUP(F912,'[1]Membership Level'!$A$3:$C$15,3,FALSE)+K914</f>
        <v>#DIV/0!</v>
      </c>
      <c r="Q914" s="36"/>
    </row>
    <row r="915" spans="3:17" s="63" customFormat="1" x14ac:dyDescent="0.25">
      <c r="C915" s="33"/>
      <c r="D915" s="33"/>
      <c r="E915" s="36"/>
      <c r="F915" s="33"/>
      <c r="G915" s="36"/>
      <c r="H915" s="81"/>
      <c r="I915" s="30"/>
      <c r="J915" s="31"/>
      <c r="K915" s="43"/>
      <c r="L915" s="32" t="e">
        <f>DATE(YEAR(K915),MONTH(K915)+VLOOKUP($F913,'[1]Membership Level'!$A$3:$B$15,2,FALSE),DAY(K915))</f>
        <v>#N/A</v>
      </c>
      <c r="M915" s="33">
        <v>3</v>
      </c>
      <c r="N915" s="34" t="e">
        <f>IF($L915&lt;&gt;0,DATE(YEAR($L915),MONTH($L915)-#REF!,DAY($L915)-$M915),"")</f>
        <v>#N/A</v>
      </c>
      <c r="O915" s="33" t="e">
        <f t="shared" ca="1" si="17"/>
        <v>#N/A</v>
      </c>
      <c r="P915" s="34" t="e">
        <f>I915/H915*VLOOKUP(F913,'[1]Membership Level'!$A$3:$C$15,3,FALSE)+K915</f>
        <v>#DIV/0!</v>
      </c>
      <c r="Q915" s="36"/>
    </row>
    <row r="916" spans="3:17" x14ac:dyDescent="0.25">
      <c r="C916" s="33"/>
      <c r="D916" s="33"/>
      <c r="E916" s="66"/>
      <c r="F916" s="33"/>
      <c r="G916" s="36"/>
      <c r="H916" s="81"/>
      <c r="I916" s="30"/>
      <c r="J916" s="31"/>
      <c r="K916" s="43"/>
      <c r="L916" s="32" t="e">
        <f>DATE(YEAR(K916),MONTH(K916)+VLOOKUP($F914,'[1]Membership Level'!$A$3:$B$15,2,FALSE),DAY(K916))</f>
        <v>#N/A</v>
      </c>
      <c r="M916" s="33">
        <v>3</v>
      </c>
      <c r="N916" s="34" t="e">
        <f>IF($L916&lt;&gt;0,DATE(YEAR($L916),MONTH($L916)-#REF!,DAY($L916)-$M916),"")</f>
        <v>#N/A</v>
      </c>
      <c r="O916" s="33" t="e">
        <f t="shared" ca="1" si="17"/>
        <v>#N/A</v>
      </c>
      <c r="P916" s="34" t="e">
        <f>I916/H916*VLOOKUP(F914,'[1]Membership Level'!$A$3:$C$15,3,FALSE)+K916</f>
        <v>#DIV/0!</v>
      </c>
      <c r="Q916" s="36"/>
    </row>
    <row r="917" spans="3:17" x14ac:dyDescent="0.25">
      <c r="C917" s="33"/>
      <c r="D917" s="33"/>
      <c r="E917" s="66"/>
      <c r="F917" s="33"/>
      <c r="G917" s="33"/>
      <c r="H917" s="44"/>
      <c r="I917" s="30"/>
      <c r="J917" s="31"/>
      <c r="K917" s="32"/>
      <c r="L917" s="32" t="e">
        <f>DATE(YEAR(K917),MONTH(K917)+VLOOKUP($F915,'[1]Membership Level'!$A$3:$B$15,2,FALSE),DAY(K917))</f>
        <v>#N/A</v>
      </c>
      <c r="M917" s="33">
        <v>3</v>
      </c>
      <c r="N917" s="34" t="e">
        <f>IF($L917&lt;&gt;0,DATE(YEAR($L917),MONTH($L917)-#REF!,DAY($L917)-$M917),"")</f>
        <v>#N/A</v>
      </c>
      <c r="O917" s="33" t="e">
        <f t="shared" ca="1" si="17"/>
        <v>#N/A</v>
      </c>
      <c r="P917" s="34" t="e">
        <f>I917/H917*VLOOKUP(F915,'[1]Membership Level'!$A$3:$C$15,3,FALSE)+K917</f>
        <v>#DIV/0!</v>
      </c>
      <c r="Q917" s="33"/>
    </row>
    <row r="918" spans="3:17" x14ac:dyDescent="0.25">
      <c r="C918" s="33"/>
      <c r="D918" s="33"/>
      <c r="E918" s="33"/>
      <c r="F918" s="33"/>
      <c r="G918" s="33"/>
      <c r="H918" s="44"/>
      <c r="I918" s="30"/>
      <c r="J918" s="31"/>
      <c r="K918" s="32"/>
      <c r="L918" s="32" t="e">
        <f>DATE(YEAR(K918),MONTH(K918)+VLOOKUP($F916,'[1]Membership Level'!$A$3:$B$15,2,FALSE),DAY(K918))</f>
        <v>#N/A</v>
      </c>
      <c r="M918" s="33">
        <v>3</v>
      </c>
      <c r="N918" s="34" t="e">
        <f>IF($L918&lt;&gt;0,DATE(YEAR($L918),MONTH($L918)-#REF!,DAY($L918)-$M918),"")</f>
        <v>#N/A</v>
      </c>
      <c r="O918" s="33" t="e">
        <f t="shared" ca="1" si="17"/>
        <v>#N/A</v>
      </c>
      <c r="P918" s="34" t="e">
        <f>I918/H918*VLOOKUP(F916,'[1]Membership Level'!$A$3:$C$15,3,FALSE)+K918</f>
        <v>#DIV/0!</v>
      </c>
      <c r="Q918" s="33"/>
    </row>
    <row r="919" spans="3:17" s="22" customFormat="1" x14ac:dyDescent="0.25">
      <c r="C919" s="33"/>
      <c r="D919" s="33"/>
      <c r="E919" s="66"/>
      <c r="F919" s="33"/>
      <c r="G919" s="33"/>
      <c r="H919" s="44"/>
      <c r="I919" s="44"/>
      <c r="J919" s="31"/>
      <c r="K919" s="32"/>
      <c r="L919" s="32" t="e">
        <f>DATE(YEAR(K919),MONTH(K919)+VLOOKUP($F917,'[1]Membership Level'!$A$3:$B$15,2,FALSE),DAY(K919))</f>
        <v>#N/A</v>
      </c>
      <c r="M919" s="33">
        <v>3</v>
      </c>
      <c r="N919" s="34" t="e">
        <f>IF($L919&lt;&gt;0,DATE(YEAR($L919),MONTH($L919)-#REF!,DAY($L919)-$M919),"")</f>
        <v>#N/A</v>
      </c>
      <c r="O919" s="33" t="e">
        <f t="shared" ca="1" si="17"/>
        <v>#N/A</v>
      </c>
      <c r="P919" s="34" t="e">
        <f>I919/H919*VLOOKUP(F917,'[1]Membership Level'!$A$3:$C$15,3,FALSE)+K919</f>
        <v>#DIV/0!</v>
      </c>
      <c r="Q919" s="33"/>
    </row>
    <row r="920" spans="3:17" s="22" customFormat="1" x14ac:dyDescent="0.25">
      <c r="C920" s="33"/>
      <c r="D920" s="33"/>
      <c r="E920" s="33"/>
      <c r="F920" s="33"/>
      <c r="G920" s="33"/>
      <c r="H920" s="44"/>
      <c r="I920" s="44"/>
      <c r="J920" s="31"/>
      <c r="K920" s="32"/>
      <c r="L920" s="32" t="e">
        <f>DATE(YEAR(K920),MONTH(K920)+VLOOKUP($F918,'[1]Membership Level'!$A$3:$B$15,2,FALSE),DAY(K920))</f>
        <v>#N/A</v>
      </c>
      <c r="M920" s="33">
        <v>3</v>
      </c>
      <c r="N920" s="34" t="e">
        <f>IF($L920&lt;&gt;0,DATE(YEAR($L920),MONTH($L920)-#REF!,DAY($L920)-$M920),"")</f>
        <v>#N/A</v>
      </c>
      <c r="O920" s="33" t="e">
        <f t="shared" ca="1" si="17"/>
        <v>#N/A</v>
      </c>
      <c r="P920" s="34" t="e">
        <f>I920/H920*VLOOKUP(F918,'[1]Membership Level'!$A$3:$C$15,3,FALSE)+K920</f>
        <v>#DIV/0!</v>
      </c>
      <c r="Q920" s="33"/>
    </row>
    <row r="921" spans="3:17" s="22" customFormat="1" x14ac:dyDescent="0.25">
      <c r="C921" s="80"/>
      <c r="D921" s="33"/>
      <c r="E921" s="66"/>
      <c r="F921" s="36"/>
      <c r="G921" s="33"/>
      <c r="H921" s="44"/>
      <c r="I921" s="44"/>
      <c r="J921" s="31"/>
      <c r="K921" s="32"/>
      <c r="L921" s="32" t="e">
        <f>DATE(YEAR(K921),MONTH(K921)+VLOOKUP($F919,'[1]Membership Level'!$A$3:$B$15,2,FALSE),DAY(K921))</f>
        <v>#N/A</v>
      </c>
      <c r="M921" s="33">
        <v>3</v>
      </c>
      <c r="N921" s="34" t="e">
        <f>IF($L921&lt;&gt;0,DATE(YEAR($L921),MONTH($L921)-#REF!,DAY($L921)-$M921),"")</f>
        <v>#N/A</v>
      </c>
      <c r="O921" s="33" t="e">
        <f t="shared" ca="1" si="17"/>
        <v>#N/A</v>
      </c>
      <c r="P921" s="34" t="e">
        <f>I921/H921*VLOOKUP(F919,'[1]Membership Level'!$A$3:$C$15,3,FALSE)+K921</f>
        <v>#DIV/0!</v>
      </c>
      <c r="Q921" s="33"/>
    </row>
    <row r="922" spans="3:17" s="22" customFormat="1" x14ac:dyDescent="0.25">
      <c r="C922" s="33"/>
      <c r="D922" s="33"/>
      <c r="E922" s="36"/>
      <c r="F922" s="33"/>
      <c r="G922" s="33"/>
      <c r="H922" s="44"/>
      <c r="I922" s="44"/>
      <c r="J922" s="31"/>
      <c r="K922" s="32"/>
      <c r="L922" s="32" t="e">
        <f>DATE(YEAR(K922),MONTH(K922)+VLOOKUP($F920,'[1]Membership Level'!$A$3:$B$15,2,FALSE),DAY(K922))</f>
        <v>#N/A</v>
      </c>
      <c r="M922" s="33">
        <v>3</v>
      </c>
      <c r="N922" s="34" t="e">
        <f>IF($L922&lt;&gt;0,DATE(YEAR($L922),MONTH($L922)-#REF!,DAY($L922)-$M922),"")</f>
        <v>#N/A</v>
      </c>
      <c r="O922" s="33" t="e">
        <f t="shared" ca="1" si="17"/>
        <v>#N/A</v>
      </c>
      <c r="P922" s="34" t="e">
        <f>I922/H922*VLOOKUP(F920,'[1]Membership Level'!$A$3:$C$15,3,FALSE)+K922</f>
        <v>#DIV/0!</v>
      </c>
      <c r="Q922" s="33"/>
    </row>
    <row r="923" spans="3:17" x14ac:dyDescent="0.25">
      <c r="C923" s="33"/>
      <c r="D923" s="36"/>
      <c r="E923" s="66"/>
      <c r="F923" s="33"/>
      <c r="G923" s="36"/>
      <c r="H923" s="30"/>
      <c r="I923" s="30"/>
      <c r="J923" s="31"/>
      <c r="K923" s="43"/>
      <c r="L923" s="32" t="e">
        <f>DATE(YEAR(K923),MONTH(K923)+VLOOKUP($F921,'[1]Membership Level'!$A$3:$B$15,2,FALSE),DAY(K923))</f>
        <v>#N/A</v>
      </c>
      <c r="M923" s="33">
        <v>3</v>
      </c>
      <c r="N923" s="34" t="e">
        <f>IF($L923&lt;&gt;0,DATE(YEAR($L923),MONTH($L923)-#REF!,DAY($L923)-$M923),"")</f>
        <v>#N/A</v>
      </c>
      <c r="O923" s="33" t="e">
        <f t="shared" ca="1" si="17"/>
        <v>#N/A</v>
      </c>
      <c r="P923" s="34" t="e">
        <f>I923/H923*VLOOKUP(F921,'[1]Membership Level'!$A$3:$C$15,3,FALSE)+K923</f>
        <v>#DIV/0!</v>
      </c>
      <c r="Q923" s="36"/>
    </row>
    <row r="924" spans="3:17" x14ac:dyDescent="0.25">
      <c r="C924" s="33"/>
      <c r="D924" s="33"/>
      <c r="E924" s="33"/>
      <c r="F924" s="33"/>
      <c r="G924" s="33"/>
      <c r="H924" s="44"/>
      <c r="I924" s="30"/>
      <c r="J924" s="31"/>
      <c r="K924" s="32"/>
      <c r="L924" s="32" t="e">
        <f>DATE(YEAR(K924),MONTH(K924)+VLOOKUP($F922,'[1]Membership Level'!$A$3:$B$15,2,FALSE),DAY(K924))</f>
        <v>#N/A</v>
      </c>
      <c r="M924" s="33">
        <v>3</v>
      </c>
      <c r="N924" s="34" t="e">
        <f>IF($L924&lt;&gt;0,DATE(YEAR($L924),MONTH($L924)-#REF!,DAY($L924)-$M924),"")</f>
        <v>#N/A</v>
      </c>
      <c r="O924" s="33" t="e">
        <f t="shared" ca="1" si="17"/>
        <v>#N/A</v>
      </c>
      <c r="P924" s="34" t="e">
        <f>I924/H924*VLOOKUP(F922,'[1]Membership Level'!$A$3:$C$15,3,FALSE)+K924</f>
        <v>#DIV/0!</v>
      </c>
      <c r="Q924" s="66"/>
    </row>
    <row r="925" spans="3:17" s="22" customFormat="1" x14ac:dyDescent="0.25">
      <c r="C925" s="33"/>
      <c r="D925" s="33"/>
      <c r="E925" s="66"/>
      <c r="F925" s="33"/>
      <c r="G925" s="33"/>
      <c r="H925" s="44"/>
      <c r="I925" s="44"/>
      <c r="J925" s="31"/>
      <c r="K925" s="32"/>
      <c r="L925" s="32" t="e">
        <f>DATE(YEAR(K925),MONTH(K925)+VLOOKUP($F923,'[1]Membership Level'!$A$3:$B$15,2,FALSE),DAY(K925))</f>
        <v>#N/A</v>
      </c>
      <c r="M925" s="33">
        <v>3</v>
      </c>
      <c r="N925" s="34" t="e">
        <f>IF($L925&lt;&gt;0,DATE(YEAR($L925),MONTH($L925)-#REF!,DAY($L925)-$M925),"")</f>
        <v>#N/A</v>
      </c>
      <c r="O925" s="33" t="e">
        <f t="shared" ca="1" si="17"/>
        <v>#N/A</v>
      </c>
      <c r="P925" s="34" t="e">
        <f>I925/H925*VLOOKUP(F923,'[1]Membership Level'!$A$3:$C$15,3,FALSE)+K925</f>
        <v>#DIV/0!</v>
      </c>
      <c r="Q925" s="33"/>
    </row>
    <row r="926" spans="3:17" s="22" customFormat="1" x14ac:dyDescent="0.25">
      <c r="C926" s="33"/>
      <c r="D926" s="33"/>
      <c r="E926" s="66"/>
      <c r="F926" s="36"/>
      <c r="G926" s="33"/>
      <c r="H926" s="44"/>
      <c r="I926" s="44"/>
      <c r="J926" s="31"/>
      <c r="K926" s="32"/>
      <c r="L926" s="32" t="e">
        <f>DATE(YEAR(K926),MONTH(K926)+VLOOKUP($F924,'[1]Membership Level'!$A$3:$B$15,2,FALSE),DAY(K926))</f>
        <v>#N/A</v>
      </c>
      <c r="M926" s="33">
        <v>3</v>
      </c>
      <c r="N926" s="34" t="e">
        <f>IF($L926&lt;&gt;0,DATE(YEAR($L926),MONTH($L926)-#REF!,DAY($L926)-$M926),"")</f>
        <v>#N/A</v>
      </c>
      <c r="O926" s="33" t="e">
        <f t="shared" ca="1" si="17"/>
        <v>#N/A</v>
      </c>
      <c r="P926" s="34" t="e">
        <f>I926/H926*VLOOKUP(F924,'[1]Membership Level'!$A$3:$C$15,3,FALSE)+K926</f>
        <v>#DIV/0!</v>
      </c>
      <c r="Q926" s="33"/>
    </row>
    <row r="927" spans="3:17" s="22" customFormat="1" x14ac:dyDescent="0.25">
      <c r="C927" s="33"/>
      <c r="D927" s="33"/>
      <c r="E927" s="35"/>
      <c r="F927" s="33"/>
      <c r="G927" s="33"/>
      <c r="H927" s="44"/>
      <c r="I927" s="44"/>
      <c r="J927" s="31"/>
      <c r="K927" s="32"/>
      <c r="L927" s="32" t="e">
        <f>DATE(YEAR(K927),MONTH(K927)+VLOOKUP($F925,'[1]Membership Level'!$A$3:$B$15,2,FALSE),DAY(K927))</f>
        <v>#N/A</v>
      </c>
      <c r="M927" s="33">
        <v>3</v>
      </c>
      <c r="N927" s="34" t="e">
        <f>IF($L927&lt;&gt;0,DATE(YEAR($L927),MONTH($L927)-#REF!,DAY($L927)-$M927),"")</f>
        <v>#N/A</v>
      </c>
      <c r="O927" s="33" t="e">
        <f t="shared" ca="1" si="17"/>
        <v>#N/A</v>
      </c>
      <c r="P927" s="34" t="e">
        <f>I927/H927*VLOOKUP(F925,'[1]Membership Level'!$A$3:$C$15,3,FALSE)+K927</f>
        <v>#DIV/0!</v>
      </c>
      <c r="Q927" s="33"/>
    </row>
    <row r="928" spans="3:17" x14ac:dyDescent="0.25">
      <c r="C928" s="33"/>
      <c r="D928" s="36"/>
      <c r="E928" s="66"/>
      <c r="F928" s="36"/>
      <c r="G928" s="36"/>
      <c r="H928" s="30"/>
      <c r="I928" s="30"/>
      <c r="J928" s="31"/>
      <c r="K928" s="43"/>
      <c r="L928" s="32" t="e">
        <f>DATE(YEAR(K928),MONTH(K928)+VLOOKUP($F926,'[1]Membership Level'!$A$3:$B$15,2,FALSE),DAY(K928))</f>
        <v>#N/A</v>
      </c>
      <c r="M928" s="33">
        <v>3</v>
      </c>
      <c r="N928" s="34" t="e">
        <f>IF($L928&lt;&gt;0,DATE(YEAR($L928),MONTH($L928)-#REF!,DAY($L928)-$M928),"")</f>
        <v>#N/A</v>
      </c>
      <c r="O928" s="33" t="e">
        <f t="shared" ca="1" si="17"/>
        <v>#N/A</v>
      </c>
      <c r="P928" s="34" t="e">
        <f>I928/H928*VLOOKUP(F926,'[1]Membership Level'!$A$3:$C$15,3,FALSE)+K928</f>
        <v>#DIV/0!</v>
      </c>
      <c r="Q928" s="36"/>
    </row>
    <row r="929" spans="3:17" s="22" customFormat="1" x14ac:dyDescent="0.25">
      <c r="C929" s="33"/>
      <c r="D929" s="33"/>
      <c r="E929" s="35"/>
      <c r="F929" s="33"/>
      <c r="G929" s="33"/>
      <c r="H929" s="44"/>
      <c r="I929" s="30"/>
      <c r="J929" s="31"/>
      <c r="K929" s="32"/>
      <c r="L929" s="32" t="e">
        <f>DATE(YEAR(K929),MONTH(K929)+VLOOKUP($F927,'[1]Membership Level'!$A$3:$B$15,2,FALSE),DAY(K929))</f>
        <v>#N/A</v>
      </c>
      <c r="M929" s="33">
        <v>3</v>
      </c>
      <c r="N929" s="34" t="e">
        <f>IF($L929&lt;&gt;0,DATE(YEAR($L929),MONTH($L929)-#REF!,DAY($L929)-$M929),"")</f>
        <v>#N/A</v>
      </c>
      <c r="O929" s="33" t="e">
        <f t="shared" ca="1" si="17"/>
        <v>#N/A</v>
      </c>
      <c r="P929" s="34" t="e">
        <f>I929/H929*VLOOKUP(F927,'[1]Membership Level'!$A$3:$C$15,3,FALSE)+K929</f>
        <v>#DIV/0!</v>
      </c>
      <c r="Q929" s="33"/>
    </row>
    <row r="930" spans="3:17" x14ac:dyDescent="0.25">
      <c r="C930" s="33"/>
      <c r="D930" s="36"/>
      <c r="E930" s="66"/>
      <c r="F930" s="33"/>
      <c r="G930" s="36"/>
      <c r="H930" s="30"/>
      <c r="I930" s="30"/>
      <c r="J930" s="31"/>
      <c r="K930" s="43"/>
      <c r="L930" s="32" t="e">
        <f>DATE(YEAR(K930),MONTH(K930)+VLOOKUP($F928,'[1]Membership Level'!$A$3:$B$15,2,FALSE),DAY(K930))</f>
        <v>#N/A</v>
      </c>
      <c r="M930" s="33">
        <v>3</v>
      </c>
      <c r="N930" s="34" t="e">
        <f>IF($L930&lt;&gt;0,DATE(YEAR($L930),MONTH($L930)-#REF!,DAY($L930)-$M930),"")</f>
        <v>#N/A</v>
      </c>
      <c r="O930" s="33" t="e">
        <f t="shared" ca="1" si="17"/>
        <v>#N/A</v>
      </c>
      <c r="P930" s="34" t="e">
        <f>I930/H930*VLOOKUP(F928,'[1]Membership Level'!$A$3:$C$15,3,FALSE)+K930</f>
        <v>#DIV/0!</v>
      </c>
      <c r="Q930" s="36"/>
    </row>
    <row r="931" spans="3:17" s="22" customFormat="1" x14ac:dyDescent="0.25">
      <c r="C931" s="33"/>
      <c r="D931" s="33"/>
      <c r="E931" s="66"/>
      <c r="F931" s="33"/>
      <c r="G931" s="33"/>
      <c r="H931" s="44"/>
      <c r="I931" s="30"/>
      <c r="J931" s="31"/>
      <c r="K931" s="32"/>
      <c r="L931" s="32" t="e">
        <f>DATE(YEAR(K931),MONTH(K931)+VLOOKUP($F929,'[1]Membership Level'!$A$3:$B$15,2,FALSE),DAY(K931))</f>
        <v>#N/A</v>
      </c>
      <c r="M931" s="33">
        <v>3</v>
      </c>
      <c r="N931" s="34" t="e">
        <f>IF($L931&lt;&gt;0,DATE(YEAR($L931),MONTH($L931)-#REF!,DAY($L931)-$M931),"")</f>
        <v>#N/A</v>
      </c>
      <c r="O931" s="33" t="e">
        <f t="shared" ca="1" si="17"/>
        <v>#N/A</v>
      </c>
      <c r="P931" s="34" t="e">
        <f>I931/H931*VLOOKUP(F929,'[1]Membership Level'!$A$3:$C$15,3,FALSE)+K931</f>
        <v>#DIV/0!</v>
      </c>
      <c r="Q931" s="33"/>
    </row>
    <row r="932" spans="3:17" s="22" customFormat="1" x14ac:dyDescent="0.25">
      <c r="C932" s="33"/>
      <c r="D932" s="33"/>
      <c r="E932" s="66"/>
      <c r="F932" s="33"/>
      <c r="G932" s="33"/>
      <c r="H932" s="44"/>
      <c r="I932" s="44"/>
      <c r="J932" s="31"/>
      <c r="K932" s="32"/>
      <c r="L932" s="32" t="e">
        <f>DATE(YEAR(K932),MONTH(K932)+VLOOKUP($F930,'[1]Membership Level'!$A$3:$B$15,2,FALSE),DAY(K932))</f>
        <v>#N/A</v>
      </c>
      <c r="M932" s="33">
        <v>3</v>
      </c>
      <c r="N932" s="34" t="e">
        <f>IF($L932&lt;&gt;0,DATE(YEAR($L932),MONTH($L932)-#REF!,DAY($L932)-$M932),"")</f>
        <v>#N/A</v>
      </c>
      <c r="O932" s="33" t="e">
        <f t="shared" ca="1" si="17"/>
        <v>#N/A</v>
      </c>
      <c r="P932" s="34" t="e">
        <f>I932/H932*VLOOKUP(F930,'[1]Membership Level'!$A$3:$C$15,3,FALSE)+K932</f>
        <v>#DIV/0!</v>
      </c>
      <c r="Q932" s="33"/>
    </row>
    <row r="933" spans="3:17" s="22" customFormat="1" x14ac:dyDescent="0.25">
      <c r="C933" s="33"/>
      <c r="D933" s="33"/>
      <c r="E933" s="66"/>
      <c r="F933" s="33"/>
      <c r="G933" s="33"/>
      <c r="H933" s="44"/>
      <c r="I933" s="44"/>
      <c r="J933" s="31"/>
      <c r="K933" s="32"/>
      <c r="L933" s="32" t="e">
        <f>DATE(YEAR(K933),MONTH(K933)+VLOOKUP($F931,'[1]Membership Level'!$A$3:$B$15,2,FALSE),DAY(K933))</f>
        <v>#N/A</v>
      </c>
      <c r="M933" s="33">
        <v>3</v>
      </c>
      <c r="N933" s="34" t="e">
        <f>IF($L933&lt;&gt;0,DATE(YEAR($L933),MONTH($L933)-#REF!,DAY($L933)-$M933),"")</f>
        <v>#N/A</v>
      </c>
      <c r="O933" s="33" t="e">
        <f t="shared" ca="1" si="17"/>
        <v>#N/A</v>
      </c>
      <c r="P933" s="34" t="e">
        <f>I933/H933*VLOOKUP(F931,'[1]Membership Level'!$A$3:$C$15,3,FALSE)+K933</f>
        <v>#DIV/0!</v>
      </c>
      <c r="Q933" s="33"/>
    </row>
    <row r="934" spans="3:17" s="22" customFormat="1" x14ac:dyDescent="0.25">
      <c r="C934" s="33"/>
      <c r="D934" s="33"/>
      <c r="E934" s="66"/>
      <c r="F934" s="33"/>
      <c r="G934" s="33"/>
      <c r="H934" s="44"/>
      <c r="I934" s="44"/>
      <c r="J934" s="31"/>
      <c r="K934" s="32"/>
      <c r="L934" s="32" t="e">
        <f>DATE(YEAR(K934),MONTH(K934)+VLOOKUP($F932,'[1]Membership Level'!$A$3:$B$15,2,FALSE),DAY(K934))</f>
        <v>#N/A</v>
      </c>
      <c r="M934" s="33">
        <v>3</v>
      </c>
      <c r="N934" s="34" t="e">
        <f>IF($L934&lt;&gt;0,DATE(YEAR($L934),MONTH($L934)-#REF!,DAY($L934)-$M934),"")</f>
        <v>#N/A</v>
      </c>
      <c r="O934" s="33" t="e">
        <f t="shared" ca="1" si="17"/>
        <v>#N/A</v>
      </c>
      <c r="P934" s="34" t="e">
        <f>I934/H934*VLOOKUP(F932,'[1]Membership Level'!$A$3:$C$15,3,FALSE)+K934</f>
        <v>#DIV/0!</v>
      </c>
      <c r="Q934" s="33"/>
    </row>
    <row r="935" spans="3:17" s="22" customFormat="1" x14ac:dyDescent="0.25">
      <c r="C935" s="33"/>
      <c r="D935" s="33"/>
      <c r="E935" s="33"/>
      <c r="F935" s="33"/>
      <c r="G935" s="33"/>
      <c r="H935" s="44"/>
      <c r="I935" s="44"/>
      <c r="J935" s="31"/>
      <c r="K935" s="32"/>
      <c r="L935" s="32" t="e">
        <f>DATE(YEAR(K935),MONTH(K935)+VLOOKUP($F933,'[1]Membership Level'!$A$3:$B$15,2,FALSE),DAY(K935))</f>
        <v>#N/A</v>
      </c>
      <c r="M935" s="33">
        <v>3</v>
      </c>
      <c r="N935" s="34" t="e">
        <f>IF($L935&lt;&gt;0,DATE(YEAR($L935),MONTH($L935)-#REF!,DAY($L935)-$M935),"")</f>
        <v>#N/A</v>
      </c>
      <c r="O935" s="33" t="e">
        <f t="shared" ca="1" si="17"/>
        <v>#N/A</v>
      </c>
      <c r="P935" s="34" t="e">
        <f>I935/H935*VLOOKUP(F933,'[1]Membership Level'!$A$3:$C$15,3,FALSE)+K935</f>
        <v>#DIV/0!</v>
      </c>
      <c r="Q935" s="33"/>
    </row>
    <row r="936" spans="3:17" s="22" customFormat="1" x14ac:dyDescent="0.25">
      <c r="C936" s="33"/>
      <c r="D936" s="33"/>
      <c r="E936" s="33"/>
      <c r="F936" s="36"/>
      <c r="G936" s="33"/>
      <c r="H936" s="44"/>
      <c r="I936" s="44"/>
      <c r="J936" s="31"/>
      <c r="K936" s="32"/>
      <c r="L936" s="32" t="e">
        <f>DATE(YEAR(K936),MONTH(K936)+VLOOKUP($F934,'[1]Membership Level'!$A$3:$B$15,2,FALSE),DAY(K936))</f>
        <v>#N/A</v>
      </c>
      <c r="M936" s="33">
        <v>3</v>
      </c>
      <c r="N936" s="34" t="e">
        <f>IF($L936&lt;&gt;0,DATE(YEAR($L936),MONTH($L936)-#REF!,DAY($L936)-$M936),"")</f>
        <v>#N/A</v>
      </c>
      <c r="O936" s="33" t="e">
        <f t="shared" ca="1" si="17"/>
        <v>#N/A</v>
      </c>
      <c r="P936" s="34" t="e">
        <f>I936/H936*VLOOKUP(F934,'[1]Membership Level'!$A$3:$C$15,3,FALSE)+K936</f>
        <v>#DIV/0!</v>
      </c>
      <c r="Q936" s="33"/>
    </row>
    <row r="937" spans="3:17" s="22" customFormat="1" x14ac:dyDescent="0.25">
      <c r="C937" s="33"/>
      <c r="D937" s="33"/>
      <c r="E937" s="35"/>
      <c r="F937" s="36"/>
      <c r="G937" s="33"/>
      <c r="H937" s="44"/>
      <c r="I937" s="44"/>
      <c r="J937" s="31"/>
      <c r="K937" s="32"/>
      <c r="L937" s="32" t="e">
        <f>DATE(YEAR(K937),MONTH(K937)+VLOOKUP($F935,'[1]Membership Level'!$A$3:$B$15,2,FALSE),DAY(K937))</f>
        <v>#N/A</v>
      </c>
      <c r="M937" s="33">
        <v>3</v>
      </c>
      <c r="N937" s="34" t="e">
        <f>IF($L937&lt;&gt;0,DATE(YEAR($L937),MONTH($L937)-#REF!,DAY($L937)-$M937),"")</f>
        <v>#N/A</v>
      </c>
      <c r="O937" s="33" t="e">
        <f t="shared" ca="1" si="17"/>
        <v>#N/A</v>
      </c>
      <c r="P937" s="34" t="e">
        <f>I937/H937*VLOOKUP(F935,'[1]Membership Level'!$A$3:$C$15,3,FALSE)+K937</f>
        <v>#DIV/0!</v>
      </c>
      <c r="Q937" s="33"/>
    </row>
    <row r="938" spans="3:17" x14ac:dyDescent="0.25">
      <c r="C938" s="33"/>
      <c r="D938" s="36"/>
      <c r="E938" s="35"/>
      <c r="F938" s="36"/>
      <c r="G938" s="36"/>
      <c r="H938" s="30"/>
      <c r="I938" s="30"/>
      <c r="J938" s="31"/>
      <c r="K938" s="43"/>
      <c r="L938" s="32" t="e">
        <f>DATE(YEAR(K938),MONTH(K938)+VLOOKUP($F936,'[1]Membership Level'!$A$3:$B$15,2,FALSE),DAY(K938))</f>
        <v>#N/A</v>
      </c>
      <c r="M938" s="33">
        <v>3</v>
      </c>
      <c r="N938" s="34" t="e">
        <f>IF($L938&lt;&gt;0,DATE(YEAR($L938),MONTH($L938)-#REF!,DAY($L938)-$M938),"")</f>
        <v>#N/A</v>
      </c>
      <c r="O938" s="33" t="e">
        <f t="shared" ca="1" si="17"/>
        <v>#N/A</v>
      </c>
      <c r="P938" s="34" t="e">
        <f>I938/H938*VLOOKUP(F936,'[1]Membership Level'!$A$3:$C$15,3,FALSE)+K938</f>
        <v>#DIV/0!</v>
      </c>
      <c r="Q938" s="36"/>
    </row>
    <row r="939" spans="3:17" x14ac:dyDescent="0.25">
      <c r="C939" s="33"/>
      <c r="D939" s="36"/>
      <c r="E939" s="35"/>
      <c r="F939" s="36"/>
      <c r="G939" s="36"/>
      <c r="H939" s="30"/>
      <c r="I939" s="30"/>
      <c r="J939" s="31"/>
      <c r="K939" s="43"/>
      <c r="L939" s="32" t="e">
        <f>DATE(YEAR(K939),MONTH(K939)+VLOOKUP($F937,'[1]Membership Level'!$A$3:$B$15,2,FALSE),DAY(K939))</f>
        <v>#N/A</v>
      </c>
      <c r="M939" s="33">
        <v>3</v>
      </c>
      <c r="N939" s="34" t="e">
        <f>IF($L939&lt;&gt;0,DATE(YEAR($L939),MONTH($L939)-#REF!,DAY($L939)-$M939),"")</f>
        <v>#N/A</v>
      </c>
      <c r="O939" s="33" t="e">
        <f t="shared" ca="1" si="17"/>
        <v>#N/A</v>
      </c>
      <c r="P939" s="34" t="e">
        <f>I939/H939*VLOOKUP(F937,'[1]Membership Level'!$A$3:$C$15,3,FALSE)+K939</f>
        <v>#DIV/0!</v>
      </c>
      <c r="Q939" s="36"/>
    </row>
    <row r="940" spans="3:17" x14ac:dyDescent="0.25">
      <c r="C940" s="33"/>
      <c r="D940" s="36"/>
      <c r="E940" s="35"/>
      <c r="F940" s="36"/>
      <c r="G940" s="36"/>
      <c r="H940" s="30"/>
      <c r="I940" s="30"/>
      <c r="J940" s="31"/>
      <c r="K940" s="43"/>
      <c r="L940" s="32" t="e">
        <f>DATE(YEAR(K940),MONTH(K940)+VLOOKUP($F938,'[1]Membership Level'!$A$3:$B$15,2,FALSE),DAY(K940))</f>
        <v>#N/A</v>
      </c>
      <c r="M940" s="33">
        <v>3</v>
      </c>
      <c r="N940" s="34" t="e">
        <f>IF($L940&lt;&gt;0,DATE(YEAR($L940),MONTH($L940)-#REF!,DAY($L940)-$M940),"")</f>
        <v>#N/A</v>
      </c>
      <c r="O940" s="33" t="e">
        <f t="shared" ca="1" si="17"/>
        <v>#N/A</v>
      </c>
      <c r="P940" s="34" t="e">
        <f>I940/H940*VLOOKUP(F938,'[1]Membership Level'!$A$3:$C$15,3,FALSE)+K940</f>
        <v>#DIV/0!</v>
      </c>
      <c r="Q940" s="36"/>
    </row>
    <row r="941" spans="3:17" x14ac:dyDescent="0.25">
      <c r="C941" s="33"/>
      <c r="D941" s="36"/>
      <c r="E941" s="35"/>
      <c r="F941" s="36"/>
      <c r="G941" s="36"/>
      <c r="H941" s="30"/>
      <c r="I941" s="30"/>
      <c r="J941" s="31"/>
      <c r="K941" s="43"/>
      <c r="L941" s="32" t="e">
        <f>DATE(YEAR(K941),MONTH(K941)+VLOOKUP($F939,'[1]Membership Level'!$A$3:$B$15,2,FALSE),DAY(K941))</f>
        <v>#N/A</v>
      </c>
      <c r="M941" s="33">
        <v>3</v>
      </c>
      <c r="N941" s="34" t="e">
        <f>IF($L941&lt;&gt;0,DATE(YEAR($L941),MONTH($L941)-#REF!,DAY($L941)-$M941),"")</f>
        <v>#N/A</v>
      </c>
      <c r="O941" s="33" t="e">
        <f t="shared" ca="1" si="17"/>
        <v>#N/A</v>
      </c>
      <c r="P941" s="34" t="e">
        <f>I941/H941*VLOOKUP(F939,'[1]Membership Level'!$A$3:$C$15,3,FALSE)+K941</f>
        <v>#DIV/0!</v>
      </c>
      <c r="Q941" s="36"/>
    </row>
    <row r="942" spans="3:17" x14ac:dyDescent="0.25">
      <c r="C942" s="33"/>
      <c r="D942" s="36"/>
      <c r="E942" s="35"/>
      <c r="F942" s="36"/>
      <c r="G942" s="36"/>
      <c r="H942" s="30"/>
      <c r="I942" s="30"/>
      <c r="J942" s="31"/>
      <c r="K942" s="43"/>
      <c r="L942" s="32" t="e">
        <f>DATE(YEAR(K942),MONTH(K942)+VLOOKUP($F940,'[1]Membership Level'!$A$3:$B$15,2,FALSE),DAY(K942))</f>
        <v>#N/A</v>
      </c>
      <c r="M942" s="33">
        <v>3</v>
      </c>
      <c r="N942" s="34" t="e">
        <f>IF($L942&lt;&gt;0,DATE(YEAR($L942),MONTH($L942)-#REF!,DAY($L942)-$M942),"")</f>
        <v>#N/A</v>
      </c>
      <c r="O942" s="33" t="e">
        <f t="shared" ca="1" si="17"/>
        <v>#N/A</v>
      </c>
      <c r="P942" s="34" t="e">
        <f>I942/H942*VLOOKUP(F940,'[1]Membership Level'!$A$3:$C$15,3,FALSE)+K942</f>
        <v>#DIV/0!</v>
      </c>
      <c r="Q942" s="36"/>
    </row>
    <row r="943" spans="3:17" x14ac:dyDescent="0.25">
      <c r="C943" s="33"/>
      <c r="D943" s="36"/>
      <c r="E943" s="35"/>
      <c r="F943" s="36"/>
      <c r="G943" s="36"/>
      <c r="H943" s="30"/>
      <c r="I943" s="30"/>
      <c r="J943" s="31"/>
      <c r="K943" s="43"/>
      <c r="L943" s="32" t="e">
        <f>DATE(YEAR(K943),MONTH(K943)+VLOOKUP($F941,'[1]Membership Level'!$A$3:$B$15,2,FALSE),DAY(K943))</f>
        <v>#N/A</v>
      </c>
      <c r="M943" s="33">
        <v>3</v>
      </c>
      <c r="N943" s="34" t="e">
        <f>IF($L943&lt;&gt;0,DATE(YEAR($L943),MONTH($L943)-#REF!,DAY($L943)-$M943),"")</f>
        <v>#N/A</v>
      </c>
      <c r="O943" s="33" t="e">
        <f t="shared" ca="1" si="17"/>
        <v>#N/A</v>
      </c>
      <c r="P943" s="34" t="e">
        <f>I943/H943*VLOOKUP(F941,'[1]Membership Level'!$A$3:$C$15,3,FALSE)+K943</f>
        <v>#DIV/0!</v>
      </c>
      <c r="Q943" s="36"/>
    </row>
    <row r="944" spans="3:17" x14ac:dyDescent="0.25">
      <c r="C944" s="33"/>
      <c r="D944" s="36"/>
      <c r="E944" s="35"/>
      <c r="F944" s="33"/>
      <c r="G944" s="36"/>
      <c r="H944" s="30"/>
      <c r="I944" s="30"/>
      <c r="J944" s="31"/>
      <c r="K944" s="43"/>
      <c r="L944" s="32" t="e">
        <f>DATE(YEAR(K944),MONTH(K944)+VLOOKUP($F942,'[1]Membership Level'!$A$3:$B$15,2,FALSE),DAY(K944))</f>
        <v>#N/A</v>
      </c>
      <c r="M944" s="33">
        <v>3</v>
      </c>
      <c r="N944" s="34" t="e">
        <f>IF($L944&lt;&gt;0,DATE(YEAR($L944),MONTH($L944)-#REF!,DAY($L944)-$M944),"")</f>
        <v>#N/A</v>
      </c>
      <c r="O944" s="33" t="e">
        <f t="shared" ca="1" si="17"/>
        <v>#N/A</v>
      </c>
      <c r="P944" s="34" t="e">
        <f>I944/H944*VLOOKUP(F942,'[1]Membership Level'!$A$3:$C$15,3,FALSE)+K944</f>
        <v>#DIV/0!</v>
      </c>
      <c r="Q944" s="36"/>
    </row>
    <row r="945" spans="3:17" x14ac:dyDescent="0.25">
      <c r="C945" s="33"/>
      <c r="D945" s="36"/>
      <c r="E945" s="66"/>
      <c r="F945" s="36"/>
      <c r="G945" s="36"/>
      <c r="H945" s="30"/>
      <c r="I945" s="30"/>
      <c r="J945" s="31"/>
      <c r="K945" s="43"/>
      <c r="L945" s="32" t="e">
        <f>DATE(YEAR(K945),MONTH(K945)+VLOOKUP($F943,'[1]Membership Level'!$A$3:$B$15,2,FALSE),DAY(K945))</f>
        <v>#N/A</v>
      </c>
      <c r="M945" s="33">
        <v>3</v>
      </c>
      <c r="N945" s="34" t="e">
        <f>IF($L945&lt;&gt;0,DATE(YEAR($L945),MONTH($L945)-#REF!,DAY($L945)-$M945),"")</f>
        <v>#N/A</v>
      </c>
      <c r="O945" s="33" t="e">
        <f t="shared" ca="1" si="17"/>
        <v>#N/A</v>
      </c>
      <c r="P945" s="34" t="e">
        <f>I945/H945*VLOOKUP(F943,'[1]Membership Level'!$A$3:$C$15,3,FALSE)+K945</f>
        <v>#DIV/0!</v>
      </c>
      <c r="Q945" s="36"/>
    </row>
    <row r="946" spans="3:17" x14ac:dyDescent="0.25">
      <c r="C946" s="33"/>
      <c r="D946" s="33"/>
      <c r="E946" s="35"/>
      <c r="F946" s="33"/>
      <c r="G946" s="33"/>
      <c r="H946" s="44"/>
      <c r="I946" s="44"/>
      <c r="J946" s="31"/>
      <c r="K946" s="32"/>
      <c r="L946" s="32" t="e">
        <f>DATE(YEAR(K946),MONTH(K946)+VLOOKUP($F944,'[1]Membership Level'!$A$3:$B$15,2,FALSE),DAY(K946))</f>
        <v>#N/A</v>
      </c>
      <c r="M946" s="33">
        <v>3</v>
      </c>
      <c r="N946" s="34" t="e">
        <f>IF($L946&lt;&gt;0,DATE(YEAR($L946),MONTH($L946)-#REF!,DAY($L946)-$M946),"")</f>
        <v>#N/A</v>
      </c>
      <c r="O946" s="33" t="e">
        <f t="shared" ca="1" si="17"/>
        <v>#N/A</v>
      </c>
      <c r="P946" s="34" t="e">
        <f>I946/H946*VLOOKUP(F944,'[1]Membership Level'!$A$3:$C$15,3,FALSE)+K946</f>
        <v>#DIV/0!</v>
      </c>
      <c r="Q946" s="33"/>
    </row>
    <row r="947" spans="3:17" x14ac:dyDescent="0.25">
      <c r="C947" s="33"/>
      <c r="D947" s="36"/>
      <c r="E947" s="66"/>
      <c r="F947" s="33"/>
      <c r="G947" s="36"/>
      <c r="H947" s="30"/>
      <c r="I947" s="30"/>
      <c r="J947" s="31"/>
      <c r="K947" s="43"/>
      <c r="L947" s="32" t="e">
        <f>DATE(YEAR(K947),MONTH(K947)+VLOOKUP($F945,'[1]Membership Level'!$A$3:$B$15,2,FALSE),DAY(K947))</f>
        <v>#N/A</v>
      </c>
      <c r="M947" s="33">
        <v>3</v>
      </c>
      <c r="N947" s="34" t="e">
        <f>IF($L947&lt;&gt;0,DATE(YEAR($L947),MONTH($L947)-#REF!,DAY($L947)-$M947),"")</f>
        <v>#N/A</v>
      </c>
      <c r="O947" s="33" t="e">
        <f t="shared" ca="1" si="17"/>
        <v>#N/A</v>
      </c>
      <c r="P947" s="34" t="e">
        <f>I947/H947*VLOOKUP(F945,'[1]Membership Level'!$A$3:$C$15,3,FALSE)+K947</f>
        <v>#DIV/0!</v>
      </c>
      <c r="Q947" s="36"/>
    </row>
    <row r="948" spans="3:17" x14ac:dyDescent="0.25">
      <c r="C948" s="33"/>
      <c r="D948" s="33"/>
      <c r="E948" s="66"/>
      <c r="F948" s="33"/>
      <c r="G948" s="33"/>
      <c r="H948" s="44"/>
      <c r="I948" s="44"/>
      <c r="J948" s="31"/>
      <c r="K948" s="32"/>
      <c r="L948" s="32" t="e">
        <f>DATE(YEAR(K948),MONTH(K948)+VLOOKUP($F946,'[1]Membership Level'!$A$3:$B$15,2,FALSE),DAY(K948))</f>
        <v>#N/A</v>
      </c>
      <c r="M948" s="33">
        <v>3</v>
      </c>
      <c r="N948" s="34" t="e">
        <f>IF($L948&lt;&gt;0,DATE(YEAR($L948),MONTH($L948)-#REF!,DAY($L948)-$M948),"")</f>
        <v>#N/A</v>
      </c>
      <c r="O948" s="33" t="e">
        <f t="shared" ca="1" si="17"/>
        <v>#N/A</v>
      </c>
      <c r="P948" s="34" t="e">
        <f>I948/H948*VLOOKUP(F946,'[1]Membership Level'!$A$3:$C$15,3,FALSE)+K948</f>
        <v>#DIV/0!</v>
      </c>
      <c r="Q948" s="33"/>
    </row>
    <row r="949" spans="3:17" x14ac:dyDescent="0.25">
      <c r="C949" s="33"/>
      <c r="D949" s="33"/>
      <c r="E949" s="66"/>
      <c r="F949" s="33"/>
      <c r="G949" s="33"/>
      <c r="H949" s="44"/>
      <c r="I949" s="44"/>
      <c r="J949" s="31"/>
      <c r="K949" s="32"/>
      <c r="L949" s="32" t="e">
        <f>DATE(YEAR(K949),MONTH(K949)+VLOOKUP($F947,'[1]Membership Level'!$A$3:$B$15,2,FALSE),DAY(K949))</f>
        <v>#N/A</v>
      </c>
      <c r="M949" s="33"/>
      <c r="N949" s="34" t="e">
        <f>IF($L949&lt;&gt;0,DATE(YEAR($L949),MONTH($L949)-#REF!,DAY($L949)-$M949),"")</f>
        <v>#N/A</v>
      </c>
      <c r="O949" s="33" t="e">
        <f t="shared" ca="1" si="17"/>
        <v>#N/A</v>
      </c>
      <c r="P949" s="34" t="e">
        <f>I949/H949*VLOOKUP(F947,'[1]Membership Level'!$A$3:$C$15,3,FALSE)+K949</f>
        <v>#DIV/0!</v>
      </c>
      <c r="Q949" s="33"/>
    </row>
    <row r="950" spans="3:17" x14ac:dyDescent="0.25">
      <c r="C950" s="33"/>
      <c r="D950" s="33"/>
      <c r="E950" s="66"/>
      <c r="F950" s="33"/>
      <c r="G950" s="33"/>
      <c r="H950" s="44"/>
      <c r="I950" s="44"/>
      <c r="J950" s="31"/>
      <c r="K950" s="32"/>
      <c r="L950" s="32" t="e">
        <f>DATE(YEAR(K950),MONTH(K950)+VLOOKUP($F948,'[1]Membership Level'!$A$3:$B$15,2,FALSE),DAY(K950))</f>
        <v>#N/A</v>
      </c>
      <c r="M950" s="33"/>
      <c r="N950" s="34" t="e">
        <f>IF($L950&lt;&gt;0,DATE(YEAR($L950),MONTH($L950)-#REF!,DAY($L950)-$M950),"")</f>
        <v>#N/A</v>
      </c>
      <c r="O950" s="33" t="e">
        <f t="shared" ca="1" si="17"/>
        <v>#N/A</v>
      </c>
      <c r="P950" s="34" t="e">
        <f>I950/H950*VLOOKUP(F948,'[1]Membership Level'!$A$3:$C$15,3,FALSE)+K950</f>
        <v>#DIV/0!</v>
      </c>
      <c r="Q950" s="33"/>
    </row>
    <row r="951" spans="3:17" x14ac:dyDescent="0.25">
      <c r="C951" s="33"/>
      <c r="D951" s="33"/>
      <c r="E951" s="66"/>
      <c r="F951" s="33"/>
      <c r="G951" s="33"/>
      <c r="H951" s="44"/>
      <c r="I951" s="44"/>
      <c r="J951" s="31"/>
      <c r="K951" s="32"/>
      <c r="L951" s="32" t="e">
        <f>DATE(YEAR(K951),MONTH(K951)+VLOOKUP($F949,'[1]Membership Level'!$A$3:$B$15,2,FALSE),DAY(K951))</f>
        <v>#N/A</v>
      </c>
      <c r="M951" s="33"/>
      <c r="N951" s="34" t="e">
        <f>IF($L951&lt;&gt;0,DATE(YEAR($L951),MONTH($L951)-#REF!,DAY($L951)-$M951),"")</f>
        <v>#N/A</v>
      </c>
      <c r="O951" s="33" t="e">
        <f t="shared" ca="1" si="17"/>
        <v>#N/A</v>
      </c>
      <c r="P951" s="34" t="e">
        <f>I951/H951*VLOOKUP(F949,'[1]Membership Level'!$A$3:$C$15,3,FALSE)+K951</f>
        <v>#DIV/0!</v>
      </c>
      <c r="Q951" s="33"/>
    </row>
    <row r="952" spans="3:17" x14ac:dyDescent="0.25">
      <c r="C952" s="33"/>
      <c r="D952" s="33"/>
      <c r="E952" s="66"/>
      <c r="F952" s="33"/>
      <c r="G952" s="33"/>
      <c r="H952" s="44"/>
      <c r="I952" s="44"/>
      <c r="J952" s="31"/>
      <c r="K952" s="32"/>
      <c r="L952" s="32" t="e">
        <f>DATE(YEAR(K952),MONTH(K952)+VLOOKUP($F950,'[1]Membership Level'!$A$3:$B$15,2,FALSE),DAY(K952))</f>
        <v>#N/A</v>
      </c>
      <c r="M952" s="33"/>
      <c r="N952" s="34" t="e">
        <f>IF($L952&lt;&gt;0,DATE(YEAR($L952),MONTH($L952)-#REF!,DAY($L952)-$M952),"")</f>
        <v>#N/A</v>
      </c>
      <c r="O952" s="33" t="e">
        <f t="shared" ca="1" si="17"/>
        <v>#N/A</v>
      </c>
      <c r="P952" s="34" t="e">
        <f>I952/H952*VLOOKUP(F950,'[1]Membership Level'!$A$3:$C$15,3,FALSE)+K952</f>
        <v>#DIV/0!</v>
      </c>
      <c r="Q952" s="33"/>
    </row>
    <row r="953" spans="3:17" x14ac:dyDescent="0.25">
      <c r="C953" s="33"/>
      <c r="D953" s="33"/>
      <c r="E953" s="66"/>
      <c r="F953" s="45"/>
      <c r="G953" s="33"/>
      <c r="H953" s="44"/>
      <c r="I953" s="44"/>
      <c r="J953" s="31"/>
      <c r="K953" s="32"/>
      <c r="L953" s="32" t="e">
        <f>DATE(YEAR(K953),MONTH(K953)+VLOOKUP($F951,'[1]Membership Level'!$A$3:$B$15,2,FALSE),DAY(K953))</f>
        <v>#N/A</v>
      </c>
      <c r="M953" s="33"/>
      <c r="N953" s="34" t="e">
        <f>IF($L953&lt;&gt;0,DATE(YEAR($L953),MONTH($L953)-#REF!,DAY($L953)-$M953),"")</f>
        <v>#N/A</v>
      </c>
      <c r="O953" s="33" t="e">
        <f t="shared" ca="1" si="17"/>
        <v>#N/A</v>
      </c>
      <c r="P953" s="34" t="e">
        <f>I953/H953*VLOOKUP(F951,'[1]Membership Level'!$A$3:$C$15,3,FALSE)+K953</f>
        <v>#DIV/0!</v>
      </c>
      <c r="Q953" s="32"/>
    </row>
    <row r="954" spans="3:17" x14ac:dyDescent="0.25">
      <c r="C954" s="33"/>
      <c r="D954" s="33"/>
      <c r="E954" s="67"/>
      <c r="F954" s="33"/>
      <c r="G954" s="33"/>
      <c r="H954" s="44"/>
      <c r="I954" s="44"/>
      <c r="J954" s="31"/>
      <c r="K954" s="32"/>
      <c r="L954" s="32" t="e">
        <f>DATE(YEAR(K954),MONTH(K954)+VLOOKUP($F952,'[1]Membership Level'!$A$3:$B$15,2,FALSE),DAY(K954))</f>
        <v>#N/A</v>
      </c>
      <c r="M954" s="33"/>
      <c r="N954" s="34" t="e">
        <f>IF($L954&lt;&gt;0,DATE(YEAR($L954),MONTH($L954)-#REF!,DAY($L954)-$M954),"")</f>
        <v>#N/A</v>
      </c>
      <c r="O954" s="33" t="e">
        <f t="shared" ca="1" si="17"/>
        <v>#N/A</v>
      </c>
      <c r="P954" s="34" t="e">
        <f>I954/H954*VLOOKUP(F952,'[1]Membership Level'!$A$3:$C$15,3,FALSE)+K954</f>
        <v>#DIV/0!</v>
      </c>
      <c r="Q954" s="33"/>
    </row>
    <row r="955" spans="3:17" s="27" customFormat="1" x14ac:dyDescent="0.25">
      <c r="C955" s="45"/>
      <c r="D955" s="45"/>
      <c r="E955" s="66"/>
      <c r="F955" s="33"/>
      <c r="G955" s="45"/>
      <c r="H955" s="64"/>
      <c r="I955" s="64"/>
      <c r="J955" s="65"/>
      <c r="K955" s="60"/>
      <c r="L955" s="60" t="e">
        <f>DATE(YEAR(K955),MONTH(K955)+VLOOKUP($F953,'[1]Membership Level'!$A$3:$B$15,2,FALSE),DAY(K955))</f>
        <v>#N/A</v>
      </c>
      <c r="M955" s="33"/>
      <c r="N955" s="34" t="e">
        <f>IF($L955&lt;&gt;0,DATE(YEAR($L955),MONTH($L955)-#REF!,DAY($L955)-$M955),"")</f>
        <v>#N/A</v>
      </c>
      <c r="O955" s="33" t="e">
        <f t="shared" ca="1" si="17"/>
        <v>#N/A</v>
      </c>
      <c r="P955" s="34" t="e">
        <f>I955/H955*VLOOKUP(F953,'[1]Membership Level'!$A$3:$C$15,3,FALSE)+K955</f>
        <v>#DIV/0!</v>
      </c>
      <c r="Q955" s="67"/>
    </row>
    <row r="956" spans="3:17" x14ac:dyDescent="0.25">
      <c r="C956" s="33"/>
      <c r="D956" s="33"/>
      <c r="E956" s="66"/>
      <c r="F956" s="33"/>
      <c r="G956" s="33"/>
      <c r="H956" s="44"/>
      <c r="I956" s="44"/>
      <c r="J956" s="31"/>
      <c r="K956" s="32"/>
      <c r="L956" s="32" t="e">
        <f>DATE(YEAR(K956),MONTH(K956)+VLOOKUP($F954,'[1]Membership Level'!$A$3:$B$15,2,FALSE),DAY(K956))</f>
        <v>#N/A</v>
      </c>
      <c r="M956" s="33"/>
      <c r="N956" s="34" t="e">
        <f>IF($L956&lt;&gt;0,DATE(YEAR($L956),MONTH($L956)-#REF!,DAY($L956)-$M956),"")</f>
        <v>#N/A</v>
      </c>
      <c r="O956" s="33" t="e">
        <f t="shared" ca="1" si="17"/>
        <v>#N/A</v>
      </c>
      <c r="P956" s="34" t="e">
        <f>I956/H956*VLOOKUP(F954,'[1]Membership Level'!$A$3:$C$15,3,FALSE)+K956</f>
        <v>#DIV/0!</v>
      </c>
      <c r="Q956" s="33"/>
    </row>
    <row r="957" spans="3:17" x14ac:dyDescent="0.25">
      <c r="C957" s="33"/>
      <c r="D957" s="33"/>
      <c r="E957" s="66"/>
      <c r="F957" s="33"/>
      <c r="G957" s="33"/>
      <c r="H957" s="44"/>
      <c r="I957" s="44"/>
      <c r="J957" s="31"/>
      <c r="K957" s="32"/>
      <c r="L957" s="32" t="e">
        <f>DATE(YEAR(K957),MONTH(K957)+VLOOKUP($F955,'[1]Membership Level'!$A$3:$B$15,2,FALSE),DAY(K957))</f>
        <v>#N/A</v>
      </c>
      <c r="M957" s="33"/>
      <c r="N957" s="34" t="e">
        <f>IF($L957&lt;&gt;0,DATE(YEAR($L957),MONTH($L957)-#REF!,DAY($L957)-$M957),"")</f>
        <v>#N/A</v>
      </c>
      <c r="O957" s="33" t="e">
        <f t="shared" ref="O957:O973" ca="1" si="18">IF(DAYS360(NOW(), $L957) &gt;= 0, DAYS360(NOW(), $L957), "")</f>
        <v>#N/A</v>
      </c>
      <c r="P957" s="34" t="e">
        <f>I957/H957*VLOOKUP(F955,'[1]Membership Level'!$A$3:$C$15,3,FALSE)+K957</f>
        <v>#DIV/0!</v>
      </c>
      <c r="Q957" s="33"/>
    </row>
    <row r="958" spans="3:17" x14ac:dyDescent="0.25">
      <c r="C958" s="33"/>
      <c r="D958" s="33"/>
      <c r="E958" s="66"/>
      <c r="F958" s="33"/>
      <c r="G958" s="33"/>
      <c r="H958" s="44"/>
      <c r="I958" s="44"/>
      <c r="J958" s="31"/>
      <c r="K958" s="32"/>
      <c r="L958" s="32" t="e">
        <f>DATE(YEAR(K958),MONTH(K958)+VLOOKUP($F956,'[1]Membership Level'!$A$3:$B$15,2,FALSE),DAY(K958))</f>
        <v>#N/A</v>
      </c>
      <c r="M958" s="33"/>
      <c r="N958" s="34" t="e">
        <f>IF($L958&lt;&gt;0,DATE(YEAR($L958),MONTH($L958)-#REF!,DAY($L958)-$M958),"")</f>
        <v>#N/A</v>
      </c>
      <c r="O958" s="33" t="e">
        <f t="shared" ca="1" si="18"/>
        <v>#N/A</v>
      </c>
      <c r="P958" s="34" t="e">
        <f>I958/H958*VLOOKUP(F956,'[1]Membership Level'!$A$3:$C$15,3,FALSE)+K958</f>
        <v>#DIV/0!</v>
      </c>
      <c r="Q958" s="33"/>
    </row>
    <row r="959" spans="3:17" x14ac:dyDescent="0.25">
      <c r="C959" s="33"/>
      <c r="D959" s="33"/>
      <c r="E959" s="66"/>
      <c r="F959" s="33"/>
      <c r="G959" s="33"/>
      <c r="H959" s="44"/>
      <c r="I959" s="44"/>
      <c r="J959" s="31"/>
      <c r="K959" s="32"/>
      <c r="L959" s="32" t="e">
        <f>DATE(YEAR(K959),MONTH(K959)+VLOOKUP($F957,'[1]Membership Level'!$A$3:$B$15,2,FALSE),DAY(K959))</f>
        <v>#N/A</v>
      </c>
      <c r="M959" s="33"/>
      <c r="N959" s="34" t="e">
        <f>IF($L959&lt;&gt;0,DATE(YEAR($L959),MONTH($L959)-#REF!,DAY($L959)-$M959),"")</f>
        <v>#N/A</v>
      </c>
      <c r="O959" s="33" t="e">
        <f t="shared" ca="1" si="18"/>
        <v>#N/A</v>
      </c>
      <c r="P959" s="34" t="e">
        <f>I959/H959*VLOOKUP(F957,'[1]Membership Level'!$A$3:$C$15,3,FALSE)+K959</f>
        <v>#DIV/0!</v>
      </c>
      <c r="Q959" s="33"/>
    </row>
    <row r="960" spans="3:17" x14ac:dyDescent="0.25">
      <c r="C960" s="33"/>
      <c r="D960" s="33"/>
      <c r="E960" s="66"/>
      <c r="F960" s="33"/>
      <c r="G960" s="33"/>
      <c r="H960" s="44"/>
      <c r="I960" s="44"/>
      <c r="J960" s="31"/>
      <c r="K960" s="32"/>
      <c r="L960" s="32" t="e">
        <f>DATE(YEAR(K960),MONTH(K960)+VLOOKUP($F958,'[1]Membership Level'!$A$3:$B$15,2,FALSE),DAY(K960))</f>
        <v>#N/A</v>
      </c>
      <c r="M960" s="33"/>
      <c r="N960" s="34" t="e">
        <f>IF($L960&lt;&gt;0,DATE(YEAR($L960),MONTH($L960)-#REF!,DAY($L960)-$M960),"")</f>
        <v>#N/A</v>
      </c>
      <c r="O960" s="33" t="e">
        <f t="shared" ca="1" si="18"/>
        <v>#N/A</v>
      </c>
      <c r="P960" s="34" t="e">
        <f>I960/H960*VLOOKUP(F958,'[1]Membership Level'!$A$3:$C$15,3,FALSE)+K960</f>
        <v>#DIV/0!</v>
      </c>
      <c r="Q960" s="33"/>
    </row>
    <row r="961" spans="3:17" x14ac:dyDescent="0.25">
      <c r="C961" s="33"/>
      <c r="D961" s="33"/>
      <c r="E961" s="66"/>
      <c r="F961" s="33"/>
      <c r="G961" s="33"/>
      <c r="H961" s="44"/>
      <c r="I961" s="44"/>
      <c r="J961" s="31"/>
      <c r="K961" s="32"/>
      <c r="L961" s="32" t="e">
        <f>DATE(YEAR(K961),MONTH(K961)+VLOOKUP($F959,'[1]Membership Level'!$A$3:$B$15,2,FALSE),DAY(K961))</f>
        <v>#N/A</v>
      </c>
      <c r="M961" s="33"/>
      <c r="N961" s="34" t="e">
        <f>IF($L961&lt;&gt;0,DATE(YEAR($L961),MONTH($L961)-#REF!,DAY($L961)-$M961),"")</f>
        <v>#N/A</v>
      </c>
      <c r="O961" s="33" t="e">
        <f t="shared" ca="1" si="18"/>
        <v>#N/A</v>
      </c>
      <c r="P961" s="34" t="e">
        <f>I961/H961*VLOOKUP(F959,'[1]Membership Level'!$A$3:$C$15,3,FALSE)+K961</f>
        <v>#DIV/0!</v>
      </c>
      <c r="Q961" s="33"/>
    </row>
    <row r="962" spans="3:17" x14ac:dyDescent="0.25">
      <c r="C962" s="33"/>
      <c r="D962" s="33"/>
      <c r="E962" s="66"/>
      <c r="F962" s="33"/>
      <c r="G962" s="33"/>
      <c r="H962" s="44"/>
      <c r="I962" s="44"/>
      <c r="J962" s="31"/>
      <c r="K962" s="32"/>
      <c r="L962" s="32" t="e">
        <f>DATE(YEAR(K962),MONTH(K962)+VLOOKUP($F960,'[1]Membership Level'!$A$3:$B$15,2,FALSE),DAY(K962))</f>
        <v>#N/A</v>
      </c>
      <c r="M962" s="33"/>
      <c r="N962" s="34" t="e">
        <f>IF($L962&lt;&gt;0,DATE(YEAR($L962),MONTH($L962)-#REF!,DAY($L962)-$M962),"")</f>
        <v>#N/A</v>
      </c>
      <c r="O962" s="33" t="e">
        <f t="shared" ca="1" si="18"/>
        <v>#N/A</v>
      </c>
      <c r="P962" s="34" t="e">
        <f>I962/H962*VLOOKUP(F960,'[1]Membership Level'!$A$3:$C$15,3,FALSE)+K962</f>
        <v>#DIV/0!</v>
      </c>
      <c r="Q962" s="33"/>
    </row>
    <row r="963" spans="3:17" x14ac:dyDescent="0.25">
      <c r="C963" s="33"/>
      <c r="D963" s="33"/>
      <c r="E963" s="66"/>
      <c r="F963" s="33"/>
      <c r="G963" s="33"/>
      <c r="H963" s="44"/>
      <c r="I963" s="44"/>
      <c r="J963" s="31"/>
      <c r="K963" s="32"/>
      <c r="L963" s="32" t="e">
        <f>DATE(YEAR(K963),MONTH(K963)+VLOOKUP($F961,'[1]Membership Level'!$A$3:$B$15,2,FALSE),DAY(K963))</f>
        <v>#N/A</v>
      </c>
      <c r="M963" s="33"/>
      <c r="N963" s="34" t="e">
        <f>IF($L963&lt;&gt;0,DATE(YEAR($L963),MONTH($L963)-#REF!,DAY($L963)-$M963),"")</f>
        <v>#N/A</v>
      </c>
      <c r="O963" s="33" t="e">
        <f t="shared" ca="1" si="18"/>
        <v>#N/A</v>
      </c>
      <c r="P963" s="34" t="e">
        <f>I963/H963*VLOOKUP(F961,'[1]Membership Level'!$A$3:$C$15,3,FALSE)+K963</f>
        <v>#DIV/0!</v>
      </c>
      <c r="Q963" s="33"/>
    </row>
    <row r="964" spans="3:17" x14ac:dyDescent="0.25">
      <c r="C964" s="33"/>
      <c r="D964" s="33"/>
      <c r="E964" s="66"/>
      <c r="F964" s="33"/>
      <c r="G964" s="33"/>
      <c r="H964" s="44"/>
      <c r="I964" s="44"/>
      <c r="J964" s="31"/>
      <c r="K964" s="32"/>
      <c r="L964" s="32" t="e">
        <f>DATE(YEAR(K964),MONTH(K964)+VLOOKUP($F962,'[1]Membership Level'!$A$3:$B$15,2,FALSE),DAY(K964))</f>
        <v>#N/A</v>
      </c>
      <c r="M964" s="33"/>
      <c r="N964" s="34" t="e">
        <f>IF($L964&lt;&gt;0,DATE(YEAR($L964),MONTH($L964)-#REF!,DAY($L964)-$M964),"")</f>
        <v>#N/A</v>
      </c>
      <c r="O964" s="33" t="e">
        <f t="shared" ca="1" si="18"/>
        <v>#N/A</v>
      </c>
      <c r="P964" s="34" t="e">
        <f>I964/H964*VLOOKUP(F962,'[1]Membership Level'!$A$3:$C$15,3,FALSE)+K964</f>
        <v>#DIV/0!</v>
      </c>
      <c r="Q964" s="33"/>
    </row>
    <row r="965" spans="3:17" x14ac:dyDescent="0.25">
      <c r="C965" s="33"/>
      <c r="D965" s="33"/>
      <c r="E965" s="66"/>
      <c r="F965" s="33"/>
      <c r="G965" s="33"/>
      <c r="H965" s="44"/>
      <c r="I965" s="44"/>
      <c r="J965" s="31"/>
      <c r="K965" s="32"/>
      <c r="L965" s="32" t="e">
        <f>DATE(YEAR(K965),MONTH(K965)+VLOOKUP($F963,'[1]Membership Level'!$A$3:$B$15,2,FALSE),DAY(K965))</f>
        <v>#N/A</v>
      </c>
      <c r="M965" s="33"/>
      <c r="N965" s="34" t="e">
        <f>IF($L965&lt;&gt;0,DATE(YEAR($L965),MONTH($L965)-#REF!,DAY($L965)-$M965),"")</f>
        <v>#N/A</v>
      </c>
      <c r="O965" s="33" t="e">
        <f t="shared" ca="1" si="18"/>
        <v>#N/A</v>
      </c>
      <c r="P965" s="34" t="e">
        <f>I965/H965*VLOOKUP(F963,'[1]Membership Level'!$A$3:$C$15,3,FALSE)+K965</f>
        <v>#DIV/0!</v>
      </c>
      <c r="Q965" s="33"/>
    </row>
    <row r="966" spans="3:17" x14ac:dyDescent="0.25">
      <c r="C966" s="33"/>
      <c r="D966" s="33"/>
      <c r="E966" s="66"/>
      <c r="F966" s="33"/>
      <c r="G966" s="33"/>
      <c r="H966" s="44"/>
      <c r="I966" s="44"/>
      <c r="J966" s="31"/>
      <c r="K966" s="32"/>
      <c r="L966" s="32" t="e">
        <f>DATE(YEAR(K966),MONTH(K966)+VLOOKUP($F964,'[1]Membership Level'!$A$3:$B$15,2,FALSE),DAY(K966))</f>
        <v>#N/A</v>
      </c>
      <c r="M966" s="33"/>
      <c r="N966" s="34" t="e">
        <f>IF($L966&lt;&gt;0,DATE(YEAR($L966),MONTH($L966)-#REF!,DAY($L966)-$M966),"")</f>
        <v>#N/A</v>
      </c>
      <c r="O966" s="33" t="e">
        <f t="shared" ca="1" si="18"/>
        <v>#N/A</v>
      </c>
      <c r="P966" s="34" t="e">
        <f>I966/H966*VLOOKUP(F964,'[1]Membership Level'!$A$3:$C$15,3,FALSE)+K966</f>
        <v>#DIV/0!</v>
      </c>
      <c r="Q966" s="33"/>
    </row>
    <row r="967" spans="3:17" x14ac:dyDescent="0.25">
      <c r="C967" s="33"/>
      <c r="D967" s="33"/>
      <c r="E967" s="66"/>
      <c r="F967" s="33"/>
      <c r="G967" s="33"/>
      <c r="H967" s="44"/>
      <c r="I967" s="44"/>
      <c r="J967" s="31"/>
      <c r="K967" s="32"/>
      <c r="L967" s="32" t="e">
        <f>DATE(YEAR(K967),MONTH(K967)+VLOOKUP($F965,'[1]Membership Level'!$A$3:$B$15,2,FALSE),DAY(K967))</f>
        <v>#N/A</v>
      </c>
      <c r="M967" s="33"/>
      <c r="N967" s="34" t="e">
        <f>IF($L967&lt;&gt;0,DATE(YEAR($L967),MONTH($L967)-#REF!,DAY($L967)-$M967),"")</f>
        <v>#N/A</v>
      </c>
      <c r="O967" s="33" t="e">
        <f t="shared" ca="1" si="18"/>
        <v>#N/A</v>
      </c>
      <c r="P967" s="34" t="e">
        <f>I967/H967*VLOOKUP(F965,'[1]Membership Level'!$A$3:$C$15,3,FALSE)+K967</f>
        <v>#DIV/0!</v>
      </c>
      <c r="Q967" s="33"/>
    </row>
    <row r="968" spans="3:17" x14ac:dyDescent="0.25">
      <c r="C968" s="33"/>
      <c r="D968" s="33"/>
      <c r="E968" s="66"/>
      <c r="F968" s="33"/>
      <c r="G968" s="33"/>
      <c r="H968" s="44"/>
      <c r="I968" s="44"/>
      <c r="J968" s="31"/>
      <c r="K968" s="32"/>
      <c r="L968" s="32" t="e">
        <f>DATE(YEAR(K968),MONTH(K968)+VLOOKUP($F966,'[1]Membership Level'!$A$3:$B$15,2,FALSE),DAY(K968))</f>
        <v>#N/A</v>
      </c>
      <c r="M968" s="33"/>
      <c r="N968" s="34" t="e">
        <f>IF($L968&lt;&gt;0,DATE(YEAR($L968),MONTH($L968)-#REF!,DAY($L968)-$M968),"")</f>
        <v>#N/A</v>
      </c>
      <c r="O968" s="33" t="e">
        <f t="shared" ca="1" si="18"/>
        <v>#N/A</v>
      </c>
      <c r="P968" s="34" t="e">
        <f>I968/H968*VLOOKUP(F966,'[1]Membership Level'!$A$3:$C$15,3,FALSE)+K968</f>
        <v>#DIV/0!</v>
      </c>
      <c r="Q968" s="33"/>
    </row>
    <row r="969" spans="3:17" x14ac:dyDescent="0.25">
      <c r="C969" s="33"/>
      <c r="D969" s="33"/>
      <c r="E969" s="66"/>
      <c r="F969" s="33"/>
      <c r="G969" s="33"/>
      <c r="H969" s="44"/>
      <c r="I969" s="44"/>
      <c r="J969" s="31"/>
      <c r="K969" s="32"/>
      <c r="L969" s="32" t="e">
        <f>DATE(YEAR(K969),MONTH(K969)+VLOOKUP($F967,'[1]Membership Level'!$A$3:$B$15,2,FALSE),DAY(K969))</f>
        <v>#N/A</v>
      </c>
      <c r="M969" s="33"/>
      <c r="N969" s="34" t="e">
        <f>IF($L969&lt;&gt;0,DATE(YEAR($L969),MONTH($L969)-#REF!,DAY($L969)-$M969),"")</f>
        <v>#N/A</v>
      </c>
      <c r="O969" s="33" t="e">
        <f t="shared" ca="1" si="18"/>
        <v>#N/A</v>
      </c>
      <c r="P969" s="34" t="e">
        <f>I969/H969*VLOOKUP(F967,'[1]Membership Level'!$A$3:$C$15,3,FALSE)+K969</f>
        <v>#DIV/0!</v>
      </c>
      <c r="Q969" s="33"/>
    </row>
    <row r="970" spans="3:17" x14ac:dyDescent="0.25">
      <c r="C970" s="33"/>
      <c r="D970" s="33"/>
      <c r="E970" s="66"/>
      <c r="F970" s="33"/>
      <c r="G970" s="33"/>
      <c r="H970" s="44"/>
      <c r="I970" s="44"/>
      <c r="J970" s="31"/>
      <c r="K970" s="32"/>
      <c r="L970" s="32" t="e">
        <f>DATE(YEAR(K970),MONTH(K970)+VLOOKUP($F968,'[1]Membership Level'!$A$3:$B$15,2,FALSE),DAY(K970))</f>
        <v>#N/A</v>
      </c>
      <c r="M970" s="33"/>
      <c r="N970" s="34" t="e">
        <f>IF($L970&lt;&gt;0,DATE(YEAR($L970),MONTH($L970)-#REF!,DAY($L970)-$M970),"")</f>
        <v>#N/A</v>
      </c>
      <c r="O970" s="33" t="e">
        <f t="shared" ca="1" si="18"/>
        <v>#N/A</v>
      </c>
      <c r="P970" s="34" t="e">
        <f>I970/H970*VLOOKUP(F968,'[1]Membership Level'!$A$3:$C$15,3,FALSE)+K970</f>
        <v>#DIV/0!</v>
      </c>
      <c r="Q970" s="33"/>
    </row>
    <row r="971" spans="3:17" x14ac:dyDescent="0.25">
      <c r="C971" s="33"/>
      <c r="D971" s="33"/>
      <c r="E971" s="66"/>
      <c r="F971" s="33"/>
      <c r="G971" s="33"/>
      <c r="H971" s="44"/>
      <c r="I971" s="44"/>
      <c r="J971" s="31"/>
      <c r="K971" s="32"/>
      <c r="L971" s="32" t="e">
        <f>DATE(YEAR(K971),MONTH(K971)+VLOOKUP($F969,'[1]Membership Level'!$A$3:$B$15,2,FALSE),DAY(K971))</f>
        <v>#N/A</v>
      </c>
      <c r="M971" s="33"/>
      <c r="N971" s="34" t="e">
        <f>IF($L971&lt;&gt;0,DATE(YEAR($L971),MONTH($L971)-#REF!,DAY($L971)-$M971),"")</f>
        <v>#N/A</v>
      </c>
      <c r="O971" s="33" t="e">
        <f t="shared" ca="1" si="18"/>
        <v>#N/A</v>
      </c>
      <c r="P971" s="34" t="e">
        <f>I971/H971*VLOOKUP(F969,'[1]Membership Level'!$A$3:$C$15,3,FALSE)+K971</f>
        <v>#DIV/0!</v>
      </c>
      <c r="Q971" s="33"/>
    </row>
    <row r="972" spans="3:17" x14ac:dyDescent="0.25">
      <c r="C972" s="33"/>
      <c r="D972" s="33"/>
      <c r="E972" s="66"/>
      <c r="F972" s="45"/>
      <c r="G972" s="33"/>
      <c r="H972" s="44"/>
      <c r="I972" s="44"/>
      <c r="J972" s="31"/>
      <c r="K972" s="32"/>
      <c r="L972" s="32" t="e">
        <f>DATE(YEAR(K972),MONTH(K972)+VLOOKUP($F970,'[1]Membership Level'!$A$3:$B$15,2,FALSE),DAY(K972))</f>
        <v>#N/A</v>
      </c>
      <c r="M972" s="33"/>
      <c r="N972" s="34" t="e">
        <f>IF($L972&lt;&gt;0,DATE(YEAR($L972),MONTH($L972)-#REF!,DAY($L972)-$M972),"")</f>
        <v>#N/A</v>
      </c>
      <c r="O972" s="33" t="e">
        <f t="shared" ca="1" si="18"/>
        <v>#N/A</v>
      </c>
      <c r="P972" s="34" t="e">
        <f>I972/H972*VLOOKUP(F970,'[1]Membership Level'!$A$3:$C$15,3,FALSE)+K972</f>
        <v>#DIV/0!</v>
      </c>
      <c r="Q972" s="33"/>
    </row>
    <row r="973" spans="3:17" x14ac:dyDescent="0.25">
      <c r="C973" s="33"/>
      <c r="D973" s="33"/>
      <c r="E973" s="67"/>
      <c r="F973" s="33"/>
      <c r="G973" s="18"/>
      <c r="H973" s="44"/>
      <c r="I973" s="44"/>
      <c r="J973" s="31"/>
      <c r="K973" s="32"/>
      <c r="L973" s="32"/>
      <c r="M973" s="33"/>
      <c r="N973" s="34"/>
      <c r="O973" s="33"/>
      <c r="P973" s="34"/>
      <c r="Q973" s="33"/>
    </row>
    <row r="974" spans="3:17" s="27" customFormat="1" x14ac:dyDescent="0.25">
      <c r="C974" s="45"/>
      <c r="D974" s="45"/>
      <c r="E974" s="66"/>
      <c r="F974" s="33"/>
      <c r="G974" s="18"/>
      <c r="H974" s="64"/>
      <c r="I974" s="64"/>
      <c r="J974" s="65"/>
      <c r="K974" s="60"/>
      <c r="L974" s="60"/>
      <c r="M974" s="33"/>
      <c r="N974" s="34"/>
      <c r="O974" s="33"/>
      <c r="P974" s="34"/>
      <c r="Q974" s="60"/>
    </row>
    <row r="975" spans="3:17" x14ac:dyDescent="0.25">
      <c r="C975" s="33"/>
      <c r="D975" s="33"/>
      <c r="E975" s="66"/>
      <c r="F975" s="33"/>
      <c r="G975" s="18"/>
      <c r="H975" s="44"/>
      <c r="I975" s="44"/>
      <c r="J975" s="31"/>
      <c r="K975" s="32"/>
      <c r="L975" s="32"/>
      <c r="M975" s="33"/>
      <c r="N975" s="34"/>
      <c r="O975" s="33"/>
      <c r="P975" s="34"/>
      <c r="Q975" s="32"/>
    </row>
    <row r="976" spans="3:17" x14ac:dyDescent="0.25">
      <c r="C976" s="33"/>
      <c r="D976" s="33"/>
      <c r="E976" s="66"/>
      <c r="F976" s="33"/>
      <c r="G976" s="18"/>
      <c r="H976" s="44"/>
      <c r="I976" s="44"/>
      <c r="J976" s="31"/>
      <c r="K976" s="32"/>
      <c r="L976" s="32"/>
      <c r="M976" s="33"/>
      <c r="N976" s="34"/>
      <c r="O976" s="33"/>
      <c r="P976" s="34"/>
      <c r="Q976" s="32"/>
    </row>
    <row r="977" spans="3:17" x14ac:dyDescent="0.25">
      <c r="C977" s="33"/>
      <c r="D977" s="33"/>
      <c r="E977" s="66"/>
      <c r="F977" s="33"/>
      <c r="G977" s="18"/>
      <c r="H977" s="44"/>
      <c r="I977" s="44"/>
      <c r="J977" s="31"/>
      <c r="K977" s="32"/>
      <c r="L977" s="32"/>
      <c r="M977" s="33"/>
      <c r="N977" s="34"/>
      <c r="O977" s="33"/>
      <c r="P977" s="34"/>
      <c r="Q977" s="32"/>
    </row>
    <row r="978" spans="3:17" x14ac:dyDescent="0.25">
      <c r="C978" s="33"/>
      <c r="D978" s="33"/>
      <c r="E978" s="66"/>
      <c r="F978" s="33"/>
      <c r="G978" s="18"/>
      <c r="H978" s="44"/>
      <c r="I978" s="44"/>
      <c r="J978" s="31"/>
      <c r="K978" s="32"/>
      <c r="L978" s="32"/>
      <c r="M978" s="33"/>
      <c r="N978" s="34"/>
      <c r="O978" s="33"/>
      <c r="P978" s="34"/>
      <c r="Q978" s="32"/>
    </row>
    <row r="979" spans="3:17" x14ac:dyDescent="0.25">
      <c r="C979" s="33"/>
      <c r="D979" s="33"/>
      <c r="E979" s="66"/>
      <c r="F979" s="33"/>
      <c r="G979" s="18"/>
      <c r="H979" s="44"/>
      <c r="I979" s="44"/>
      <c r="J979" s="31"/>
      <c r="K979" s="32"/>
      <c r="L979" s="32"/>
      <c r="M979" s="33"/>
      <c r="N979" s="34"/>
      <c r="O979" s="33"/>
      <c r="P979" s="34"/>
      <c r="Q979" s="33"/>
    </row>
    <row r="980" spans="3:17" x14ac:dyDescent="0.25">
      <c r="C980" s="33"/>
      <c r="D980" s="33"/>
      <c r="E980" s="66"/>
      <c r="F980" s="33"/>
      <c r="G980" s="18"/>
      <c r="H980" s="44"/>
      <c r="I980" s="44"/>
      <c r="J980" s="31"/>
      <c r="K980" s="32"/>
      <c r="L980" s="32"/>
      <c r="M980" s="33"/>
      <c r="N980" s="34"/>
      <c r="O980" s="33"/>
      <c r="P980" s="34"/>
      <c r="Q980" s="33"/>
    </row>
    <row r="981" spans="3:17" x14ac:dyDescent="0.25">
      <c r="C981" s="33"/>
      <c r="D981" s="33"/>
      <c r="E981" s="66"/>
      <c r="F981" s="33"/>
      <c r="G981" s="18"/>
      <c r="H981" s="44"/>
      <c r="I981" s="44"/>
      <c r="J981" s="31"/>
      <c r="K981" s="32"/>
      <c r="L981" s="32"/>
      <c r="M981" s="33"/>
      <c r="N981" s="34"/>
      <c r="O981" s="33"/>
      <c r="P981" s="34"/>
      <c r="Q981" s="33"/>
    </row>
    <row r="982" spans="3:17" x14ac:dyDescent="0.25">
      <c r="C982" s="33"/>
      <c r="D982" s="33"/>
      <c r="E982" s="66"/>
      <c r="F982" s="33"/>
      <c r="G982" s="18"/>
      <c r="H982" s="44"/>
      <c r="I982" s="44"/>
      <c r="J982" s="31"/>
      <c r="K982" s="32"/>
      <c r="L982" s="32"/>
      <c r="M982" s="33"/>
      <c r="N982" s="34"/>
      <c r="O982" s="33"/>
      <c r="P982" s="34"/>
      <c r="Q982" s="33"/>
    </row>
    <row r="983" spans="3:17" x14ac:dyDescent="0.25">
      <c r="C983" s="33"/>
      <c r="D983" s="33"/>
      <c r="E983" s="66"/>
      <c r="F983" s="33"/>
      <c r="G983" s="18"/>
      <c r="H983" s="44"/>
      <c r="I983" s="44"/>
      <c r="J983" s="31"/>
      <c r="K983" s="32"/>
      <c r="L983" s="32"/>
      <c r="M983" s="33"/>
      <c r="N983" s="34"/>
      <c r="O983" s="33"/>
      <c r="P983" s="34"/>
      <c r="Q983" s="33"/>
    </row>
    <row r="984" spans="3:17" x14ac:dyDescent="0.25">
      <c r="C984" s="33"/>
      <c r="D984" s="33"/>
      <c r="E984" s="66"/>
      <c r="F984" s="33"/>
      <c r="G984" s="18"/>
      <c r="H984" s="44"/>
      <c r="I984" s="44"/>
      <c r="J984" s="31"/>
      <c r="K984" s="32"/>
      <c r="L984" s="32"/>
      <c r="M984" s="33"/>
      <c r="N984" s="34"/>
      <c r="O984" s="33"/>
      <c r="P984" s="34"/>
      <c r="Q984" s="33"/>
    </row>
    <row r="985" spans="3:17" s="63" customFormat="1" x14ac:dyDescent="0.25">
      <c r="C985" s="33"/>
      <c r="D985" s="33"/>
      <c r="E985" s="66"/>
      <c r="F985" s="33"/>
      <c r="G985" s="18"/>
      <c r="H985" s="44"/>
      <c r="I985" s="44"/>
      <c r="J985" s="31"/>
      <c r="K985" s="32"/>
      <c r="L985" s="32"/>
      <c r="M985" s="33"/>
      <c r="N985" s="34"/>
      <c r="O985" s="33"/>
      <c r="P985" s="34"/>
      <c r="Q985" s="33"/>
    </row>
    <row r="986" spans="3:17" x14ac:dyDescent="0.25">
      <c r="C986" s="33"/>
      <c r="D986" s="33"/>
      <c r="E986" s="66"/>
      <c r="F986" s="33"/>
      <c r="G986" s="18"/>
      <c r="H986" s="44"/>
      <c r="I986" s="44"/>
      <c r="J986" s="31"/>
      <c r="K986" s="32"/>
      <c r="L986" s="32"/>
      <c r="M986" s="33"/>
      <c r="N986" s="34"/>
      <c r="O986" s="33"/>
      <c r="P986" s="34"/>
      <c r="Q986" s="33"/>
    </row>
    <row r="987" spans="3:17" x14ac:dyDescent="0.25">
      <c r="C987" s="33"/>
      <c r="D987" s="33"/>
      <c r="E987" s="66"/>
      <c r="F987" s="33"/>
      <c r="G987" s="18"/>
      <c r="H987" s="44"/>
      <c r="I987" s="44"/>
      <c r="J987" s="31"/>
      <c r="K987" s="32"/>
      <c r="L987" s="32"/>
      <c r="M987" s="33"/>
      <c r="N987" s="34"/>
      <c r="O987" s="33"/>
      <c r="P987" s="34"/>
      <c r="Q987" s="33"/>
    </row>
    <row r="988" spans="3:17" x14ac:dyDescent="0.25">
      <c r="C988" s="33"/>
      <c r="D988" s="33"/>
      <c r="E988" s="66"/>
      <c r="F988" s="33"/>
      <c r="G988" s="18"/>
      <c r="H988" s="44"/>
      <c r="I988" s="44"/>
      <c r="J988" s="31"/>
      <c r="K988" s="32"/>
      <c r="L988" s="32"/>
      <c r="M988" s="33"/>
      <c r="N988" s="34"/>
      <c r="O988" s="33"/>
      <c r="P988" s="34"/>
      <c r="Q988" s="33"/>
    </row>
    <row r="989" spans="3:17" x14ac:dyDescent="0.25">
      <c r="C989" s="33"/>
      <c r="D989" s="33"/>
      <c r="E989" s="66"/>
      <c r="F989" s="33"/>
      <c r="G989" s="18"/>
      <c r="H989" s="44"/>
      <c r="I989" s="44"/>
      <c r="J989" s="31"/>
      <c r="K989" s="32"/>
      <c r="L989" s="32"/>
      <c r="M989" s="33"/>
      <c r="N989" s="34"/>
      <c r="O989" s="33"/>
      <c r="P989" s="34"/>
      <c r="Q989" s="33"/>
    </row>
    <row r="990" spans="3:17" x14ac:dyDescent="0.25">
      <c r="C990" s="33"/>
      <c r="D990" s="33"/>
      <c r="E990" s="66"/>
      <c r="F990" s="33"/>
      <c r="G990" s="18"/>
      <c r="H990" s="44"/>
      <c r="I990" s="44"/>
      <c r="J990" s="31"/>
      <c r="K990" s="32"/>
      <c r="L990" s="32"/>
      <c r="M990" s="33"/>
      <c r="N990" s="34"/>
      <c r="O990" s="33"/>
      <c r="P990" s="34"/>
      <c r="Q990" s="33"/>
    </row>
    <row r="991" spans="3:17" x14ac:dyDescent="0.25">
      <c r="C991" s="33"/>
      <c r="D991" s="33"/>
      <c r="E991" s="66"/>
      <c r="F991" s="33"/>
      <c r="G991" s="18"/>
      <c r="H991" s="44"/>
      <c r="I991" s="44"/>
      <c r="J991" s="31"/>
      <c r="K991" s="32"/>
      <c r="L991" s="32"/>
      <c r="M991" s="33"/>
      <c r="N991" s="34"/>
      <c r="O991" s="33"/>
      <c r="P991" s="34"/>
      <c r="Q991" s="33"/>
    </row>
    <row r="992" spans="3:17" x14ac:dyDescent="0.25">
      <c r="C992" s="33"/>
      <c r="D992" s="33"/>
      <c r="E992" s="66"/>
      <c r="F992" s="33"/>
      <c r="G992" s="18"/>
      <c r="H992" s="44"/>
      <c r="I992" s="44"/>
      <c r="J992" s="31"/>
      <c r="K992" s="32"/>
      <c r="L992" s="32"/>
      <c r="M992" s="33"/>
      <c r="N992" s="34"/>
      <c r="O992" s="33"/>
      <c r="P992" s="34"/>
      <c r="Q992" s="33"/>
    </row>
    <row r="993" spans="3:17" s="23" customFormat="1" x14ac:dyDescent="0.25">
      <c r="C993" s="33"/>
      <c r="D993" s="33"/>
      <c r="E993" s="66"/>
      <c r="F993" s="33"/>
      <c r="G993" s="18"/>
      <c r="H993" s="44"/>
      <c r="I993" s="44"/>
      <c r="J993" s="31"/>
      <c r="K993" s="32"/>
      <c r="L993" s="32"/>
      <c r="M993" s="33"/>
      <c r="N993" s="34"/>
      <c r="O993" s="33"/>
      <c r="P993" s="34"/>
      <c r="Q993" s="33"/>
    </row>
    <row r="994" spans="3:17" x14ac:dyDescent="0.25">
      <c r="C994" s="33"/>
      <c r="D994" s="33"/>
      <c r="E994" s="66"/>
      <c r="F994" s="45"/>
      <c r="G994" s="18"/>
      <c r="H994" s="44"/>
      <c r="I994" s="44"/>
      <c r="J994" s="31"/>
      <c r="K994" s="32"/>
      <c r="L994" s="32"/>
      <c r="M994" s="33"/>
      <c r="N994" s="34"/>
      <c r="O994" s="33"/>
      <c r="P994" s="34"/>
      <c r="Q994" s="33"/>
    </row>
    <row r="995" spans="3:17" s="22" customFormat="1" x14ac:dyDescent="0.25">
      <c r="C995" s="33"/>
      <c r="D995" s="33"/>
      <c r="E995" s="67"/>
      <c r="F995" s="85"/>
      <c r="G995" s="18"/>
      <c r="H995" s="44"/>
      <c r="I995" s="44"/>
      <c r="J995" s="31"/>
      <c r="K995" s="32"/>
      <c r="L995" s="32"/>
      <c r="M995" s="33"/>
      <c r="N995" s="34"/>
      <c r="O995" s="33"/>
      <c r="P995" s="34"/>
      <c r="Q995" s="33"/>
    </row>
    <row r="996" spans="3:17" s="27" customFormat="1" x14ac:dyDescent="0.25">
      <c r="C996" s="45"/>
      <c r="D996" s="45"/>
      <c r="E996" s="86"/>
      <c r="F996" s="33"/>
      <c r="G996" s="18"/>
      <c r="H996" s="64"/>
      <c r="I996" s="64"/>
      <c r="J996" s="65"/>
      <c r="K996" s="60"/>
      <c r="L996" s="60"/>
      <c r="M996" s="45"/>
      <c r="N996" s="34"/>
      <c r="O996" s="33"/>
      <c r="P996" s="34"/>
      <c r="Q996" s="45"/>
    </row>
    <row r="997" spans="3:17" s="29" customFormat="1" x14ac:dyDescent="0.25">
      <c r="C997" s="85"/>
      <c r="D997" s="85"/>
      <c r="E997" s="66"/>
      <c r="F997" s="33"/>
      <c r="G997" s="18"/>
      <c r="H997" s="87"/>
      <c r="I997" s="87"/>
      <c r="J997" s="88"/>
      <c r="K997" s="89"/>
      <c r="L997" s="89"/>
      <c r="M997" s="33"/>
      <c r="N997" s="90"/>
      <c r="O997" s="85"/>
      <c r="P997" s="90"/>
      <c r="Q997" s="85"/>
    </row>
    <row r="998" spans="3:17" x14ac:dyDescent="0.25">
      <c r="C998" s="33"/>
      <c r="D998" s="33"/>
      <c r="E998" s="66"/>
      <c r="F998" s="33"/>
      <c r="G998" s="18"/>
      <c r="H998" s="44"/>
      <c r="I998" s="44"/>
      <c r="J998" s="31"/>
      <c r="K998" s="32"/>
      <c r="L998" s="32"/>
      <c r="M998" s="33"/>
      <c r="N998" s="34"/>
      <c r="O998" s="33"/>
      <c r="P998" s="34"/>
      <c r="Q998" s="66"/>
    </row>
    <row r="999" spans="3:17" x14ac:dyDescent="0.25">
      <c r="C999" s="33"/>
      <c r="D999" s="33"/>
      <c r="E999" s="66"/>
      <c r="F999" s="33"/>
      <c r="G999" s="18"/>
      <c r="H999" s="44"/>
      <c r="I999" s="44"/>
      <c r="J999" s="31"/>
      <c r="K999" s="32"/>
      <c r="L999" s="32"/>
      <c r="M999" s="33"/>
      <c r="N999" s="34"/>
      <c r="O999" s="33"/>
      <c r="P999" s="34"/>
      <c r="Q999" s="33"/>
    </row>
    <row r="1000" spans="3:17" x14ac:dyDescent="0.25">
      <c r="C1000" s="33"/>
      <c r="D1000" s="33"/>
      <c r="E1000" s="66"/>
      <c r="F1000" s="33"/>
      <c r="G1000" s="18"/>
      <c r="H1000" s="44"/>
      <c r="I1000" s="44"/>
      <c r="J1000" s="31"/>
      <c r="K1000" s="32"/>
      <c r="L1000" s="32"/>
      <c r="M1000" s="33"/>
      <c r="N1000" s="34"/>
      <c r="O1000" s="33"/>
      <c r="P1000" s="34"/>
      <c r="Q1000" s="33"/>
    </row>
    <row r="1001" spans="3:17" x14ac:dyDescent="0.25">
      <c r="C1001" s="33"/>
      <c r="D1001" s="33"/>
      <c r="E1001" s="66"/>
      <c r="F1001" s="33"/>
      <c r="G1001" s="18"/>
      <c r="H1001" s="44"/>
      <c r="I1001" s="44"/>
      <c r="J1001" s="31"/>
      <c r="K1001" s="32"/>
      <c r="L1001" s="32"/>
      <c r="M1001" s="33"/>
      <c r="N1001" s="34"/>
      <c r="O1001" s="33"/>
      <c r="P1001" s="34"/>
      <c r="Q1001" s="33"/>
    </row>
    <row r="1002" spans="3:17" x14ac:dyDescent="0.25">
      <c r="C1002" s="33"/>
      <c r="D1002" s="33"/>
      <c r="E1002" s="66"/>
      <c r="F1002" s="45"/>
      <c r="G1002" s="18"/>
      <c r="H1002" s="44"/>
      <c r="I1002" s="44"/>
      <c r="J1002" s="31"/>
      <c r="K1002" s="32"/>
      <c r="L1002" s="32"/>
      <c r="M1002" s="33"/>
      <c r="N1002" s="34"/>
      <c r="O1002" s="33"/>
      <c r="P1002" s="34"/>
      <c r="Q1002" s="33"/>
    </row>
    <row r="1003" spans="3:17" x14ac:dyDescent="0.25">
      <c r="C1003" s="33"/>
      <c r="D1003" s="33"/>
      <c r="E1003" s="67"/>
      <c r="F1003" s="33"/>
      <c r="G1003" s="18"/>
      <c r="H1003" s="44"/>
      <c r="I1003" s="44"/>
      <c r="J1003" s="31"/>
      <c r="K1003" s="32"/>
      <c r="L1003" s="32"/>
      <c r="M1003" s="33"/>
      <c r="N1003" s="34"/>
      <c r="O1003" s="33"/>
      <c r="P1003" s="34"/>
      <c r="Q1003" s="33"/>
    </row>
    <row r="1004" spans="3:17" s="27" customFormat="1" x14ac:dyDescent="0.25">
      <c r="C1004" s="45"/>
      <c r="D1004" s="45"/>
      <c r="E1004" s="33"/>
      <c r="F1004" s="33"/>
      <c r="G1004" s="18"/>
      <c r="H1004" s="64"/>
      <c r="I1004" s="64"/>
      <c r="J1004" s="65"/>
      <c r="K1004" s="60"/>
      <c r="L1004" s="60"/>
      <c r="M1004" s="33"/>
      <c r="N1004" s="34"/>
      <c r="O1004" s="33"/>
      <c r="P1004" s="34"/>
      <c r="Q1004" s="45"/>
    </row>
    <row r="1005" spans="3:17" x14ac:dyDescent="0.25">
      <c r="C1005" s="33"/>
      <c r="D1005" s="33"/>
      <c r="E1005" s="66"/>
      <c r="F1005" s="33"/>
      <c r="G1005" s="18"/>
      <c r="H1005" s="44"/>
      <c r="I1005" s="44"/>
      <c r="J1005" s="31"/>
      <c r="K1005" s="32"/>
      <c r="L1005" s="32"/>
      <c r="M1005" s="33"/>
      <c r="N1005" s="34"/>
      <c r="O1005" s="33"/>
      <c r="P1005" s="34"/>
      <c r="Q1005" s="33"/>
    </row>
    <row r="1006" spans="3:17" x14ac:dyDescent="0.25">
      <c r="C1006" s="33"/>
      <c r="D1006" s="33"/>
      <c r="E1006" s="33"/>
      <c r="F1006" s="33"/>
      <c r="G1006" s="18"/>
      <c r="H1006" s="44"/>
      <c r="I1006" s="44"/>
      <c r="J1006" s="31"/>
      <c r="K1006" s="32"/>
      <c r="L1006" s="32"/>
      <c r="M1006" s="33"/>
      <c r="N1006" s="34"/>
      <c r="O1006" s="33"/>
      <c r="P1006" s="34"/>
      <c r="Q1006" s="33"/>
    </row>
    <row r="1007" spans="3:17" x14ac:dyDescent="0.25">
      <c r="C1007" s="33"/>
      <c r="D1007" s="33"/>
      <c r="E1007" s="66"/>
      <c r="F1007" s="33"/>
      <c r="G1007" s="18"/>
      <c r="H1007" s="44"/>
      <c r="I1007" s="44"/>
      <c r="J1007" s="31"/>
      <c r="K1007" s="32"/>
      <c r="L1007" s="32"/>
      <c r="M1007" s="33"/>
      <c r="N1007" s="34"/>
      <c r="O1007" s="33"/>
      <c r="P1007" s="34"/>
      <c r="Q1007" s="33"/>
    </row>
    <row r="1008" spans="3:17" x14ac:dyDescent="0.25">
      <c r="C1008" s="33"/>
      <c r="D1008" s="33"/>
      <c r="E1008" s="66"/>
      <c r="F1008" s="33"/>
      <c r="G1008" s="18"/>
      <c r="H1008" s="44"/>
      <c r="I1008" s="44"/>
      <c r="J1008" s="31"/>
      <c r="K1008" s="32"/>
      <c r="L1008" s="32"/>
      <c r="M1008" s="33"/>
      <c r="N1008" s="34"/>
      <c r="O1008" s="33"/>
      <c r="P1008" s="34"/>
      <c r="Q1008" s="33"/>
    </row>
    <row r="1009" spans="3:17" x14ac:dyDescent="0.25">
      <c r="C1009" s="33"/>
      <c r="D1009" s="33"/>
      <c r="E1009" s="66"/>
      <c r="F1009" s="33"/>
      <c r="G1009" s="18"/>
      <c r="H1009" s="44"/>
      <c r="I1009" s="44"/>
      <c r="J1009" s="31"/>
      <c r="K1009" s="32"/>
      <c r="L1009" s="32"/>
      <c r="M1009" s="33"/>
      <c r="N1009" s="34"/>
      <c r="O1009" s="33"/>
      <c r="P1009" s="34"/>
      <c r="Q1009" s="33"/>
    </row>
    <row r="1010" spans="3:17" x14ac:dyDescent="0.25">
      <c r="C1010" s="33"/>
      <c r="D1010" s="33"/>
      <c r="E1010" s="66"/>
      <c r="F1010" s="33"/>
      <c r="G1010" s="18"/>
      <c r="H1010" s="44"/>
      <c r="I1010" s="44"/>
      <c r="J1010" s="31"/>
      <c r="K1010" s="32"/>
      <c r="L1010" s="32"/>
      <c r="M1010" s="33"/>
      <c r="N1010" s="34"/>
      <c r="O1010" s="33"/>
      <c r="P1010" s="34"/>
      <c r="Q1010" s="33"/>
    </row>
    <row r="1011" spans="3:17" x14ac:dyDescent="0.25">
      <c r="C1011" s="33"/>
      <c r="D1011" s="33"/>
      <c r="E1011" s="66"/>
      <c r="F1011" s="33"/>
      <c r="G1011" s="18"/>
      <c r="H1011" s="44"/>
      <c r="I1011" s="44"/>
      <c r="J1011" s="31"/>
      <c r="K1011" s="32"/>
      <c r="L1011" s="32"/>
      <c r="M1011" s="33"/>
      <c r="N1011" s="34"/>
      <c r="O1011" s="33"/>
      <c r="P1011" s="34"/>
      <c r="Q1011" s="33"/>
    </row>
    <row r="1012" spans="3:17" x14ac:dyDescent="0.25">
      <c r="C1012" s="33"/>
      <c r="D1012" s="33"/>
      <c r="E1012" s="66"/>
      <c r="F1012" s="33"/>
      <c r="G1012" s="18"/>
      <c r="H1012" s="44"/>
      <c r="I1012" s="44"/>
      <c r="J1012" s="31"/>
      <c r="K1012" s="32"/>
      <c r="L1012" s="32"/>
      <c r="M1012" s="33"/>
      <c r="N1012" s="34"/>
      <c r="O1012" s="33"/>
      <c r="P1012" s="34"/>
      <c r="Q1012" s="33"/>
    </row>
    <row r="1013" spans="3:17" x14ac:dyDescent="0.25">
      <c r="C1013" s="33"/>
      <c r="D1013" s="33"/>
      <c r="E1013" s="66"/>
      <c r="F1013" s="33"/>
      <c r="G1013" s="18"/>
      <c r="H1013" s="44"/>
      <c r="I1013" s="44"/>
      <c r="J1013" s="31"/>
      <c r="K1013" s="32"/>
      <c r="L1013" s="32"/>
      <c r="M1013" s="33"/>
      <c r="N1013" s="34"/>
      <c r="O1013" s="33"/>
      <c r="P1013" s="34"/>
      <c r="Q1013" s="33"/>
    </row>
    <row r="1014" spans="3:17" x14ac:dyDescent="0.25">
      <c r="C1014" s="33"/>
      <c r="D1014" s="33"/>
      <c r="E1014" s="66"/>
      <c r="F1014" s="33"/>
      <c r="G1014" s="18"/>
      <c r="H1014" s="44"/>
      <c r="I1014" s="44"/>
      <c r="J1014" s="31"/>
      <c r="K1014" s="32"/>
      <c r="L1014" s="32"/>
      <c r="M1014" s="33"/>
      <c r="N1014" s="34"/>
      <c r="O1014" s="33"/>
      <c r="P1014" s="34"/>
      <c r="Q1014" s="33"/>
    </row>
    <row r="1015" spans="3:17" x14ac:dyDescent="0.25">
      <c r="C1015" s="33"/>
      <c r="D1015" s="33"/>
      <c r="E1015" s="66"/>
      <c r="F1015" s="33"/>
      <c r="G1015" s="18"/>
      <c r="H1015" s="44"/>
      <c r="I1015" s="44"/>
      <c r="J1015" s="31"/>
      <c r="K1015" s="32"/>
      <c r="L1015" s="32"/>
      <c r="M1015" s="33"/>
      <c r="N1015" s="34"/>
      <c r="O1015" s="33"/>
      <c r="P1015" s="34"/>
      <c r="Q1015" s="33"/>
    </row>
    <row r="1016" spans="3:17" x14ac:dyDescent="0.25">
      <c r="C1016" s="33"/>
      <c r="D1016" s="33"/>
      <c r="E1016" s="66"/>
      <c r="F1016" s="33"/>
      <c r="G1016" s="18"/>
      <c r="H1016" s="44"/>
      <c r="I1016" s="44"/>
      <c r="J1016" s="31"/>
      <c r="K1016" s="32"/>
      <c r="L1016" s="32"/>
      <c r="M1016" s="33"/>
      <c r="N1016" s="34"/>
      <c r="O1016" s="33"/>
      <c r="P1016" s="34"/>
      <c r="Q1016" s="33"/>
    </row>
    <row r="1017" spans="3:17" x14ac:dyDescent="0.25">
      <c r="C1017" s="33"/>
      <c r="D1017" s="33"/>
      <c r="E1017" s="66"/>
      <c r="F1017" s="33"/>
      <c r="G1017" s="18"/>
      <c r="H1017" s="44"/>
      <c r="I1017" s="44"/>
      <c r="J1017" s="31"/>
      <c r="K1017" s="32"/>
      <c r="L1017" s="32"/>
      <c r="M1017" s="33"/>
      <c r="N1017" s="34"/>
      <c r="O1017" s="33"/>
      <c r="P1017" s="34"/>
      <c r="Q1017" s="33"/>
    </row>
    <row r="1018" spans="3:17" x14ac:dyDescent="0.25">
      <c r="C1018" s="33"/>
      <c r="D1018" s="33"/>
      <c r="E1018" s="66"/>
      <c r="F1018" s="33"/>
      <c r="G1018" s="18"/>
      <c r="H1018" s="44"/>
      <c r="I1018" s="44"/>
      <c r="J1018" s="31"/>
      <c r="K1018" s="32"/>
      <c r="L1018" s="32"/>
      <c r="M1018" s="33"/>
      <c r="N1018" s="34"/>
      <c r="O1018" s="33"/>
      <c r="P1018" s="34"/>
      <c r="Q1018" s="33"/>
    </row>
    <row r="1019" spans="3:17" x14ac:dyDescent="0.25">
      <c r="C1019" s="33"/>
      <c r="D1019" s="33"/>
      <c r="E1019" s="33"/>
      <c r="F1019" s="33"/>
      <c r="G1019" s="18"/>
      <c r="H1019" s="44"/>
      <c r="I1019" s="44"/>
      <c r="J1019" s="31"/>
      <c r="K1019" s="32"/>
      <c r="L1019" s="32"/>
      <c r="M1019" s="33"/>
      <c r="N1019" s="34"/>
      <c r="O1019" s="33"/>
      <c r="P1019" s="34"/>
      <c r="Q1019" s="33"/>
    </row>
    <row r="1020" spans="3:17" x14ac:dyDescent="0.25">
      <c r="C1020" s="33"/>
      <c r="D1020" s="33"/>
      <c r="E1020" s="66"/>
      <c r="F1020" s="33"/>
      <c r="G1020" s="18"/>
      <c r="H1020" s="44"/>
      <c r="I1020" s="44"/>
      <c r="J1020" s="31"/>
      <c r="K1020" s="32"/>
      <c r="L1020" s="32"/>
      <c r="M1020" s="33"/>
      <c r="N1020" s="34"/>
      <c r="O1020" s="33"/>
      <c r="P1020" s="34"/>
      <c r="Q1020" s="33"/>
    </row>
    <row r="1021" spans="3:17" x14ac:dyDescent="0.25">
      <c r="C1021" s="33"/>
      <c r="D1021" s="33"/>
      <c r="E1021" s="66"/>
      <c r="F1021" s="33"/>
      <c r="G1021" s="18"/>
      <c r="H1021" s="44"/>
      <c r="I1021" s="44"/>
      <c r="J1021" s="31"/>
      <c r="K1021" s="32"/>
      <c r="L1021" s="32"/>
      <c r="M1021" s="33"/>
      <c r="N1021" s="34"/>
      <c r="O1021" s="33"/>
      <c r="P1021" s="34"/>
      <c r="Q1021" s="33"/>
    </row>
    <row r="1022" spans="3:17" x14ac:dyDescent="0.25">
      <c r="C1022" s="33"/>
      <c r="D1022" s="33"/>
      <c r="E1022" s="66"/>
      <c r="F1022" s="33"/>
      <c r="G1022" s="18"/>
      <c r="H1022" s="44"/>
      <c r="I1022" s="44"/>
      <c r="J1022" s="31"/>
      <c r="K1022" s="32"/>
      <c r="L1022" s="32"/>
      <c r="M1022" s="33"/>
      <c r="N1022" s="34"/>
      <c r="O1022" s="33"/>
      <c r="P1022" s="34"/>
      <c r="Q1022" s="33"/>
    </row>
    <row r="1023" spans="3:17" x14ac:dyDescent="0.25">
      <c r="C1023" s="33"/>
      <c r="D1023" s="33"/>
      <c r="E1023" s="66"/>
      <c r="F1023" s="33"/>
      <c r="G1023" s="18"/>
      <c r="H1023" s="44"/>
      <c r="I1023" s="44"/>
      <c r="J1023" s="31"/>
      <c r="K1023" s="32"/>
      <c r="L1023" s="32"/>
      <c r="M1023" s="33"/>
      <c r="N1023" s="34"/>
      <c r="O1023" s="33"/>
      <c r="P1023" s="34"/>
      <c r="Q1023" s="91"/>
    </row>
    <row r="1024" spans="3:17" x14ac:dyDescent="0.25">
      <c r="C1024" s="33"/>
      <c r="D1024" s="33"/>
      <c r="E1024" s="66"/>
      <c r="F1024" s="33"/>
      <c r="G1024" s="18"/>
      <c r="H1024" s="44"/>
      <c r="I1024" s="44"/>
      <c r="J1024" s="31"/>
      <c r="K1024" s="32"/>
      <c r="L1024" s="32"/>
      <c r="M1024" s="33"/>
      <c r="N1024" s="34"/>
      <c r="O1024" s="33"/>
      <c r="P1024" s="34"/>
      <c r="Q1024" s="33"/>
    </row>
    <row r="1025" spans="3:17" x14ac:dyDescent="0.25">
      <c r="C1025" s="33"/>
      <c r="D1025" s="33"/>
      <c r="E1025" s="66"/>
      <c r="F1025" s="33"/>
      <c r="G1025" s="18"/>
      <c r="H1025" s="44"/>
      <c r="I1025" s="44"/>
      <c r="J1025" s="31"/>
      <c r="K1025" s="32"/>
      <c r="L1025" s="32"/>
      <c r="M1025" s="33"/>
      <c r="N1025" s="34"/>
      <c r="O1025" s="33"/>
      <c r="P1025" s="34"/>
      <c r="Q1025" s="33"/>
    </row>
    <row r="1026" spans="3:17" x14ac:dyDescent="0.25">
      <c r="C1026" s="33"/>
      <c r="D1026" s="33"/>
      <c r="E1026" s="66"/>
      <c r="F1026" s="33"/>
      <c r="G1026" s="18"/>
      <c r="H1026" s="44"/>
      <c r="I1026" s="44"/>
      <c r="J1026" s="31"/>
      <c r="K1026" s="32"/>
      <c r="L1026" s="32"/>
      <c r="M1026" s="33"/>
      <c r="N1026" s="34"/>
      <c r="O1026" s="33"/>
      <c r="P1026" s="34"/>
      <c r="Q1026" s="33"/>
    </row>
    <row r="1027" spans="3:17" x14ac:dyDescent="0.25">
      <c r="C1027" s="33"/>
      <c r="D1027" s="33"/>
      <c r="E1027" s="66"/>
      <c r="F1027" s="33"/>
      <c r="G1027" s="18"/>
      <c r="H1027" s="44"/>
      <c r="I1027" s="44"/>
      <c r="J1027" s="31"/>
      <c r="K1027" s="32"/>
      <c r="L1027" s="32"/>
      <c r="M1027" s="33"/>
      <c r="N1027" s="34"/>
      <c r="O1027" s="33"/>
      <c r="P1027" s="34"/>
      <c r="Q1027" s="33"/>
    </row>
    <row r="1028" spans="3:17" x14ac:dyDescent="0.25">
      <c r="C1028" s="33"/>
      <c r="D1028" s="33"/>
      <c r="E1028" s="66"/>
      <c r="F1028" s="33"/>
      <c r="G1028" s="18"/>
      <c r="H1028" s="44"/>
      <c r="I1028" s="44"/>
      <c r="J1028" s="31"/>
      <c r="K1028" s="32"/>
      <c r="L1028" s="32"/>
      <c r="M1028" s="33"/>
      <c r="N1028" s="34"/>
      <c r="O1028" s="33"/>
      <c r="P1028" s="34"/>
      <c r="Q1028" s="33"/>
    </row>
    <row r="1029" spans="3:17" x14ac:dyDescent="0.25">
      <c r="C1029" s="33"/>
      <c r="D1029" s="33"/>
      <c r="E1029" s="66"/>
      <c r="F1029" s="33"/>
      <c r="G1029" s="18"/>
      <c r="H1029" s="44"/>
      <c r="I1029" s="44"/>
      <c r="J1029" s="31"/>
      <c r="K1029" s="32"/>
      <c r="L1029" s="32"/>
      <c r="M1029" s="33"/>
      <c r="N1029" s="34"/>
      <c r="O1029" s="33"/>
      <c r="P1029" s="34"/>
      <c r="Q1029" s="33"/>
    </row>
    <row r="1030" spans="3:17" x14ac:dyDescent="0.25">
      <c r="C1030" s="33"/>
      <c r="D1030" s="33"/>
      <c r="E1030" s="66"/>
      <c r="F1030" s="33"/>
      <c r="G1030" s="18"/>
      <c r="H1030" s="44"/>
      <c r="I1030" s="44"/>
      <c r="J1030" s="31"/>
      <c r="K1030" s="32"/>
      <c r="L1030" s="32"/>
      <c r="M1030" s="33"/>
      <c r="N1030" s="34"/>
      <c r="O1030" s="33"/>
      <c r="P1030" s="34"/>
      <c r="Q1030" s="33"/>
    </row>
    <row r="1031" spans="3:17" x14ac:dyDescent="0.25">
      <c r="C1031" s="33"/>
      <c r="D1031" s="33"/>
      <c r="E1031" s="66"/>
      <c r="F1031" s="33"/>
      <c r="G1031" s="18"/>
      <c r="H1031" s="44"/>
      <c r="I1031" s="44"/>
      <c r="J1031" s="31"/>
      <c r="K1031" s="32"/>
      <c r="L1031" s="32"/>
      <c r="M1031" s="33"/>
      <c r="N1031" s="34"/>
      <c r="O1031" s="33"/>
      <c r="P1031" s="34"/>
      <c r="Q1031" s="33"/>
    </row>
    <row r="1032" spans="3:17" x14ac:dyDescent="0.25">
      <c r="C1032" s="33"/>
      <c r="D1032" s="33"/>
      <c r="E1032" s="66"/>
      <c r="F1032" s="33"/>
      <c r="G1032" s="18"/>
      <c r="H1032" s="44"/>
      <c r="I1032" s="44"/>
      <c r="J1032" s="31"/>
      <c r="K1032" s="32"/>
      <c r="L1032" s="32"/>
      <c r="M1032" s="33"/>
      <c r="N1032" s="34"/>
      <c r="O1032" s="33"/>
      <c r="P1032" s="34"/>
      <c r="Q1032" s="33"/>
    </row>
    <row r="1033" spans="3:17" x14ac:dyDescent="0.25">
      <c r="C1033" s="33"/>
      <c r="D1033" s="33"/>
      <c r="E1033" s="66"/>
      <c r="F1033" s="33"/>
      <c r="G1033" s="18"/>
      <c r="H1033" s="44"/>
      <c r="I1033" s="44"/>
      <c r="J1033" s="31"/>
      <c r="K1033" s="32"/>
      <c r="L1033" s="32"/>
      <c r="M1033" s="33"/>
      <c r="N1033" s="34"/>
      <c r="O1033" s="33"/>
      <c r="P1033" s="34"/>
      <c r="Q1033" s="33"/>
    </row>
    <row r="1034" spans="3:17" x14ac:dyDescent="0.25">
      <c r="C1034" s="33"/>
      <c r="D1034" s="33"/>
      <c r="E1034" s="66"/>
      <c r="F1034" s="33"/>
      <c r="G1034" s="18"/>
      <c r="H1034" s="44"/>
      <c r="I1034" s="44"/>
      <c r="J1034" s="31"/>
      <c r="K1034" s="32"/>
      <c r="L1034" s="32"/>
      <c r="M1034" s="33"/>
      <c r="N1034" s="34"/>
      <c r="O1034" s="33"/>
      <c r="P1034" s="34"/>
      <c r="Q1034" s="33"/>
    </row>
    <row r="1035" spans="3:17" x14ac:dyDescent="0.25">
      <c r="C1035" s="33"/>
      <c r="D1035" s="33"/>
      <c r="E1035" s="66"/>
      <c r="F1035" s="33"/>
      <c r="G1035" s="18"/>
      <c r="H1035" s="44"/>
      <c r="I1035" s="44"/>
      <c r="J1035" s="31"/>
      <c r="K1035" s="32"/>
      <c r="L1035" s="32"/>
      <c r="M1035" s="33"/>
      <c r="N1035" s="34"/>
      <c r="O1035" s="33"/>
      <c r="P1035" s="34"/>
      <c r="Q1035" s="33"/>
    </row>
    <row r="1036" spans="3:17" x14ac:dyDescent="0.25">
      <c r="C1036" s="33"/>
      <c r="D1036" s="33"/>
      <c r="E1036" s="66"/>
      <c r="F1036" s="33"/>
      <c r="G1036" s="18"/>
      <c r="H1036" s="44"/>
      <c r="I1036" s="44"/>
      <c r="J1036" s="31"/>
      <c r="K1036" s="32"/>
      <c r="L1036" s="32"/>
      <c r="M1036" s="33"/>
      <c r="N1036" s="34"/>
      <c r="O1036" s="33"/>
      <c r="P1036" s="34"/>
      <c r="Q1036" s="33"/>
    </row>
    <row r="1037" spans="3:17" x14ac:dyDescent="0.25">
      <c r="C1037" s="33"/>
      <c r="D1037" s="33"/>
      <c r="E1037" s="66"/>
      <c r="F1037" s="33"/>
      <c r="G1037" s="18"/>
      <c r="H1037" s="44"/>
      <c r="I1037" s="44"/>
      <c r="J1037" s="31"/>
      <c r="K1037" s="32"/>
      <c r="L1037" s="32"/>
      <c r="M1037" s="33"/>
      <c r="N1037" s="34"/>
      <c r="O1037" s="33"/>
      <c r="P1037" s="34"/>
      <c r="Q1037" s="33"/>
    </row>
    <row r="1038" spans="3:17" x14ac:dyDescent="0.25">
      <c r="C1038" s="33"/>
      <c r="D1038" s="33"/>
      <c r="E1038" s="66"/>
      <c r="F1038" s="33"/>
      <c r="G1038" s="18"/>
      <c r="H1038" s="44"/>
      <c r="I1038" s="44"/>
      <c r="J1038" s="31"/>
      <c r="K1038" s="32"/>
      <c r="L1038" s="32"/>
      <c r="M1038" s="33"/>
      <c r="N1038" s="34"/>
      <c r="O1038" s="33"/>
      <c r="P1038" s="34"/>
      <c r="Q1038" s="33"/>
    </row>
    <row r="1039" spans="3:17" x14ac:dyDescent="0.25">
      <c r="C1039" s="33"/>
      <c r="D1039" s="33"/>
      <c r="E1039" s="66"/>
      <c r="F1039" s="33"/>
      <c r="G1039" s="18"/>
      <c r="H1039" s="44"/>
      <c r="I1039" s="44"/>
      <c r="J1039" s="31"/>
      <c r="K1039" s="32"/>
      <c r="L1039" s="32"/>
      <c r="M1039" s="33"/>
      <c r="N1039" s="34"/>
      <c r="O1039" s="33"/>
      <c r="P1039" s="34"/>
      <c r="Q1039" s="33"/>
    </row>
    <row r="1040" spans="3:17" x14ac:dyDescent="0.25">
      <c r="C1040" s="33"/>
      <c r="D1040" s="33"/>
      <c r="E1040" s="66"/>
      <c r="F1040" s="33"/>
      <c r="G1040" s="18"/>
      <c r="H1040" s="44"/>
      <c r="I1040" s="44"/>
      <c r="J1040" s="31"/>
      <c r="K1040" s="32"/>
      <c r="L1040" s="32"/>
      <c r="M1040" s="33"/>
      <c r="N1040" s="34"/>
      <c r="O1040" s="33"/>
      <c r="P1040" s="34"/>
      <c r="Q1040" s="33"/>
    </row>
    <row r="1041" spans="3:17" x14ac:dyDescent="0.25">
      <c r="C1041" s="33"/>
      <c r="D1041" s="33"/>
      <c r="E1041" s="66"/>
      <c r="F1041" s="33"/>
      <c r="G1041" s="18"/>
      <c r="H1041" s="44"/>
      <c r="I1041" s="44"/>
      <c r="J1041" s="31"/>
      <c r="K1041" s="32"/>
      <c r="L1041" s="32"/>
      <c r="M1041" s="33"/>
      <c r="N1041" s="34"/>
      <c r="O1041" s="33"/>
      <c r="P1041" s="34"/>
      <c r="Q1041" s="33"/>
    </row>
    <row r="1042" spans="3:17" x14ac:dyDescent="0.25">
      <c r="C1042" s="33"/>
      <c r="D1042" s="33"/>
      <c r="E1042" s="66"/>
      <c r="F1042" s="33"/>
      <c r="G1042" s="18"/>
      <c r="H1042" s="44"/>
      <c r="I1042" s="44"/>
      <c r="J1042" s="31"/>
      <c r="K1042" s="32"/>
      <c r="L1042" s="32"/>
      <c r="M1042" s="33"/>
      <c r="N1042" s="34"/>
      <c r="O1042" s="33"/>
      <c r="P1042" s="34"/>
      <c r="Q1042" s="33"/>
    </row>
    <row r="1043" spans="3:17" x14ac:dyDescent="0.25">
      <c r="C1043" s="33"/>
      <c r="D1043" s="33"/>
      <c r="E1043" s="66"/>
      <c r="F1043" s="33"/>
      <c r="G1043" s="18"/>
      <c r="H1043" s="44"/>
      <c r="I1043" s="44"/>
      <c r="J1043" s="31"/>
      <c r="K1043" s="32"/>
      <c r="L1043" s="32"/>
      <c r="M1043" s="33"/>
      <c r="N1043" s="34"/>
      <c r="O1043" s="33"/>
      <c r="P1043" s="34"/>
      <c r="Q1043" s="33"/>
    </row>
    <row r="1044" spans="3:17" x14ac:dyDescent="0.25">
      <c r="C1044" s="33"/>
      <c r="D1044" s="33"/>
      <c r="E1044" s="66"/>
      <c r="F1044" s="33"/>
      <c r="G1044" s="18"/>
      <c r="H1044" s="44"/>
      <c r="I1044" s="44"/>
      <c r="J1044" s="31"/>
      <c r="K1044" s="32"/>
      <c r="L1044" s="32"/>
      <c r="M1044" s="33"/>
      <c r="N1044" s="34"/>
      <c r="O1044" s="33"/>
      <c r="P1044" s="34"/>
      <c r="Q1044" s="33"/>
    </row>
    <row r="1045" spans="3:17" x14ac:dyDescent="0.25">
      <c r="C1045" s="33"/>
      <c r="D1045" s="33"/>
      <c r="E1045" s="66"/>
      <c r="F1045" s="33"/>
      <c r="G1045" s="18"/>
      <c r="H1045" s="44"/>
      <c r="I1045" s="44"/>
      <c r="J1045" s="31"/>
      <c r="K1045" s="32"/>
      <c r="L1045" s="32"/>
      <c r="M1045" s="33"/>
      <c r="N1045" s="34"/>
      <c r="O1045" s="33"/>
      <c r="P1045" s="34"/>
      <c r="Q1045" s="33"/>
    </row>
    <row r="1046" spans="3:17" x14ac:dyDescent="0.25">
      <c r="C1046" s="33"/>
      <c r="D1046" s="33"/>
      <c r="E1046" s="66"/>
      <c r="F1046" s="33"/>
      <c r="G1046" s="18"/>
      <c r="H1046" s="44"/>
      <c r="I1046" s="44"/>
      <c r="J1046" s="31"/>
      <c r="K1046" s="32"/>
      <c r="L1046" s="32"/>
      <c r="M1046" s="33"/>
      <c r="N1046" s="34"/>
      <c r="O1046" s="33"/>
      <c r="P1046" s="34"/>
      <c r="Q1046" s="33"/>
    </row>
    <row r="1047" spans="3:17" x14ac:dyDescent="0.25">
      <c r="C1047" s="33"/>
      <c r="D1047" s="33"/>
      <c r="E1047" s="66"/>
      <c r="F1047" s="33"/>
      <c r="G1047" s="18"/>
      <c r="H1047" s="44"/>
      <c r="I1047" s="44"/>
      <c r="J1047" s="31"/>
      <c r="K1047" s="32"/>
      <c r="L1047" s="32"/>
      <c r="M1047" s="33"/>
      <c r="N1047" s="34"/>
      <c r="O1047" s="33"/>
      <c r="P1047" s="34"/>
      <c r="Q1047" s="33"/>
    </row>
    <row r="1048" spans="3:17" x14ac:dyDescent="0.25">
      <c r="C1048" s="33"/>
      <c r="D1048" s="33"/>
      <c r="E1048" s="66"/>
      <c r="F1048" s="33"/>
      <c r="G1048" s="18"/>
      <c r="H1048" s="44"/>
      <c r="I1048" s="44"/>
      <c r="J1048" s="31"/>
      <c r="K1048" s="32"/>
      <c r="L1048" s="32"/>
      <c r="M1048" s="33"/>
      <c r="N1048" s="34"/>
      <c r="O1048" s="33"/>
      <c r="P1048" s="34"/>
      <c r="Q1048" s="33"/>
    </row>
    <row r="1049" spans="3:17" x14ac:dyDescent="0.25">
      <c r="C1049" s="33"/>
      <c r="D1049" s="33"/>
      <c r="E1049" s="66"/>
      <c r="F1049" s="33"/>
      <c r="G1049" s="18"/>
      <c r="H1049" s="44"/>
      <c r="I1049" s="44"/>
      <c r="J1049" s="31"/>
      <c r="K1049" s="32"/>
      <c r="L1049" s="32"/>
      <c r="M1049" s="33"/>
      <c r="N1049" s="34"/>
      <c r="O1049" s="33"/>
      <c r="P1049" s="34"/>
      <c r="Q1049" s="33"/>
    </row>
    <row r="1050" spans="3:17" x14ac:dyDescent="0.25">
      <c r="C1050" s="33"/>
      <c r="D1050" s="33"/>
      <c r="E1050" s="66"/>
      <c r="F1050" s="33"/>
      <c r="G1050" s="18"/>
      <c r="H1050" s="44"/>
      <c r="I1050" s="44"/>
      <c r="J1050" s="31"/>
      <c r="K1050" s="32"/>
      <c r="L1050" s="32"/>
      <c r="M1050" s="33"/>
      <c r="N1050" s="34"/>
      <c r="O1050" s="33"/>
      <c r="P1050" s="34"/>
      <c r="Q1050" s="33"/>
    </row>
    <row r="1051" spans="3:17" x14ac:dyDescent="0.25">
      <c r="C1051" s="33"/>
      <c r="D1051" s="33"/>
      <c r="E1051" s="66"/>
      <c r="F1051" s="33"/>
      <c r="G1051" s="18"/>
      <c r="H1051" s="44"/>
      <c r="I1051" s="44"/>
      <c r="J1051" s="31"/>
      <c r="K1051" s="32"/>
      <c r="L1051" s="32"/>
      <c r="M1051" s="33"/>
      <c r="N1051" s="34"/>
      <c r="O1051" s="33"/>
      <c r="P1051" s="34"/>
      <c r="Q1051" s="33"/>
    </row>
    <row r="1052" spans="3:17" x14ac:dyDescent="0.25">
      <c r="C1052" s="33"/>
      <c r="D1052" s="33"/>
      <c r="E1052" s="66"/>
      <c r="F1052" s="33"/>
      <c r="G1052" s="18"/>
      <c r="H1052" s="44"/>
      <c r="I1052" s="44"/>
      <c r="J1052" s="31"/>
      <c r="K1052" s="32"/>
      <c r="L1052" s="32"/>
      <c r="M1052" s="33"/>
      <c r="N1052" s="34"/>
      <c r="O1052" s="33"/>
      <c r="P1052" s="34"/>
      <c r="Q1052" s="33"/>
    </row>
    <row r="1053" spans="3:17" x14ac:dyDescent="0.25">
      <c r="C1053" s="33"/>
      <c r="D1053" s="33"/>
      <c r="E1053" s="66"/>
      <c r="F1053" s="33"/>
      <c r="G1053" s="18"/>
      <c r="H1053" s="44"/>
      <c r="I1053" s="44"/>
      <c r="J1053" s="31"/>
      <c r="K1053" s="32"/>
      <c r="L1053" s="32"/>
      <c r="M1053" s="33"/>
      <c r="N1053" s="34"/>
      <c r="O1053" s="33"/>
      <c r="P1053" s="34"/>
      <c r="Q1053" s="33"/>
    </row>
    <row r="1054" spans="3:17" x14ac:dyDescent="0.25">
      <c r="C1054" s="33"/>
      <c r="D1054" s="33"/>
      <c r="E1054" s="33"/>
      <c r="F1054" s="91"/>
      <c r="G1054" s="18"/>
      <c r="H1054" s="44"/>
      <c r="I1054" s="44"/>
      <c r="J1054" s="31"/>
      <c r="K1054" s="32"/>
      <c r="L1054" s="32"/>
      <c r="M1054" s="33"/>
      <c r="N1054" s="34"/>
      <c r="O1054" s="33"/>
      <c r="P1054" s="34"/>
      <c r="Q1054" s="33"/>
    </row>
    <row r="1055" spans="3:17" x14ac:dyDescent="0.25">
      <c r="C1055" s="33"/>
      <c r="D1055" s="33"/>
      <c r="E1055" s="92"/>
      <c r="F1055" s="33"/>
      <c r="G1055" s="18"/>
      <c r="H1055" s="44"/>
      <c r="I1055" s="44"/>
      <c r="J1055" s="31"/>
      <c r="K1055" s="32"/>
      <c r="L1055" s="32"/>
      <c r="M1055" s="33"/>
      <c r="N1055" s="34"/>
      <c r="O1055" s="33"/>
      <c r="P1055" s="34"/>
      <c r="Q1055" s="33"/>
    </row>
    <row r="1056" spans="3:17" x14ac:dyDescent="0.25">
      <c r="C1056" s="91"/>
      <c r="D1056" s="91"/>
      <c r="E1056" s="66"/>
      <c r="F1056" s="33"/>
      <c r="G1056" s="93"/>
      <c r="H1056" s="94"/>
      <c r="I1056" s="94"/>
      <c r="J1056" s="31"/>
      <c r="K1056" s="32"/>
      <c r="L1056" s="32"/>
      <c r="M1056" s="22"/>
      <c r="N1056" s="34"/>
      <c r="O1056" s="33"/>
      <c r="P1056" s="34"/>
      <c r="Q1056" s="91"/>
    </row>
    <row r="1057" spans="3:17" x14ac:dyDescent="0.25">
      <c r="C1057" s="33"/>
      <c r="D1057" s="33"/>
      <c r="E1057" s="66"/>
      <c r="F1057" s="33"/>
      <c r="G1057" s="18"/>
      <c r="H1057" s="44"/>
      <c r="I1057" s="44"/>
      <c r="J1057" s="31"/>
      <c r="K1057" s="32"/>
      <c r="L1057" s="32"/>
      <c r="M1057" s="22"/>
      <c r="N1057" s="34"/>
      <c r="O1057" s="33"/>
      <c r="P1057" s="34"/>
      <c r="Q1057" s="33"/>
    </row>
    <row r="1058" spans="3:17" x14ac:dyDescent="0.25">
      <c r="C1058" s="33"/>
      <c r="D1058" s="33"/>
      <c r="E1058" s="66"/>
      <c r="F1058" s="33"/>
      <c r="G1058" s="18"/>
      <c r="H1058" s="44"/>
      <c r="I1058" s="44"/>
      <c r="J1058" s="31"/>
      <c r="K1058" s="32"/>
      <c r="L1058" s="32"/>
      <c r="M1058" s="22"/>
      <c r="N1058" s="34"/>
      <c r="O1058" s="33"/>
      <c r="P1058" s="34"/>
      <c r="Q1058" s="33"/>
    </row>
    <row r="1059" spans="3:17" x14ac:dyDescent="0.25">
      <c r="C1059" s="33"/>
      <c r="D1059" s="33"/>
      <c r="E1059" s="66"/>
      <c r="F1059" s="33"/>
      <c r="G1059" s="18"/>
      <c r="H1059" s="44"/>
      <c r="I1059" s="44"/>
      <c r="J1059" s="31"/>
      <c r="K1059" s="32"/>
      <c r="L1059" s="32"/>
      <c r="M1059" s="22"/>
      <c r="N1059" s="34"/>
      <c r="O1059" s="33"/>
      <c r="P1059" s="34"/>
      <c r="Q1059" s="33"/>
    </row>
    <row r="1060" spans="3:17" x14ac:dyDescent="0.25">
      <c r="C1060" s="33"/>
      <c r="D1060" s="33"/>
      <c r="E1060" s="66"/>
      <c r="F1060" s="33"/>
      <c r="G1060" s="18"/>
      <c r="H1060" s="44"/>
      <c r="I1060" s="44"/>
      <c r="J1060" s="31"/>
      <c r="K1060" s="32"/>
      <c r="L1060" s="32"/>
      <c r="M1060" s="22"/>
      <c r="N1060" s="34"/>
      <c r="O1060" s="33"/>
      <c r="P1060" s="34"/>
      <c r="Q1060" s="33"/>
    </row>
    <row r="1061" spans="3:17" x14ac:dyDescent="0.25">
      <c r="C1061" s="33"/>
      <c r="D1061" s="33"/>
      <c r="E1061" s="66"/>
      <c r="F1061" s="33"/>
      <c r="G1061" s="18"/>
      <c r="H1061" s="44"/>
      <c r="I1061" s="44"/>
      <c r="J1061" s="31"/>
      <c r="K1061" s="32"/>
      <c r="L1061" s="32"/>
      <c r="M1061" s="22"/>
      <c r="N1061" s="34"/>
      <c r="O1061" s="33"/>
      <c r="P1061" s="34"/>
      <c r="Q1061" s="33"/>
    </row>
    <row r="1062" spans="3:17" x14ac:dyDescent="0.25">
      <c r="C1062" s="33"/>
      <c r="D1062" s="33"/>
      <c r="E1062" s="66"/>
      <c r="F1062" s="33"/>
      <c r="G1062" s="18"/>
      <c r="H1062" s="44"/>
      <c r="I1062" s="44"/>
      <c r="J1062" s="31"/>
      <c r="K1062" s="32"/>
      <c r="L1062" s="32"/>
      <c r="M1062" s="22"/>
      <c r="N1062" s="34"/>
      <c r="O1062" s="33"/>
      <c r="P1062" s="34"/>
      <c r="Q1062" s="33"/>
    </row>
    <row r="1063" spans="3:17" x14ac:dyDescent="0.25">
      <c r="C1063" s="33"/>
      <c r="D1063" s="33"/>
      <c r="E1063" s="66"/>
      <c r="F1063" s="33"/>
      <c r="G1063" s="18"/>
      <c r="H1063" s="44"/>
      <c r="I1063" s="44"/>
      <c r="J1063" s="31"/>
      <c r="K1063" s="32"/>
      <c r="L1063" s="32"/>
      <c r="M1063" s="22"/>
      <c r="N1063" s="34"/>
      <c r="O1063" s="33"/>
      <c r="P1063" s="34"/>
      <c r="Q1063" s="33"/>
    </row>
    <row r="1064" spans="3:17" x14ac:dyDescent="0.25">
      <c r="C1064" s="33"/>
      <c r="D1064" s="33"/>
      <c r="E1064" s="66"/>
      <c r="F1064" s="33"/>
      <c r="G1064" s="18"/>
      <c r="H1064" s="44"/>
      <c r="I1064" s="44"/>
      <c r="J1064" s="31"/>
      <c r="K1064" s="32"/>
      <c r="L1064" s="32"/>
      <c r="M1064" s="22"/>
      <c r="N1064" s="34"/>
      <c r="O1064" s="33"/>
      <c r="P1064" s="34"/>
      <c r="Q1064" s="33"/>
    </row>
    <row r="1065" spans="3:17" x14ac:dyDescent="0.25">
      <c r="C1065" s="33"/>
      <c r="D1065" s="33"/>
      <c r="E1065" s="66"/>
      <c r="F1065" s="33"/>
      <c r="G1065" s="18"/>
      <c r="H1065" s="44"/>
      <c r="I1065" s="44"/>
      <c r="J1065" s="31"/>
      <c r="K1065" s="32"/>
      <c r="L1065" s="32"/>
      <c r="M1065" s="22"/>
      <c r="N1065" s="34"/>
      <c r="O1065" s="33"/>
      <c r="P1065" s="34"/>
      <c r="Q1065" s="33"/>
    </row>
    <row r="1066" spans="3:17" x14ac:dyDescent="0.25">
      <c r="C1066" s="33"/>
      <c r="D1066" s="33"/>
      <c r="E1066" s="66"/>
      <c r="F1066" s="33"/>
      <c r="G1066" s="18"/>
      <c r="H1066" s="44"/>
      <c r="I1066" s="44"/>
      <c r="J1066" s="31"/>
      <c r="K1066" s="32"/>
      <c r="L1066" s="32"/>
      <c r="M1066" s="22"/>
      <c r="N1066" s="34"/>
      <c r="O1066" s="33"/>
      <c r="P1066" s="34"/>
      <c r="Q1066" s="33"/>
    </row>
    <row r="1067" spans="3:17" x14ac:dyDescent="0.25">
      <c r="C1067" s="33"/>
      <c r="D1067" s="33"/>
      <c r="E1067" s="66"/>
      <c r="F1067" s="33"/>
      <c r="G1067" s="18"/>
      <c r="H1067" s="44"/>
      <c r="I1067" s="44"/>
      <c r="J1067" s="31"/>
      <c r="K1067" s="32"/>
      <c r="L1067" s="32"/>
      <c r="M1067" s="22"/>
      <c r="N1067" s="34"/>
      <c r="O1067" s="33"/>
      <c r="P1067" s="34"/>
      <c r="Q1067" s="33"/>
    </row>
    <row r="1068" spans="3:17" x14ac:dyDescent="0.25">
      <c r="C1068" s="33"/>
      <c r="D1068" s="33"/>
      <c r="E1068" s="66"/>
      <c r="F1068" s="33"/>
      <c r="G1068" s="18"/>
      <c r="H1068" s="44"/>
      <c r="I1068" s="44"/>
      <c r="J1068" s="31"/>
      <c r="K1068" s="32"/>
      <c r="L1068" s="32"/>
      <c r="M1068" s="22"/>
      <c r="N1068" s="34"/>
      <c r="O1068" s="33"/>
      <c r="P1068" s="34"/>
      <c r="Q1068" s="33"/>
    </row>
    <row r="1069" spans="3:17" x14ac:dyDescent="0.25">
      <c r="C1069" s="33"/>
      <c r="D1069" s="33"/>
      <c r="E1069" s="66"/>
      <c r="F1069" s="33"/>
      <c r="G1069" s="18"/>
      <c r="H1069" s="44"/>
      <c r="I1069" s="44"/>
      <c r="J1069" s="31"/>
      <c r="K1069" s="32"/>
      <c r="L1069" s="32"/>
      <c r="M1069" s="22"/>
      <c r="N1069" s="34"/>
      <c r="O1069" s="33"/>
      <c r="P1069" s="34"/>
      <c r="Q1069" s="33"/>
    </row>
    <row r="1070" spans="3:17" x14ac:dyDescent="0.25">
      <c r="C1070" s="33"/>
      <c r="D1070" s="33"/>
      <c r="E1070" s="66"/>
      <c r="F1070" s="33"/>
      <c r="G1070" s="18"/>
      <c r="H1070" s="44"/>
      <c r="I1070" s="44"/>
      <c r="J1070" s="31"/>
      <c r="K1070" s="32"/>
      <c r="L1070" s="32"/>
      <c r="M1070" s="22"/>
      <c r="N1070" s="34"/>
      <c r="O1070" s="33"/>
      <c r="P1070" s="34"/>
      <c r="Q1070" s="33"/>
    </row>
    <row r="1071" spans="3:17" x14ac:dyDescent="0.25">
      <c r="C1071" s="33"/>
      <c r="D1071" s="33"/>
      <c r="E1071" s="33"/>
      <c r="F1071" s="33"/>
      <c r="G1071" s="18"/>
      <c r="H1071" s="44"/>
      <c r="I1071" s="44"/>
      <c r="J1071" s="31"/>
      <c r="K1071" s="32"/>
      <c r="L1071" s="32"/>
      <c r="M1071" s="22"/>
      <c r="N1071" s="34"/>
      <c r="O1071" s="33"/>
      <c r="P1071" s="34"/>
      <c r="Q1071" s="33"/>
    </row>
    <row r="1072" spans="3:17" x14ac:dyDescent="0.25">
      <c r="C1072" s="33"/>
      <c r="D1072" s="33"/>
      <c r="E1072" s="33"/>
      <c r="F1072" s="33"/>
      <c r="G1072" s="18"/>
      <c r="H1072" s="44"/>
      <c r="I1072" s="44"/>
      <c r="J1072" s="31"/>
      <c r="K1072" s="32"/>
      <c r="L1072" s="32"/>
      <c r="M1072" s="22"/>
      <c r="N1072" s="34"/>
      <c r="O1072" s="33"/>
      <c r="P1072" s="34"/>
      <c r="Q1072" s="33"/>
    </row>
    <row r="1073" spans="3:17" x14ac:dyDescent="0.25">
      <c r="C1073" s="33"/>
      <c r="D1073" s="33"/>
      <c r="E1073" s="33"/>
      <c r="F1073" s="33"/>
      <c r="G1073" s="18"/>
      <c r="H1073" s="44"/>
      <c r="I1073" s="44"/>
      <c r="J1073" s="31"/>
      <c r="K1073" s="32"/>
      <c r="L1073" s="32"/>
      <c r="M1073" s="22"/>
      <c r="N1073" s="34"/>
      <c r="O1073" s="33"/>
      <c r="P1073" s="34"/>
      <c r="Q1073" s="33"/>
    </row>
    <row r="1074" spans="3:17" x14ac:dyDescent="0.25">
      <c r="C1074" s="33"/>
      <c r="D1074" s="33"/>
      <c r="E1074" s="66"/>
      <c r="F1074" s="33"/>
      <c r="G1074" s="18"/>
      <c r="H1074" s="44"/>
      <c r="I1074" s="44"/>
      <c r="J1074" s="31"/>
      <c r="K1074" s="32"/>
      <c r="L1074" s="32"/>
      <c r="M1074" s="22"/>
      <c r="N1074" s="34"/>
      <c r="O1074" s="33"/>
      <c r="P1074" s="34"/>
      <c r="Q1074" s="33"/>
    </row>
    <row r="1075" spans="3:17" x14ac:dyDescent="0.25">
      <c r="C1075" s="33"/>
      <c r="D1075" s="33"/>
      <c r="E1075" s="66"/>
      <c r="F1075" s="33"/>
      <c r="G1075" s="18"/>
      <c r="H1075" s="44"/>
      <c r="I1075" s="44"/>
      <c r="J1075" s="31"/>
      <c r="K1075" s="32"/>
      <c r="L1075" s="32"/>
      <c r="M1075" s="22"/>
      <c r="N1075" s="34"/>
      <c r="O1075" s="33"/>
      <c r="P1075" s="34"/>
      <c r="Q1075" s="33"/>
    </row>
    <row r="1076" spans="3:17" x14ac:dyDescent="0.25">
      <c r="C1076" s="33"/>
      <c r="D1076" s="33"/>
      <c r="E1076" s="66"/>
      <c r="F1076" s="33"/>
      <c r="G1076" s="18"/>
      <c r="H1076" s="44"/>
      <c r="I1076" s="44"/>
      <c r="J1076" s="31"/>
      <c r="K1076" s="32"/>
      <c r="L1076" s="32"/>
      <c r="M1076" s="22"/>
      <c r="N1076" s="34"/>
      <c r="O1076" s="33"/>
      <c r="P1076" s="34"/>
      <c r="Q1076" s="33"/>
    </row>
    <row r="1077" spans="3:17" x14ac:dyDescent="0.25">
      <c r="C1077" s="33"/>
      <c r="D1077" s="33"/>
      <c r="E1077" s="66"/>
      <c r="F1077" s="33"/>
      <c r="G1077" s="18"/>
      <c r="H1077" s="44"/>
      <c r="I1077" s="44"/>
      <c r="J1077" s="31"/>
      <c r="K1077" s="32"/>
      <c r="L1077" s="32"/>
      <c r="M1077" s="22"/>
      <c r="N1077" s="34"/>
      <c r="O1077" s="33"/>
      <c r="P1077" s="34"/>
      <c r="Q1077" s="33"/>
    </row>
    <row r="1078" spans="3:17" x14ac:dyDescent="0.25">
      <c r="C1078" s="33"/>
      <c r="D1078" s="33"/>
      <c r="E1078" s="66"/>
      <c r="F1078" s="33"/>
      <c r="G1078" s="18"/>
      <c r="H1078" s="44"/>
      <c r="I1078" s="44"/>
      <c r="J1078" s="31"/>
      <c r="K1078" s="32"/>
      <c r="L1078" s="32"/>
      <c r="M1078" s="22"/>
      <c r="N1078" s="34"/>
      <c r="O1078" s="33"/>
      <c r="P1078" s="34"/>
      <c r="Q1078" s="33"/>
    </row>
    <row r="1079" spans="3:17" x14ac:dyDescent="0.25">
      <c r="C1079" s="33"/>
      <c r="D1079" s="33"/>
      <c r="E1079" s="66"/>
      <c r="F1079" s="33"/>
      <c r="G1079" s="18"/>
      <c r="H1079" s="44"/>
      <c r="I1079" s="44"/>
      <c r="J1079" s="31"/>
      <c r="K1079" s="32"/>
      <c r="L1079" s="32"/>
      <c r="M1079" s="22"/>
      <c r="N1079" s="34"/>
      <c r="O1079" s="33"/>
      <c r="P1079" s="34"/>
      <c r="Q1079" s="33"/>
    </row>
    <row r="1080" spans="3:17" x14ac:dyDescent="0.25">
      <c r="C1080" s="33"/>
      <c r="D1080" s="33"/>
      <c r="E1080" s="66"/>
      <c r="F1080" s="33"/>
      <c r="G1080" s="18"/>
      <c r="H1080" s="44"/>
      <c r="I1080" s="44"/>
      <c r="J1080" s="31"/>
      <c r="K1080" s="32"/>
      <c r="L1080" s="32"/>
      <c r="M1080" s="22"/>
      <c r="N1080" s="34"/>
      <c r="O1080" s="33"/>
      <c r="P1080" s="34"/>
      <c r="Q1080" s="33"/>
    </row>
    <row r="1081" spans="3:17" x14ac:dyDescent="0.25">
      <c r="C1081" s="33"/>
      <c r="D1081" s="33"/>
      <c r="E1081" s="66"/>
      <c r="F1081" s="33"/>
      <c r="G1081" s="18"/>
      <c r="H1081" s="44"/>
      <c r="I1081" s="44"/>
      <c r="J1081" s="31"/>
      <c r="K1081" s="32"/>
      <c r="L1081" s="32"/>
      <c r="M1081" s="22"/>
      <c r="N1081" s="34"/>
      <c r="O1081" s="33"/>
      <c r="P1081" s="34"/>
      <c r="Q1081" s="33"/>
    </row>
    <row r="1082" spans="3:17" x14ac:dyDescent="0.25">
      <c r="C1082" s="33"/>
      <c r="D1082" s="33"/>
      <c r="E1082" s="66"/>
      <c r="F1082" s="33"/>
      <c r="G1082" s="18"/>
      <c r="H1082" s="44"/>
      <c r="I1082" s="44"/>
      <c r="J1082" s="31"/>
      <c r="K1082" s="32"/>
      <c r="L1082" s="32"/>
      <c r="M1082" s="22"/>
      <c r="N1082" s="34"/>
      <c r="O1082" s="33"/>
      <c r="P1082" s="34"/>
      <c r="Q1082" s="33"/>
    </row>
    <row r="1083" spans="3:17" x14ac:dyDescent="0.25">
      <c r="C1083" s="33"/>
      <c r="D1083" s="33"/>
      <c r="E1083" s="66"/>
      <c r="F1083" s="33"/>
      <c r="G1083" s="18"/>
      <c r="H1083" s="44"/>
      <c r="I1083" s="44"/>
      <c r="J1083" s="31"/>
      <c r="K1083" s="32"/>
      <c r="L1083" s="32"/>
      <c r="M1083" s="22"/>
      <c r="N1083" s="34"/>
      <c r="O1083" s="33"/>
      <c r="P1083" s="34"/>
      <c r="Q1083" s="33"/>
    </row>
    <row r="1084" spans="3:17" x14ac:dyDescent="0.25">
      <c r="C1084" s="33"/>
      <c r="D1084" s="33"/>
      <c r="E1084" s="66"/>
      <c r="F1084" s="33"/>
      <c r="G1084" s="18"/>
      <c r="H1084" s="44"/>
      <c r="I1084" s="44"/>
      <c r="J1084" s="31"/>
      <c r="K1084" s="32"/>
      <c r="L1084" s="32"/>
      <c r="M1084" s="22"/>
      <c r="N1084" s="34"/>
      <c r="O1084" s="33"/>
      <c r="P1084" s="34"/>
      <c r="Q1084" s="33"/>
    </row>
    <row r="1085" spans="3:17" x14ac:dyDescent="0.25">
      <c r="C1085" s="33"/>
      <c r="D1085" s="33"/>
      <c r="E1085" s="66"/>
      <c r="F1085" s="33"/>
      <c r="G1085" s="18"/>
      <c r="H1085" s="44"/>
      <c r="I1085" s="44"/>
      <c r="J1085" s="31"/>
      <c r="K1085" s="32"/>
      <c r="L1085" s="32"/>
      <c r="M1085" s="22"/>
      <c r="N1085" s="34"/>
      <c r="O1085" s="33"/>
      <c r="P1085" s="34"/>
      <c r="Q1085" s="33"/>
    </row>
    <row r="1086" spans="3:17" x14ac:dyDescent="0.25">
      <c r="C1086" s="33"/>
      <c r="D1086" s="33"/>
      <c r="E1086" s="66"/>
      <c r="F1086" s="33"/>
      <c r="G1086" s="18"/>
      <c r="H1086" s="44"/>
      <c r="I1086" s="44"/>
      <c r="J1086" s="31"/>
      <c r="K1086" s="32"/>
      <c r="L1086" s="32"/>
      <c r="M1086" s="22"/>
      <c r="N1086" s="34"/>
      <c r="O1086" s="33"/>
      <c r="P1086" s="34"/>
      <c r="Q1086" s="33"/>
    </row>
    <row r="1087" spans="3:17" x14ac:dyDescent="0.25">
      <c r="C1087" s="33"/>
      <c r="D1087" s="33"/>
      <c r="E1087" s="66"/>
      <c r="F1087" s="33"/>
      <c r="G1087" s="18"/>
      <c r="H1087" s="44"/>
      <c r="I1087" s="44"/>
      <c r="J1087" s="31"/>
      <c r="K1087" s="32"/>
      <c r="L1087" s="32"/>
      <c r="M1087" s="22"/>
      <c r="N1087" s="34"/>
      <c r="O1087" s="33"/>
      <c r="P1087" s="34"/>
      <c r="Q1087" s="33"/>
    </row>
    <row r="1088" spans="3:17" x14ac:dyDescent="0.25">
      <c r="C1088" s="33"/>
      <c r="D1088" s="33"/>
      <c r="E1088" s="66"/>
      <c r="F1088" s="33"/>
      <c r="G1088" s="18"/>
      <c r="H1088" s="44"/>
      <c r="I1088" s="44"/>
      <c r="J1088" s="31"/>
      <c r="K1088" s="32"/>
      <c r="L1088" s="32"/>
      <c r="M1088" s="22"/>
      <c r="N1088" s="34"/>
      <c r="O1088" s="33"/>
      <c r="P1088" s="34"/>
      <c r="Q1088" s="33"/>
    </row>
    <row r="1089" spans="3:17" x14ac:dyDescent="0.25">
      <c r="C1089" s="33"/>
      <c r="D1089" s="33"/>
      <c r="E1089" s="66"/>
      <c r="F1089" s="33"/>
      <c r="G1089" s="18"/>
      <c r="H1089" s="44"/>
      <c r="I1089" s="44"/>
      <c r="J1089" s="31"/>
      <c r="K1089" s="32"/>
      <c r="L1089" s="32"/>
      <c r="M1089" s="22"/>
      <c r="N1089" s="34"/>
      <c r="O1089" s="33"/>
      <c r="P1089" s="34"/>
      <c r="Q1089" s="33"/>
    </row>
    <row r="1090" spans="3:17" x14ac:dyDescent="0.25">
      <c r="C1090" s="33"/>
      <c r="D1090" s="33"/>
      <c r="E1090" s="33"/>
      <c r="F1090" s="33"/>
      <c r="G1090" s="18"/>
      <c r="H1090" s="44"/>
      <c r="I1090" s="44"/>
      <c r="J1090" s="31"/>
      <c r="K1090" s="32"/>
      <c r="L1090" s="32"/>
      <c r="M1090" s="22"/>
      <c r="N1090" s="34"/>
      <c r="O1090" s="33"/>
      <c r="P1090" s="34"/>
      <c r="Q1090" s="33"/>
    </row>
    <row r="1091" spans="3:17" x14ac:dyDescent="0.25">
      <c r="C1091" s="33"/>
      <c r="D1091" s="33"/>
      <c r="E1091" s="66"/>
      <c r="F1091" s="33"/>
      <c r="G1091" s="18"/>
      <c r="H1091" s="44"/>
      <c r="I1091" s="44"/>
      <c r="J1091" s="31"/>
      <c r="K1091" s="32"/>
      <c r="L1091" s="32"/>
      <c r="M1091" s="22"/>
      <c r="N1091" s="34"/>
      <c r="O1091" s="33"/>
      <c r="P1091" s="34"/>
      <c r="Q1091" s="33"/>
    </row>
    <row r="1092" spans="3:17" x14ac:dyDescent="0.25">
      <c r="C1092" s="33"/>
      <c r="D1092" s="33"/>
      <c r="E1092" s="66"/>
      <c r="F1092" s="33"/>
      <c r="G1092" s="18"/>
      <c r="H1092" s="44"/>
      <c r="I1092" s="44"/>
      <c r="J1092" s="31"/>
      <c r="K1092" s="32"/>
      <c r="L1092" s="32"/>
      <c r="M1092" s="22"/>
      <c r="N1092" s="34"/>
      <c r="O1092" s="33"/>
      <c r="P1092" s="34"/>
      <c r="Q1092" s="33"/>
    </row>
    <row r="1093" spans="3:17" x14ac:dyDescent="0.25">
      <c r="C1093" s="33"/>
      <c r="D1093" s="33"/>
      <c r="E1093" s="66"/>
      <c r="F1093" s="33"/>
      <c r="G1093" s="18"/>
      <c r="H1093" s="44"/>
      <c r="I1093" s="44"/>
      <c r="J1093" s="31"/>
      <c r="K1093" s="32"/>
      <c r="L1093" s="32"/>
      <c r="M1093" s="22"/>
      <c r="N1093" s="34"/>
      <c r="O1093" s="33"/>
      <c r="P1093" s="34"/>
      <c r="Q1093" s="33"/>
    </row>
    <row r="1094" spans="3:17" x14ac:dyDescent="0.25">
      <c r="C1094" s="33"/>
      <c r="D1094" s="33"/>
      <c r="E1094" s="66"/>
      <c r="F1094" s="33"/>
      <c r="G1094" s="18"/>
      <c r="H1094" s="44"/>
      <c r="I1094" s="44"/>
      <c r="J1094" s="31"/>
      <c r="K1094" s="32"/>
      <c r="L1094" s="32"/>
      <c r="M1094" s="22"/>
      <c r="N1094" s="34"/>
      <c r="O1094" s="33"/>
      <c r="P1094" s="34"/>
      <c r="Q1094" s="33"/>
    </row>
    <row r="1095" spans="3:17" x14ac:dyDescent="0.25">
      <c r="C1095" s="33"/>
      <c r="D1095" s="33"/>
      <c r="E1095" s="66"/>
      <c r="F1095" s="33"/>
      <c r="G1095" s="18"/>
      <c r="H1095" s="44"/>
      <c r="I1095" s="44"/>
      <c r="J1095" s="31"/>
      <c r="K1095" s="32"/>
      <c r="L1095" s="32"/>
      <c r="M1095" s="22"/>
      <c r="N1095" s="34"/>
      <c r="O1095" s="33"/>
      <c r="P1095" s="34"/>
      <c r="Q1095" s="33"/>
    </row>
    <row r="1096" spans="3:17" x14ac:dyDescent="0.25">
      <c r="C1096" s="33"/>
      <c r="D1096" s="33"/>
      <c r="E1096" s="33"/>
      <c r="F1096" s="33"/>
      <c r="G1096" s="18"/>
      <c r="H1096" s="44"/>
      <c r="I1096" s="44"/>
      <c r="J1096" s="31"/>
      <c r="K1096" s="32"/>
      <c r="L1096" s="32"/>
      <c r="M1096" s="22"/>
      <c r="N1096" s="34"/>
      <c r="O1096" s="33"/>
      <c r="P1096" s="34"/>
      <c r="Q1096" s="33"/>
    </row>
    <row r="1097" spans="3:17" x14ac:dyDescent="0.25">
      <c r="C1097" s="33"/>
      <c r="D1097" s="33"/>
      <c r="E1097" s="33"/>
      <c r="F1097" s="33"/>
      <c r="G1097" s="18"/>
      <c r="H1097" s="44"/>
      <c r="I1097" s="44"/>
      <c r="J1097" s="31"/>
      <c r="K1097" s="32"/>
      <c r="L1097" s="32"/>
      <c r="M1097" s="22"/>
      <c r="N1097" s="34"/>
      <c r="O1097" s="33"/>
      <c r="P1097" s="34"/>
      <c r="Q1097" s="33"/>
    </row>
    <row r="1098" spans="3:17" x14ac:dyDescent="0.25">
      <c r="C1098" s="33"/>
      <c r="D1098" s="33"/>
      <c r="E1098" s="66"/>
      <c r="F1098" s="33"/>
      <c r="G1098" s="18"/>
      <c r="H1098" s="44"/>
      <c r="I1098" s="44"/>
      <c r="J1098" s="31"/>
      <c r="K1098" s="32"/>
      <c r="L1098" s="32"/>
      <c r="M1098" s="22"/>
      <c r="N1098" s="34"/>
      <c r="O1098" s="33"/>
      <c r="P1098" s="34"/>
      <c r="Q1098" s="33"/>
    </row>
    <row r="1099" spans="3:17" x14ac:dyDescent="0.25">
      <c r="C1099" s="33"/>
      <c r="D1099" s="33"/>
      <c r="E1099" s="66"/>
      <c r="F1099" s="33"/>
      <c r="G1099" s="18"/>
      <c r="H1099" s="44"/>
      <c r="I1099" s="44"/>
      <c r="J1099" s="31"/>
      <c r="K1099" s="32"/>
      <c r="L1099" s="32"/>
      <c r="M1099" s="22"/>
      <c r="N1099" s="34"/>
      <c r="O1099" s="33"/>
      <c r="P1099" s="34"/>
      <c r="Q1099" s="33"/>
    </row>
    <row r="1100" spans="3:17" x14ac:dyDescent="0.25">
      <c r="C1100" s="33"/>
      <c r="D1100" s="33"/>
      <c r="E1100" s="66"/>
      <c r="F1100" s="33"/>
      <c r="G1100" s="18"/>
      <c r="H1100" s="44"/>
      <c r="I1100" s="44"/>
      <c r="J1100" s="31"/>
      <c r="K1100" s="32"/>
      <c r="L1100" s="32"/>
      <c r="M1100" s="22"/>
      <c r="N1100" s="34"/>
      <c r="O1100" s="33"/>
      <c r="P1100" s="34"/>
      <c r="Q1100" s="33"/>
    </row>
    <row r="1101" spans="3:17" x14ac:dyDescent="0.25">
      <c r="C1101" s="33"/>
      <c r="D1101" s="33"/>
      <c r="E1101" s="66"/>
      <c r="F1101" s="33"/>
      <c r="G1101" s="18"/>
      <c r="H1101" s="44"/>
      <c r="I1101" s="44"/>
      <c r="J1101" s="31"/>
      <c r="K1101" s="32"/>
      <c r="L1101" s="32"/>
      <c r="M1101" s="22"/>
      <c r="N1101" s="34"/>
      <c r="O1101" s="33"/>
      <c r="P1101" s="34"/>
      <c r="Q1101" s="33"/>
    </row>
    <row r="1102" spans="3:17" x14ac:dyDescent="0.25">
      <c r="C1102" s="33"/>
      <c r="D1102" s="33"/>
      <c r="E1102" s="33"/>
      <c r="F1102" s="33"/>
      <c r="G1102" s="18"/>
      <c r="H1102" s="44"/>
      <c r="I1102" s="44"/>
      <c r="J1102" s="31"/>
      <c r="K1102" s="32"/>
      <c r="L1102" s="32"/>
      <c r="M1102" s="22"/>
      <c r="N1102" s="34"/>
      <c r="O1102" s="33"/>
      <c r="P1102" s="34"/>
      <c r="Q1102" s="33"/>
    </row>
    <row r="1103" spans="3:17" x14ac:dyDescent="0.25">
      <c r="C1103" s="33"/>
      <c r="D1103" s="33"/>
      <c r="E1103" s="66"/>
      <c r="F1103" s="33"/>
      <c r="G1103" s="18"/>
      <c r="H1103" s="44"/>
      <c r="I1103" s="44"/>
      <c r="J1103" s="31"/>
      <c r="K1103" s="32"/>
      <c r="L1103" s="32"/>
      <c r="M1103" s="22"/>
      <c r="N1103" s="34"/>
      <c r="O1103" s="33"/>
      <c r="P1103" s="34"/>
      <c r="Q1103" s="33"/>
    </row>
    <row r="1104" spans="3:17" x14ac:dyDescent="0.25">
      <c r="C1104" s="33"/>
      <c r="D1104" s="33"/>
      <c r="E1104" s="66"/>
      <c r="F1104" s="33"/>
      <c r="G1104" s="18"/>
      <c r="H1104" s="44"/>
      <c r="I1104" s="44"/>
      <c r="J1104" s="31"/>
      <c r="K1104" s="32"/>
      <c r="L1104" s="32"/>
      <c r="M1104" s="22"/>
      <c r="N1104" s="34"/>
      <c r="O1104" s="33"/>
      <c r="P1104" s="34"/>
      <c r="Q1104" s="33"/>
    </row>
    <row r="1105" spans="3:17" x14ac:dyDescent="0.25">
      <c r="C1105" s="33"/>
      <c r="D1105" s="33"/>
      <c r="E1105" s="66"/>
      <c r="F1105" s="33"/>
      <c r="G1105" s="18"/>
      <c r="H1105" s="44"/>
      <c r="I1105" s="44"/>
      <c r="J1105" s="31"/>
      <c r="K1105" s="32"/>
      <c r="L1105" s="32"/>
      <c r="M1105" s="22"/>
      <c r="N1105" s="34"/>
      <c r="O1105" s="33"/>
      <c r="P1105" s="34"/>
      <c r="Q1105" s="33"/>
    </row>
    <row r="1106" spans="3:17" x14ac:dyDescent="0.25">
      <c r="C1106" s="33"/>
      <c r="D1106" s="33"/>
      <c r="E1106" s="66"/>
      <c r="F1106" s="33"/>
      <c r="G1106" s="18"/>
      <c r="H1106" s="44"/>
      <c r="I1106" s="44"/>
      <c r="J1106" s="31"/>
      <c r="K1106" s="32"/>
      <c r="L1106" s="32"/>
      <c r="M1106" s="22"/>
      <c r="N1106" s="34"/>
      <c r="O1106" s="33"/>
      <c r="P1106" s="34"/>
      <c r="Q1106" s="33"/>
    </row>
    <row r="1107" spans="3:17" x14ac:dyDescent="0.25">
      <c r="C1107" s="33"/>
      <c r="D1107" s="33"/>
      <c r="E1107" s="66"/>
      <c r="F1107" s="36"/>
      <c r="G1107" s="18"/>
      <c r="H1107" s="44"/>
      <c r="I1107" s="44"/>
      <c r="J1107" s="31"/>
      <c r="K1107" s="32"/>
      <c r="L1107" s="32"/>
      <c r="M1107" s="22"/>
      <c r="N1107" s="34"/>
      <c r="O1107" s="33"/>
      <c r="P1107" s="34"/>
      <c r="Q1107" s="33"/>
    </row>
    <row r="1108" spans="3:17" x14ac:dyDescent="0.25">
      <c r="C1108" s="33"/>
      <c r="D1108" s="33"/>
      <c r="E1108" s="66"/>
      <c r="F1108" s="36"/>
      <c r="G1108" s="18"/>
      <c r="H1108" s="44"/>
      <c r="I1108" s="44"/>
      <c r="J1108" s="31"/>
      <c r="K1108" s="32"/>
      <c r="L1108" s="32"/>
      <c r="M1108" s="22"/>
      <c r="N1108" s="34"/>
      <c r="O1108" s="33"/>
      <c r="P1108" s="34"/>
      <c r="Q1108" s="33"/>
    </row>
    <row r="1109" spans="3:17" x14ac:dyDescent="0.25">
      <c r="C1109" s="36"/>
      <c r="D1109" s="36"/>
      <c r="E1109" s="66"/>
      <c r="F1109" s="36"/>
      <c r="G1109" s="18"/>
      <c r="H1109" s="30"/>
      <c r="I1109" s="30"/>
      <c r="J1109" s="31"/>
      <c r="K1109" s="43"/>
      <c r="L1109" s="32"/>
      <c r="N1109" s="34"/>
      <c r="O1109" s="33"/>
      <c r="P1109" s="34"/>
      <c r="Q1109" s="36"/>
    </row>
    <row r="1110" spans="3:17" x14ac:dyDescent="0.25">
      <c r="C1110" s="36"/>
      <c r="D1110" s="36"/>
      <c r="E1110" s="66"/>
      <c r="F1110" s="36"/>
      <c r="G1110" s="18"/>
      <c r="H1110" s="30"/>
      <c r="I1110" s="30"/>
      <c r="J1110" s="31"/>
      <c r="K1110" s="43"/>
      <c r="L1110" s="32"/>
      <c r="N1110" s="34"/>
      <c r="O1110" s="33"/>
      <c r="P1110" s="34"/>
      <c r="Q1110" s="36"/>
    </row>
    <row r="1111" spans="3:17" x14ac:dyDescent="0.25">
      <c r="C1111" s="36"/>
      <c r="D1111" s="36"/>
      <c r="E1111" s="66"/>
      <c r="F1111" s="36"/>
      <c r="G1111" s="18"/>
      <c r="H1111" s="30"/>
      <c r="I1111" s="30"/>
      <c r="J1111" s="31"/>
      <c r="K1111" s="43"/>
      <c r="L1111" s="32"/>
      <c r="N1111" s="34"/>
      <c r="O1111" s="33"/>
      <c r="P1111" s="34"/>
      <c r="Q1111" s="36"/>
    </row>
    <row r="1112" spans="3:17" x14ac:dyDescent="0.25">
      <c r="C1112" s="36"/>
      <c r="D1112" s="36"/>
      <c r="E1112" s="66"/>
      <c r="F1112" s="36"/>
      <c r="G1112" s="18"/>
      <c r="H1112" s="30"/>
      <c r="I1112" s="30"/>
      <c r="J1112" s="31"/>
      <c r="K1112" s="43"/>
      <c r="L1112" s="32"/>
      <c r="N1112" s="34"/>
      <c r="O1112" s="33"/>
      <c r="P1112" s="34"/>
      <c r="Q1112" s="36"/>
    </row>
    <row r="1113" spans="3:17" x14ac:dyDescent="0.25">
      <c r="C1113" s="36"/>
      <c r="D1113" s="36"/>
      <c r="E1113" s="36"/>
      <c r="F1113" s="36"/>
      <c r="G1113" s="18"/>
      <c r="H1113" s="30"/>
      <c r="I1113" s="30"/>
      <c r="J1113" s="31"/>
      <c r="K1113" s="43"/>
      <c r="L1113" s="32"/>
      <c r="N1113" s="34"/>
      <c r="O1113" s="33"/>
      <c r="P1113" s="34"/>
      <c r="Q1113" s="36"/>
    </row>
    <row r="1114" spans="3:17" x14ac:dyDescent="0.25">
      <c r="C1114" s="36"/>
      <c r="D1114" s="36"/>
      <c r="E1114" s="66"/>
      <c r="F1114" s="36"/>
      <c r="G1114" s="18"/>
      <c r="H1114" s="30"/>
      <c r="I1114" s="30"/>
      <c r="J1114" s="31"/>
      <c r="K1114" s="43"/>
      <c r="L1114" s="32"/>
      <c r="N1114" s="34"/>
      <c r="O1114" s="33"/>
      <c r="P1114" s="34"/>
      <c r="Q1114" s="36"/>
    </row>
    <row r="1115" spans="3:17" x14ac:dyDescent="0.25">
      <c r="C1115" s="36"/>
      <c r="D1115" s="36"/>
      <c r="E1115" s="36"/>
      <c r="F1115" s="36"/>
      <c r="G1115" s="18"/>
      <c r="H1115" s="30"/>
      <c r="I1115" s="30"/>
      <c r="J1115" s="31"/>
      <c r="K1115" s="43"/>
      <c r="L1115" s="32"/>
      <c r="N1115" s="34"/>
      <c r="O1115" s="33"/>
      <c r="P1115" s="34"/>
      <c r="Q1115" s="36"/>
    </row>
    <row r="1116" spans="3:17" x14ac:dyDescent="0.25">
      <c r="C1116" s="36"/>
      <c r="D1116" s="36"/>
      <c r="E1116" s="66"/>
      <c r="F1116" s="36"/>
      <c r="G1116" s="18"/>
      <c r="H1116" s="30"/>
      <c r="I1116" s="30"/>
      <c r="J1116" s="31"/>
      <c r="K1116" s="43"/>
      <c r="L1116" s="32"/>
      <c r="N1116" s="34"/>
      <c r="O1116" s="33"/>
      <c r="P1116" s="34"/>
      <c r="Q1116" s="36"/>
    </row>
    <row r="1117" spans="3:17" x14ac:dyDescent="0.25">
      <c r="C1117" s="36"/>
      <c r="D1117" s="36"/>
      <c r="E1117" s="66"/>
      <c r="F1117" s="36"/>
      <c r="G1117" s="18"/>
      <c r="H1117" s="30"/>
      <c r="I1117" s="30"/>
      <c r="J1117" s="31"/>
      <c r="K1117" s="43"/>
      <c r="L1117" s="32"/>
      <c r="N1117" s="34"/>
      <c r="O1117" s="33"/>
      <c r="P1117" s="34"/>
      <c r="Q1117" s="36"/>
    </row>
    <row r="1118" spans="3:17" x14ac:dyDescent="0.25">
      <c r="C1118" s="36"/>
      <c r="D1118" s="36"/>
      <c r="E1118" s="66"/>
      <c r="F1118" s="36"/>
      <c r="G1118" s="18"/>
      <c r="H1118" s="30"/>
      <c r="I1118" s="30"/>
      <c r="J1118" s="31"/>
      <c r="K1118" s="43"/>
      <c r="L1118" s="32"/>
      <c r="N1118" s="34"/>
      <c r="O1118" s="33"/>
      <c r="P1118" s="34"/>
      <c r="Q1118" s="36"/>
    </row>
    <row r="1119" spans="3:17" x14ac:dyDescent="0.25">
      <c r="C1119" s="36"/>
      <c r="D1119" s="36"/>
      <c r="E1119" s="36"/>
      <c r="F1119" s="36"/>
      <c r="G1119" s="18"/>
      <c r="H1119" s="30"/>
      <c r="I1119" s="30"/>
      <c r="J1119" s="31"/>
      <c r="K1119" s="43"/>
      <c r="L1119" s="32"/>
      <c r="N1119" s="34"/>
      <c r="O1119" s="33"/>
      <c r="P1119" s="34"/>
      <c r="Q1119" s="36"/>
    </row>
    <row r="1120" spans="3:17" x14ac:dyDescent="0.25">
      <c r="C1120" s="36"/>
      <c r="D1120" s="36"/>
      <c r="E1120" s="66"/>
      <c r="F1120" s="36"/>
      <c r="G1120" s="18"/>
      <c r="H1120" s="30"/>
      <c r="I1120" s="30"/>
      <c r="J1120" s="31"/>
      <c r="K1120" s="43"/>
      <c r="L1120" s="32"/>
      <c r="N1120" s="34"/>
      <c r="O1120" s="33"/>
      <c r="P1120" s="34"/>
      <c r="Q1120" s="36"/>
    </row>
    <row r="1121" spans="3:17" x14ac:dyDescent="0.25">
      <c r="C1121" s="36"/>
      <c r="D1121" s="36"/>
      <c r="E1121" s="66"/>
      <c r="F1121" s="36"/>
      <c r="G1121" s="18"/>
      <c r="H1121" s="30"/>
      <c r="I1121" s="30"/>
      <c r="J1121" s="31"/>
      <c r="K1121" s="43"/>
      <c r="L1121" s="32"/>
      <c r="N1121" s="34"/>
      <c r="O1121" s="33"/>
      <c r="P1121" s="34"/>
      <c r="Q1121" s="36"/>
    </row>
    <row r="1122" spans="3:17" x14ac:dyDescent="0.25">
      <c r="C1122" s="36"/>
      <c r="D1122" s="36"/>
      <c r="E1122" s="66"/>
      <c r="F1122" s="36"/>
      <c r="G1122" s="18"/>
      <c r="H1122" s="30"/>
      <c r="I1122" s="30"/>
      <c r="J1122" s="31"/>
      <c r="K1122" s="43"/>
      <c r="L1122" s="32"/>
      <c r="N1122" s="34"/>
      <c r="O1122" s="33"/>
      <c r="P1122" s="34"/>
      <c r="Q1122" s="36"/>
    </row>
    <row r="1123" spans="3:17" x14ac:dyDescent="0.25">
      <c r="C1123" s="36"/>
      <c r="D1123" s="36"/>
      <c r="E1123" s="66"/>
      <c r="F1123" s="36"/>
      <c r="G1123" s="18"/>
      <c r="H1123" s="30"/>
      <c r="I1123" s="30"/>
      <c r="J1123" s="31"/>
      <c r="K1123" s="43"/>
      <c r="L1123" s="32"/>
      <c r="N1123" s="34"/>
      <c r="O1123" s="33"/>
      <c r="P1123" s="34"/>
      <c r="Q1123" s="36"/>
    </row>
    <row r="1124" spans="3:17" x14ac:dyDescent="0.25">
      <c r="C1124" s="36"/>
      <c r="D1124" s="36"/>
      <c r="E1124" s="66"/>
      <c r="F1124" s="36"/>
      <c r="G1124" s="18"/>
      <c r="H1124" s="30"/>
      <c r="I1124" s="30"/>
      <c r="J1124" s="31"/>
      <c r="K1124" s="43"/>
      <c r="L1124" s="32"/>
      <c r="N1124" s="34"/>
      <c r="O1124" s="33"/>
      <c r="P1124" s="34"/>
      <c r="Q1124" s="36"/>
    </row>
    <row r="1125" spans="3:17" x14ac:dyDescent="0.25">
      <c r="C1125" s="36"/>
      <c r="D1125" s="36"/>
      <c r="E1125" s="66"/>
      <c r="F1125" s="36"/>
      <c r="G1125" s="18"/>
      <c r="H1125" s="30"/>
      <c r="I1125" s="30"/>
      <c r="J1125" s="31"/>
      <c r="K1125" s="43"/>
      <c r="L1125" s="32"/>
      <c r="N1125" s="34"/>
      <c r="O1125" s="33"/>
      <c r="P1125" s="34"/>
      <c r="Q1125" s="36"/>
    </row>
    <row r="1126" spans="3:17" x14ac:dyDescent="0.25">
      <c r="C1126" s="36"/>
      <c r="D1126" s="36"/>
      <c r="E1126" s="66"/>
      <c r="F1126" s="36"/>
      <c r="G1126" s="18"/>
      <c r="H1126" s="30"/>
      <c r="I1126" s="30"/>
      <c r="J1126" s="31"/>
      <c r="K1126" s="43"/>
      <c r="L1126" s="32"/>
      <c r="N1126" s="34"/>
      <c r="O1126" s="33"/>
      <c r="P1126" s="34"/>
      <c r="Q1126" s="36"/>
    </row>
    <row r="1127" spans="3:17" x14ac:dyDescent="0.25">
      <c r="C1127" s="36"/>
      <c r="D1127" s="36"/>
      <c r="E1127" s="36"/>
      <c r="F1127" s="36"/>
      <c r="G1127" s="18"/>
      <c r="H1127" s="30"/>
      <c r="I1127" s="30"/>
      <c r="J1127" s="31"/>
      <c r="K1127" s="43"/>
      <c r="L1127" s="32"/>
      <c r="N1127" s="34"/>
      <c r="O1127" s="33"/>
      <c r="P1127" s="34"/>
      <c r="Q1127" s="36"/>
    </row>
    <row r="1128" spans="3:17" x14ac:dyDescent="0.25">
      <c r="C1128" s="36"/>
      <c r="D1128" s="36"/>
      <c r="E1128" s="36"/>
      <c r="F1128" s="36"/>
      <c r="G1128" s="18"/>
      <c r="H1128" s="30"/>
      <c r="I1128" s="30"/>
      <c r="J1128" s="31"/>
      <c r="K1128" s="43"/>
      <c r="L1128" s="32"/>
      <c r="N1128" s="34"/>
      <c r="O1128" s="33"/>
      <c r="P1128" s="34"/>
      <c r="Q1128" s="36"/>
    </row>
    <row r="1129" spans="3:17" x14ac:dyDescent="0.25">
      <c r="C1129" s="36"/>
      <c r="D1129" s="36"/>
      <c r="E1129" s="36"/>
      <c r="F1129" s="36"/>
      <c r="G1129" s="18"/>
      <c r="H1129" s="30"/>
      <c r="I1129" s="30"/>
      <c r="J1129" s="31"/>
      <c r="K1129" s="43"/>
      <c r="L1129" s="32"/>
      <c r="N1129" s="34"/>
      <c r="O1129" s="33"/>
      <c r="P1129" s="34"/>
      <c r="Q1129" s="36"/>
    </row>
    <row r="1130" spans="3:17" x14ac:dyDescent="0.25">
      <c r="C1130" s="36"/>
      <c r="D1130" s="36"/>
      <c r="E1130" s="36"/>
      <c r="F1130" s="36"/>
      <c r="G1130" s="18"/>
      <c r="H1130" s="30"/>
      <c r="I1130" s="30"/>
      <c r="J1130" s="31"/>
      <c r="K1130" s="43"/>
      <c r="L1130" s="32"/>
      <c r="N1130" s="34"/>
      <c r="O1130" s="33"/>
      <c r="P1130" s="34"/>
      <c r="Q1130" s="36"/>
    </row>
    <row r="1131" spans="3:17" x14ac:dyDescent="0.25">
      <c r="C1131" s="36"/>
      <c r="D1131" s="36"/>
      <c r="E1131" s="36"/>
      <c r="F1131" s="36"/>
      <c r="G1131" s="18"/>
      <c r="H1131" s="30"/>
      <c r="I1131" s="30"/>
      <c r="J1131" s="31"/>
      <c r="K1131" s="43"/>
      <c r="L1131" s="32"/>
      <c r="N1131" s="34"/>
      <c r="O1131" s="33"/>
      <c r="P1131" s="34"/>
      <c r="Q1131" s="36"/>
    </row>
    <row r="1132" spans="3:17" x14ac:dyDescent="0.25">
      <c r="C1132" s="36"/>
      <c r="D1132" s="36"/>
      <c r="E1132" s="36"/>
      <c r="F1132" s="36"/>
      <c r="G1132" s="18"/>
      <c r="H1132" s="30"/>
      <c r="I1132" s="30"/>
      <c r="J1132" s="31"/>
      <c r="K1132" s="43"/>
      <c r="L1132" s="32"/>
      <c r="N1132" s="34"/>
      <c r="O1132" s="33"/>
      <c r="P1132" s="34"/>
      <c r="Q1132" s="36"/>
    </row>
    <row r="1133" spans="3:17" x14ac:dyDescent="0.25">
      <c r="C1133" s="36"/>
      <c r="D1133" s="36"/>
      <c r="E1133" s="36"/>
      <c r="F1133" s="36"/>
      <c r="G1133" s="18"/>
      <c r="H1133" s="30"/>
      <c r="I1133" s="30"/>
      <c r="J1133" s="31"/>
      <c r="K1133" s="43"/>
      <c r="L1133" s="32"/>
      <c r="N1133" s="34"/>
      <c r="O1133" s="33"/>
      <c r="P1133" s="34"/>
      <c r="Q1133" s="36"/>
    </row>
    <row r="1134" spans="3:17" x14ac:dyDescent="0.25">
      <c r="C1134" s="36"/>
      <c r="D1134" s="36"/>
      <c r="E1134" s="36"/>
      <c r="F1134" s="36"/>
      <c r="G1134" s="18"/>
      <c r="H1134" s="30"/>
      <c r="I1134" s="30"/>
      <c r="J1134" s="31"/>
      <c r="K1134" s="43"/>
      <c r="L1134" s="32"/>
      <c r="N1134" s="34"/>
      <c r="O1134" s="33"/>
      <c r="P1134" s="34"/>
      <c r="Q1134" s="36"/>
    </row>
    <row r="1135" spans="3:17" x14ac:dyDescent="0.25">
      <c r="C1135" s="36"/>
      <c r="D1135" s="36"/>
      <c r="E1135" s="36"/>
      <c r="F1135" s="36"/>
      <c r="G1135" s="18"/>
      <c r="H1135" s="30"/>
      <c r="I1135" s="30"/>
      <c r="J1135" s="31"/>
      <c r="K1135" s="43"/>
      <c r="L1135" s="32"/>
      <c r="N1135" s="34"/>
      <c r="O1135" s="33"/>
      <c r="P1135" s="34"/>
      <c r="Q1135" s="36"/>
    </row>
    <row r="1136" spans="3:17" x14ac:dyDescent="0.25">
      <c r="C1136" s="36"/>
      <c r="D1136" s="36"/>
      <c r="E1136" s="36"/>
      <c r="F1136" s="36"/>
      <c r="G1136" s="18"/>
      <c r="H1136" s="30"/>
      <c r="I1136" s="30"/>
      <c r="J1136" s="31"/>
      <c r="K1136" s="43"/>
      <c r="L1136" s="32"/>
      <c r="N1136" s="34"/>
      <c r="O1136" s="33"/>
      <c r="P1136" s="34"/>
      <c r="Q1136" s="36"/>
    </row>
    <row r="1137" spans="3:17" x14ac:dyDescent="0.25">
      <c r="C1137" s="36"/>
      <c r="D1137" s="36"/>
      <c r="E1137" s="36"/>
      <c r="F1137" s="36"/>
      <c r="G1137" s="18"/>
      <c r="H1137" s="30"/>
      <c r="I1137" s="30"/>
      <c r="J1137" s="31"/>
      <c r="K1137" s="43"/>
      <c r="L1137" s="32"/>
      <c r="N1137" s="34"/>
      <c r="O1137" s="33"/>
      <c r="P1137" s="34"/>
      <c r="Q1137" s="36"/>
    </row>
    <row r="1138" spans="3:17" x14ac:dyDescent="0.25">
      <c r="C1138" s="36"/>
      <c r="D1138" s="36"/>
      <c r="E1138" s="36"/>
      <c r="F1138" s="36"/>
      <c r="G1138" s="18"/>
      <c r="H1138" s="30"/>
      <c r="I1138" s="30"/>
      <c r="J1138" s="31"/>
      <c r="K1138" s="43"/>
      <c r="L1138" s="32"/>
      <c r="N1138" s="34"/>
      <c r="O1138" s="33"/>
      <c r="P1138" s="34"/>
      <c r="Q1138" s="36"/>
    </row>
    <row r="1139" spans="3:17" x14ac:dyDescent="0.25">
      <c r="C1139" s="36"/>
      <c r="D1139" s="36"/>
      <c r="E1139" s="36"/>
      <c r="F1139" s="36"/>
      <c r="G1139" s="18"/>
      <c r="H1139" s="30"/>
      <c r="I1139" s="30"/>
      <c r="J1139" s="31"/>
      <c r="K1139" s="43"/>
      <c r="L1139" s="32"/>
      <c r="N1139" s="34"/>
      <c r="O1139" s="33"/>
      <c r="P1139" s="34"/>
      <c r="Q1139" s="36"/>
    </row>
    <row r="1140" spans="3:17" x14ac:dyDescent="0.25">
      <c r="C1140" s="36"/>
      <c r="D1140" s="36"/>
      <c r="E1140" s="36"/>
      <c r="F1140" s="36"/>
      <c r="G1140" s="18"/>
      <c r="H1140" s="30"/>
      <c r="I1140" s="30"/>
      <c r="J1140" s="31"/>
      <c r="K1140" s="43"/>
      <c r="L1140" s="32"/>
      <c r="N1140" s="34"/>
      <c r="O1140" s="33"/>
      <c r="P1140" s="34"/>
      <c r="Q1140" s="36"/>
    </row>
    <row r="1141" spans="3:17" x14ac:dyDescent="0.25">
      <c r="C1141" s="36"/>
      <c r="D1141" s="36"/>
      <c r="E1141" s="36"/>
      <c r="F1141" s="36"/>
      <c r="G1141" s="18"/>
      <c r="H1141" s="30"/>
      <c r="I1141" s="30"/>
      <c r="J1141" s="31"/>
      <c r="K1141" s="43"/>
      <c r="L1141" s="32"/>
      <c r="N1141" s="34"/>
      <c r="O1141" s="33"/>
      <c r="P1141" s="34"/>
      <c r="Q1141" s="36"/>
    </row>
    <row r="1142" spans="3:17" x14ac:dyDescent="0.25">
      <c r="C1142" s="36"/>
      <c r="D1142" s="36"/>
      <c r="E1142" s="36"/>
      <c r="F1142" s="36"/>
      <c r="G1142" s="18"/>
      <c r="H1142" s="30"/>
      <c r="I1142" s="30"/>
      <c r="J1142" s="31"/>
      <c r="K1142" s="43"/>
      <c r="L1142" s="32"/>
      <c r="N1142" s="34"/>
      <c r="O1142" s="33"/>
      <c r="P1142" s="34"/>
      <c r="Q1142" s="36"/>
    </row>
    <row r="1143" spans="3:17" x14ac:dyDescent="0.25">
      <c r="C1143" s="36"/>
      <c r="D1143" s="36"/>
      <c r="E1143" s="36"/>
      <c r="F1143" s="36"/>
      <c r="G1143" s="18"/>
      <c r="H1143" s="30"/>
      <c r="I1143" s="30"/>
      <c r="J1143" s="31"/>
      <c r="K1143" s="43"/>
      <c r="L1143" s="32"/>
      <c r="N1143" s="34"/>
      <c r="O1143" s="33"/>
      <c r="P1143" s="34"/>
      <c r="Q1143" s="36"/>
    </row>
    <row r="1144" spans="3:17" x14ac:dyDescent="0.25">
      <c r="C1144" s="36"/>
      <c r="D1144" s="36"/>
      <c r="E1144" s="36"/>
      <c r="F1144" s="36"/>
      <c r="G1144" s="18"/>
      <c r="H1144" s="30"/>
      <c r="I1144" s="30"/>
      <c r="J1144" s="31"/>
      <c r="K1144" s="43"/>
      <c r="L1144" s="32"/>
      <c r="N1144" s="34"/>
      <c r="O1144" s="33"/>
      <c r="P1144" s="34"/>
      <c r="Q1144" s="36"/>
    </row>
    <row r="1145" spans="3:17" x14ac:dyDescent="0.25">
      <c r="C1145" s="36"/>
      <c r="D1145" s="36"/>
      <c r="E1145" s="36"/>
      <c r="F1145" s="36"/>
      <c r="G1145" s="18"/>
      <c r="H1145" s="30"/>
      <c r="I1145" s="30"/>
      <c r="J1145" s="31"/>
      <c r="K1145" s="43"/>
      <c r="L1145" s="32"/>
      <c r="N1145" s="34"/>
      <c r="O1145" s="33"/>
      <c r="P1145" s="34"/>
      <c r="Q1145" s="36"/>
    </row>
    <row r="1146" spans="3:17" x14ac:dyDescent="0.25">
      <c r="C1146" s="36"/>
      <c r="D1146" s="36"/>
      <c r="E1146" s="36"/>
      <c r="F1146" s="36"/>
      <c r="G1146" s="18"/>
      <c r="H1146" s="30"/>
      <c r="I1146" s="30"/>
      <c r="J1146" s="31"/>
      <c r="K1146" s="43"/>
      <c r="L1146" s="32"/>
      <c r="N1146" s="34"/>
      <c r="O1146" s="33"/>
      <c r="P1146" s="34"/>
      <c r="Q1146" s="36"/>
    </row>
    <row r="1147" spans="3:17" x14ac:dyDescent="0.25">
      <c r="C1147" s="36"/>
      <c r="D1147" s="36"/>
      <c r="E1147" s="36"/>
      <c r="F1147" s="36"/>
      <c r="G1147" s="18"/>
      <c r="H1147" s="30"/>
      <c r="I1147" s="30"/>
      <c r="J1147" s="31"/>
      <c r="K1147" s="43"/>
      <c r="L1147" s="32"/>
      <c r="N1147" s="34"/>
      <c r="O1147" s="33"/>
      <c r="P1147" s="34"/>
      <c r="Q1147" s="36"/>
    </row>
    <row r="1148" spans="3:17" x14ac:dyDescent="0.25">
      <c r="C1148" s="36"/>
      <c r="D1148" s="36"/>
      <c r="E1148" s="36"/>
      <c r="F1148" s="36"/>
      <c r="G1148" s="18"/>
      <c r="H1148" s="30"/>
      <c r="I1148" s="30"/>
      <c r="J1148" s="31"/>
      <c r="K1148" s="43"/>
      <c r="L1148" s="32"/>
      <c r="N1148" s="34"/>
      <c r="O1148" s="33"/>
      <c r="P1148" s="34"/>
      <c r="Q1148" s="36"/>
    </row>
    <row r="1149" spans="3:17" x14ac:dyDescent="0.25">
      <c r="C1149" s="36"/>
      <c r="D1149" s="36"/>
      <c r="E1149" s="36"/>
      <c r="F1149" s="36"/>
      <c r="G1149" s="18"/>
      <c r="H1149" s="30"/>
      <c r="I1149" s="30"/>
      <c r="J1149" s="31"/>
      <c r="K1149" s="43"/>
      <c r="L1149" s="32"/>
      <c r="N1149" s="34"/>
      <c r="O1149" s="33"/>
      <c r="P1149" s="34"/>
      <c r="Q1149" s="36"/>
    </row>
    <row r="1150" spans="3:17" x14ac:dyDescent="0.25">
      <c r="C1150" s="36"/>
      <c r="D1150" s="36"/>
      <c r="E1150" s="36"/>
      <c r="F1150" s="36"/>
      <c r="G1150" s="18"/>
      <c r="H1150" s="30"/>
      <c r="I1150" s="30"/>
      <c r="J1150" s="31"/>
      <c r="K1150" s="43"/>
      <c r="L1150" s="32"/>
      <c r="N1150" s="34"/>
      <c r="O1150" s="33"/>
      <c r="P1150" s="34"/>
      <c r="Q1150" s="36"/>
    </row>
    <row r="1151" spans="3:17" x14ac:dyDescent="0.25">
      <c r="C1151" s="36"/>
      <c r="D1151" s="36"/>
      <c r="E1151" s="36"/>
      <c r="F1151" s="36"/>
      <c r="G1151" s="18"/>
      <c r="H1151" s="30"/>
      <c r="I1151" s="30"/>
      <c r="J1151" s="31"/>
      <c r="K1151" s="43"/>
      <c r="L1151" s="32"/>
      <c r="N1151" s="34"/>
      <c r="O1151" s="33"/>
      <c r="P1151" s="34"/>
      <c r="Q1151" s="36"/>
    </row>
    <row r="1152" spans="3:17" x14ac:dyDescent="0.25">
      <c r="C1152" s="36"/>
      <c r="D1152" s="36"/>
      <c r="E1152" s="36"/>
      <c r="F1152" s="36"/>
      <c r="G1152" s="18"/>
      <c r="H1152" s="30"/>
      <c r="I1152" s="30"/>
      <c r="J1152" s="31"/>
      <c r="K1152" s="43"/>
      <c r="L1152" s="32"/>
      <c r="N1152" s="34"/>
      <c r="O1152" s="33"/>
      <c r="P1152" s="34"/>
      <c r="Q1152" s="36"/>
    </row>
    <row r="1153" spans="3:17" x14ac:dyDescent="0.25">
      <c r="C1153" s="36"/>
      <c r="D1153" s="36"/>
      <c r="E1153" s="36"/>
      <c r="F1153" s="36"/>
      <c r="G1153" s="18"/>
      <c r="H1153" s="30"/>
      <c r="I1153" s="30"/>
      <c r="J1153" s="31"/>
      <c r="K1153" s="43"/>
      <c r="L1153" s="32"/>
      <c r="N1153" s="34"/>
      <c r="O1153" s="33"/>
      <c r="P1153" s="34"/>
      <c r="Q1153" s="36"/>
    </row>
    <row r="1154" spans="3:17" x14ac:dyDescent="0.25">
      <c r="C1154" s="36"/>
      <c r="D1154" s="36"/>
      <c r="E1154" s="36"/>
      <c r="F1154" s="36"/>
      <c r="G1154" s="18"/>
      <c r="H1154" s="30"/>
      <c r="I1154" s="30"/>
      <c r="J1154" s="31"/>
      <c r="K1154" s="43"/>
      <c r="L1154" s="32"/>
      <c r="N1154" s="34"/>
      <c r="O1154" s="33"/>
      <c r="P1154" s="34"/>
      <c r="Q1154" s="36"/>
    </row>
    <row r="1155" spans="3:17" x14ac:dyDescent="0.25">
      <c r="C1155" s="36"/>
      <c r="D1155" s="36"/>
      <c r="E1155" s="36"/>
      <c r="F1155" s="36"/>
      <c r="G1155" s="18"/>
      <c r="H1155" s="30"/>
      <c r="I1155" s="30"/>
      <c r="J1155" s="31"/>
      <c r="K1155" s="43"/>
      <c r="L1155" s="32"/>
      <c r="N1155" s="34"/>
      <c r="O1155" s="33"/>
      <c r="P1155" s="34"/>
      <c r="Q1155" s="36"/>
    </row>
    <row r="1156" spans="3:17" x14ac:dyDescent="0.25">
      <c r="C1156" s="36"/>
      <c r="D1156" s="36"/>
      <c r="E1156" s="36"/>
      <c r="F1156" s="36"/>
      <c r="G1156" s="18"/>
      <c r="H1156" s="30"/>
      <c r="I1156" s="30"/>
      <c r="J1156" s="31"/>
      <c r="K1156" s="43"/>
      <c r="L1156" s="32"/>
      <c r="N1156" s="34"/>
      <c r="O1156" s="33"/>
      <c r="P1156" s="34"/>
      <c r="Q1156" s="36"/>
    </row>
    <row r="1157" spans="3:17" x14ac:dyDescent="0.25">
      <c r="C1157" s="36"/>
      <c r="D1157" s="36"/>
      <c r="E1157" s="36"/>
      <c r="F1157" s="36"/>
      <c r="G1157" s="18"/>
      <c r="H1157" s="30"/>
      <c r="I1157" s="30"/>
      <c r="J1157" s="31"/>
      <c r="K1157" s="43"/>
      <c r="L1157" s="32"/>
      <c r="N1157" s="34"/>
      <c r="O1157" s="33"/>
      <c r="P1157" s="34"/>
      <c r="Q1157" s="36"/>
    </row>
    <row r="1158" spans="3:17" x14ac:dyDescent="0.25">
      <c r="C1158" s="36"/>
      <c r="D1158" s="36"/>
      <c r="E1158" s="36"/>
      <c r="F1158" s="36"/>
      <c r="G1158" s="18"/>
      <c r="H1158" s="30"/>
      <c r="I1158" s="30"/>
      <c r="J1158" s="31"/>
      <c r="K1158" s="43"/>
      <c r="L1158" s="32"/>
      <c r="N1158" s="34"/>
      <c r="O1158" s="33"/>
      <c r="P1158" s="34"/>
      <c r="Q1158" s="36"/>
    </row>
    <row r="1159" spans="3:17" x14ac:dyDescent="0.25">
      <c r="C1159" s="36"/>
      <c r="D1159" s="36"/>
      <c r="E1159" s="36"/>
      <c r="F1159" s="36"/>
      <c r="G1159" s="18"/>
      <c r="H1159" s="30"/>
      <c r="I1159" s="30"/>
      <c r="J1159" s="31"/>
      <c r="K1159" s="43"/>
      <c r="L1159" s="32"/>
      <c r="N1159" s="34"/>
      <c r="O1159" s="33"/>
      <c r="P1159" s="34"/>
      <c r="Q1159" s="36"/>
    </row>
    <row r="1160" spans="3:17" x14ac:dyDescent="0.25">
      <c r="C1160" s="36"/>
      <c r="D1160" s="36"/>
      <c r="E1160" s="36"/>
      <c r="F1160" s="36"/>
      <c r="G1160" s="18"/>
      <c r="H1160" s="30"/>
      <c r="I1160" s="30"/>
      <c r="J1160" s="31"/>
      <c r="K1160" s="43"/>
      <c r="L1160" s="32"/>
      <c r="N1160" s="34"/>
      <c r="O1160" s="33"/>
      <c r="P1160" s="34"/>
      <c r="Q1160" s="36"/>
    </row>
    <row r="1161" spans="3:17" x14ac:dyDescent="0.25">
      <c r="C1161" s="36"/>
      <c r="D1161" s="36"/>
      <c r="E1161" s="36"/>
      <c r="F1161" s="36"/>
      <c r="G1161" s="18"/>
      <c r="H1161" s="30"/>
      <c r="I1161" s="30"/>
      <c r="J1161" s="31"/>
      <c r="K1161" s="43"/>
      <c r="L1161" s="32"/>
      <c r="N1161" s="34"/>
      <c r="O1161" s="33"/>
      <c r="P1161" s="34"/>
      <c r="Q1161" s="36"/>
    </row>
    <row r="1162" spans="3:17" x14ac:dyDescent="0.25">
      <c r="C1162" s="36"/>
      <c r="D1162" s="36"/>
      <c r="E1162" s="36"/>
      <c r="F1162" s="36"/>
      <c r="G1162" s="18"/>
      <c r="H1162" s="30"/>
      <c r="I1162" s="30"/>
      <c r="J1162" s="31"/>
      <c r="K1162" s="43"/>
      <c r="L1162" s="32"/>
      <c r="N1162" s="34"/>
      <c r="O1162" s="33"/>
      <c r="P1162" s="34"/>
      <c r="Q1162" s="36"/>
    </row>
    <row r="1163" spans="3:17" x14ac:dyDescent="0.25">
      <c r="C1163" s="36"/>
      <c r="D1163" s="36"/>
      <c r="E1163" s="36"/>
      <c r="F1163" s="36"/>
      <c r="G1163" s="18"/>
      <c r="H1163" s="30"/>
      <c r="I1163" s="30"/>
      <c r="J1163" s="31"/>
      <c r="K1163" s="43"/>
      <c r="L1163" s="32"/>
      <c r="N1163" s="34"/>
      <c r="O1163" s="33"/>
      <c r="P1163" s="34"/>
      <c r="Q1163" s="36"/>
    </row>
    <row r="1164" spans="3:17" x14ac:dyDescent="0.25">
      <c r="C1164" s="36"/>
      <c r="D1164" s="36"/>
      <c r="E1164" s="36"/>
      <c r="F1164" s="36"/>
      <c r="G1164" s="18"/>
      <c r="H1164" s="30"/>
      <c r="I1164" s="30"/>
      <c r="J1164" s="31"/>
      <c r="K1164" s="43"/>
      <c r="L1164" s="32"/>
      <c r="N1164" s="34"/>
      <c r="O1164" s="33"/>
      <c r="P1164" s="34"/>
      <c r="Q1164" s="36"/>
    </row>
    <row r="1165" spans="3:17" x14ac:dyDescent="0.25">
      <c r="C1165" s="36"/>
      <c r="D1165" s="36"/>
      <c r="E1165" s="36"/>
      <c r="F1165" s="36"/>
      <c r="G1165" s="18"/>
      <c r="H1165" s="30"/>
      <c r="I1165" s="30"/>
      <c r="J1165" s="31"/>
      <c r="K1165" s="43"/>
      <c r="L1165" s="32"/>
      <c r="N1165" s="34"/>
      <c r="O1165" s="33"/>
      <c r="P1165" s="34"/>
      <c r="Q1165" s="36"/>
    </row>
    <row r="1166" spans="3:17" x14ac:dyDescent="0.25">
      <c r="C1166" s="36"/>
      <c r="D1166" s="36"/>
      <c r="E1166" s="36"/>
      <c r="F1166" s="36"/>
      <c r="G1166" s="18"/>
      <c r="H1166" s="30"/>
      <c r="I1166" s="30"/>
      <c r="J1166" s="31"/>
      <c r="K1166" s="43"/>
      <c r="L1166" s="32"/>
      <c r="N1166" s="34"/>
      <c r="O1166" s="33"/>
      <c r="P1166" s="34"/>
      <c r="Q1166" s="36"/>
    </row>
    <row r="1167" spans="3:17" x14ac:dyDescent="0.25">
      <c r="C1167" s="36"/>
      <c r="D1167" s="36"/>
      <c r="E1167" s="36"/>
      <c r="F1167" s="36"/>
      <c r="G1167" s="18"/>
      <c r="H1167" s="30"/>
      <c r="I1167" s="30"/>
      <c r="J1167" s="31"/>
      <c r="K1167" s="43"/>
      <c r="L1167" s="32"/>
      <c r="N1167" s="34"/>
      <c r="O1167" s="33"/>
      <c r="P1167" s="34"/>
      <c r="Q1167" s="36"/>
    </row>
    <row r="1168" spans="3:17" x14ac:dyDescent="0.25">
      <c r="C1168" s="36"/>
      <c r="D1168" s="36"/>
      <c r="E1168" s="36"/>
      <c r="F1168" s="36"/>
      <c r="G1168" s="18"/>
      <c r="H1168" s="30"/>
      <c r="I1168" s="30"/>
      <c r="J1168" s="31"/>
      <c r="K1168" s="43"/>
      <c r="L1168" s="32"/>
      <c r="N1168" s="34"/>
      <c r="O1168" s="33"/>
      <c r="P1168" s="34"/>
      <c r="Q1168" s="36"/>
    </row>
    <row r="1169" spans="3:17" x14ac:dyDescent="0.25">
      <c r="C1169" s="36"/>
      <c r="D1169" s="36"/>
      <c r="E1169" s="36"/>
      <c r="F1169" s="36"/>
      <c r="G1169" s="18"/>
      <c r="H1169" s="30"/>
      <c r="I1169" s="30"/>
      <c r="J1169" s="31"/>
      <c r="K1169" s="43"/>
      <c r="L1169" s="32"/>
      <c r="N1169" s="34"/>
      <c r="O1169" s="33"/>
      <c r="P1169" s="34"/>
      <c r="Q1169" s="36"/>
    </row>
    <row r="1170" spans="3:17" x14ac:dyDescent="0.25">
      <c r="C1170" s="36"/>
      <c r="D1170" s="36"/>
      <c r="E1170" s="36"/>
      <c r="F1170" s="36"/>
      <c r="G1170" s="18"/>
      <c r="H1170" s="30"/>
      <c r="I1170" s="30"/>
      <c r="J1170" s="31"/>
      <c r="K1170" s="43"/>
      <c r="L1170" s="32"/>
      <c r="N1170" s="34"/>
      <c r="O1170" s="33"/>
      <c r="P1170" s="34"/>
      <c r="Q1170" s="36"/>
    </row>
    <row r="1171" spans="3:17" x14ac:dyDescent="0.25">
      <c r="C1171" s="36"/>
      <c r="D1171" s="36"/>
      <c r="E1171" s="36"/>
      <c r="F1171" s="36"/>
      <c r="G1171" s="18"/>
      <c r="H1171" s="30"/>
      <c r="I1171" s="30"/>
      <c r="J1171" s="31"/>
      <c r="K1171" s="43"/>
      <c r="L1171" s="32"/>
      <c r="N1171" s="34"/>
      <c r="O1171" s="33"/>
      <c r="P1171" s="34"/>
      <c r="Q1171" s="36"/>
    </row>
    <row r="1172" spans="3:17" x14ac:dyDescent="0.25">
      <c r="C1172" s="36"/>
      <c r="D1172" s="36"/>
      <c r="E1172" s="36"/>
      <c r="F1172" s="36"/>
      <c r="G1172" s="18"/>
      <c r="H1172" s="30"/>
      <c r="I1172" s="30"/>
      <c r="J1172" s="31"/>
      <c r="K1172" s="43"/>
      <c r="L1172" s="32"/>
      <c r="N1172" s="34"/>
      <c r="O1172" s="33"/>
      <c r="P1172" s="34"/>
      <c r="Q1172" s="36"/>
    </row>
    <row r="1173" spans="3:17" x14ac:dyDescent="0.25">
      <c r="C1173" s="36"/>
      <c r="D1173" s="36"/>
      <c r="E1173" s="36"/>
      <c r="F1173" s="36"/>
      <c r="G1173" s="18"/>
      <c r="H1173" s="30"/>
      <c r="I1173" s="30"/>
      <c r="J1173" s="31"/>
      <c r="K1173" s="43"/>
      <c r="L1173" s="32"/>
      <c r="N1173" s="34"/>
      <c r="O1173" s="33"/>
      <c r="P1173" s="34"/>
      <c r="Q1173" s="36"/>
    </row>
    <row r="1174" spans="3:17" x14ac:dyDescent="0.25">
      <c r="C1174" s="36"/>
      <c r="D1174" s="36"/>
      <c r="E1174" s="36"/>
      <c r="F1174" s="36"/>
      <c r="G1174" s="18"/>
      <c r="H1174" s="30"/>
      <c r="I1174" s="30"/>
      <c r="J1174" s="31"/>
      <c r="K1174" s="43"/>
      <c r="L1174" s="32"/>
      <c r="N1174" s="34"/>
      <c r="O1174" s="33"/>
      <c r="P1174" s="34"/>
      <c r="Q1174" s="36"/>
    </row>
    <row r="1175" spans="3:17" x14ac:dyDescent="0.25">
      <c r="C1175" s="36"/>
      <c r="D1175" s="36"/>
      <c r="E1175" s="36"/>
      <c r="F1175" s="36"/>
      <c r="G1175" s="18"/>
      <c r="H1175" s="30"/>
      <c r="I1175" s="30"/>
      <c r="J1175" s="31"/>
      <c r="K1175" s="43"/>
      <c r="L1175" s="32"/>
      <c r="N1175" s="34"/>
      <c r="O1175" s="33"/>
      <c r="P1175" s="34"/>
      <c r="Q1175" s="36"/>
    </row>
    <row r="1176" spans="3:17" x14ac:dyDescent="0.25">
      <c r="C1176" s="36"/>
      <c r="D1176" s="36"/>
      <c r="E1176" s="36"/>
      <c r="F1176" s="36"/>
      <c r="G1176" s="18"/>
      <c r="H1176" s="30"/>
      <c r="I1176" s="30"/>
      <c r="J1176" s="31"/>
      <c r="K1176" s="43"/>
      <c r="L1176" s="32"/>
      <c r="N1176" s="34"/>
      <c r="O1176" s="33"/>
      <c r="P1176" s="34"/>
      <c r="Q1176" s="36"/>
    </row>
    <row r="1177" spans="3:17" x14ac:dyDescent="0.25">
      <c r="C1177" s="36"/>
      <c r="D1177" s="36"/>
      <c r="E1177" s="36"/>
      <c r="F1177" s="36"/>
      <c r="G1177" s="18"/>
      <c r="H1177" s="30"/>
      <c r="I1177" s="30"/>
      <c r="J1177" s="31"/>
      <c r="K1177" s="43"/>
      <c r="L1177" s="32"/>
      <c r="N1177" s="34"/>
      <c r="O1177" s="33"/>
      <c r="P1177" s="34"/>
      <c r="Q1177" s="36"/>
    </row>
    <row r="1178" spans="3:17" x14ac:dyDescent="0.25">
      <c r="C1178" s="36"/>
      <c r="D1178" s="36"/>
      <c r="E1178" s="36"/>
      <c r="F1178" s="36"/>
      <c r="G1178" s="18"/>
      <c r="H1178" s="30"/>
      <c r="I1178" s="30"/>
      <c r="J1178" s="31"/>
      <c r="K1178" s="43"/>
      <c r="L1178" s="32"/>
      <c r="N1178" s="34"/>
      <c r="O1178" s="33"/>
      <c r="P1178" s="34"/>
      <c r="Q1178" s="36"/>
    </row>
    <row r="1179" spans="3:17" x14ac:dyDescent="0.25">
      <c r="C1179" s="36"/>
      <c r="D1179" s="36"/>
      <c r="E1179" s="36"/>
      <c r="F1179" s="36"/>
      <c r="G1179" s="18"/>
      <c r="H1179" s="30"/>
      <c r="I1179" s="30"/>
      <c r="J1179" s="31"/>
      <c r="K1179" s="43"/>
      <c r="L1179" s="32"/>
      <c r="N1179" s="34"/>
      <c r="O1179" s="33"/>
      <c r="P1179" s="34"/>
      <c r="Q1179" s="36"/>
    </row>
    <row r="1180" spans="3:17" x14ac:dyDescent="0.25">
      <c r="C1180" s="36"/>
      <c r="D1180" s="36"/>
      <c r="E1180" s="36"/>
      <c r="F1180" s="36"/>
      <c r="G1180" s="18"/>
      <c r="H1180" s="30"/>
      <c r="I1180" s="30"/>
      <c r="J1180" s="31"/>
      <c r="K1180" s="43"/>
      <c r="L1180" s="32"/>
      <c r="N1180" s="34"/>
      <c r="O1180" s="33"/>
      <c r="P1180" s="34"/>
      <c r="Q1180" s="36"/>
    </row>
    <row r="1181" spans="3:17" x14ac:dyDescent="0.25">
      <c r="C1181" s="36"/>
      <c r="D1181" s="36"/>
      <c r="E1181" s="36"/>
      <c r="F1181" s="36"/>
      <c r="G1181" s="18"/>
      <c r="H1181" s="30"/>
      <c r="I1181" s="30"/>
      <c r="J1181" s="31"/>
      <c r="K1181" s="43"/>
      <c r="L1181" s="32"/>
      <c r="N1181" s="34"/>
      <c r="O1181" s="33"/>
      <c r="P1181" s="34"/>
      <c r="Q1181" s="36"/>
    </row>
    <row r="1182" spans="3:17" x14ac:dyDescent="0.25">
      <c r="C1182" s="36"/>
      <c r="D1182" s="36"/>
      <c r="E1182" s="36"/>
      <c r="F1182" s="36"/>
      <c r="G1182" s="18"/>
      <c r="H1182" s="30"/>
      <c r="I1182" s="30"/>
      <c r="J1182" s="31"/>
      <c r="K1182" s="43"/>
      <c r="L1182" s="32"/>
      <c r="N1182" s="34"/>
      <c r="O1182" s="33"/>
      <c r="P1182" s="34"/>
      <c r="Q1182" s="36"/>
    </row>
    <row r="1183" spans="3:17" x14ac:dyDescent="0.25">
      <c r="C1183" s="36"/>
      <c r="D1183" s="36"/>
      <c r="E1183" s="36"/>
      <c r="F1183" s="36"/>
      <c r="G1183" s="18"/>
      <c r="H1183" s="30"/>
      <c r="I1183" s="30"/>
      <c r="J1183" s="31"/>
      <c r="K1183" s="43"/>
      <c r="L1183" s="32"/>
      <c r="N1183" s="34"/>
      <c r="O1183" s="33"/>
      <c r="P1183" s="34"/>
      <c r="Q1183" s="36"/>
    </row>
    <row r="1184" spans="3:17" x14ac:dyDescent="0.25">
      <c r="C1184" s="36"/>
      <c r="D1184" s="36"/>
      <c r="E1184" s="36"/>
      <c r="F1184" s="36"/>
      <c r="G1184" s="18"/>
      <c r="H1184" s="30"/>
      <c r="I1184" s="30"/>
      <c r="J1184" s="31"/>
      <c r="K1184" s="43"/>
      <c r="L1184" s="32"/>
      <c r="N1184" s="34"/>
      <c r="O1184" s="33"/>
      <c r="P1184" s="34"/>
      <c r="Q1184" s="36"/>
    </row>
    <row r="1185" spans="3:17" x14ac:dyDescent="0.25">
      <c r="C1185" s="36"/>
      <c r="D1185" s="36"/>
      <c r="E1185" s="36"/>
      <c r="F1185" s="36"/>
      <c r="G1185" s="18"/>
      <c r="H1185" s="30"/>
      <c r="I1185" s="30"/>
      <c r="J1185" s="31"/>
      <c r="K1185" s="43"/>
      <c r="L1185" s="32"/>
      <c r="N1185" s="34"/>
      <c r="O1185" s="33"/>
      <c r="P1185" s="34"/>
      <c r="Q1185" s="36"/>
    </row>
    <row r="1186" spans="3:17" x14ac:dyDescent="0.25">
      <c r="C1186" s="36"/>
      <c r="D1186" s="36"/>
      <c r="E1186" s="36"/>
      <c r="F1186" s="36"/>
      <c r="G1186" s="18"/>
      <c r="H1186" s="30"/>
      <c r="I1186" s="30"/>
      <c r="J1186" s="31"/>
      <c r="K1186" s="43"/>
      <c r="L1186" s="32"/>
      <c r="N1186" s="34"/>
      <c r="O1186" s="33"/>
      <c r="P1186" s="34"/>
      <c r="Q1186" s="36"/>
    </row>
    <row r="1187" spans="3:17" x14ac:dyDescent="0.25">
      <c r="C1187" s="36"/>
      <c r="D1187" s="36"/>
      <c r="E1187" s="36"/>
      <c r="F1187" s="36"/>
      <c r="G1187" s="18"/>
      <c r="H1187" s="30"/>
      <c r="I1187" s="30"/>
      <c r="J1187" s="31"/>
      <c r="K1187" s="43"/>
      <c r="L1187" s="32"/>
      <c r="N1187" s="34"/>
      <c r="O1187" s="33"/>
      <c r="P1187" s="34"/>
      <c r="Q1187" s="36"/>
    </row>
    <row r="1188" spans="3:17" x14ac:dyDescent="0.25">
      <c r="C1188" s="36"/>
      <c r="D1188" s="36"/>
      <c r="E1188" s="36"/>
      <c r="F1188" s="36"/>
      <c r="G1188" s="18"/>
      <c r="H1188" s="30"/>
      <c r="I1188" s="30"/>
      <c r="J1188" s="31"/>
      <c r="K1188" s="43"/>
      <c r="L1188" s="32"/>
      <c r="N1188" s="34"/>
      <c r="O1188" s="33"/>
      <c r="P1188" s="34"/>
      <c r="Q1188" s="36"/>
    </row>
    <row r="1189" spans="3:17" x14ac:dyDescent="0.25">
      <c r="C1189" s="36"/>
      <c r="D1189" s="36"/>
      <c r="E1189" s="36"/>
      <c r="F1189" s="36"/>
      <c r="G1189" s="18"/>
      <c r="H1189" s="30"/>
      <c r="I1189" s="30"/>
      <c r="J1189" s="31"/>
      <c r="K1189" s="43"/>
      <c r="L1189" s="32"/>
      <c r="N1189" s="34"/>
      <c r="O1189" s="33"/>
      <c r="P1189" s="34"/>
      <c r="Q1189" s="36"/>
    </row>
    <row r="1190" spans="3:17" x14ac:dyDescent="0.25">
      <c r="C1190" s="36"/>
      <c r="D1190" s="36"/>
      <c r="E1190" s="36"/>
      <c r="F1190" s="36"/>
      <c r="G1190" s="18"/>
      <c r="H1190" s="30"/>
      <c r="I1190" s="30"/>
      <c r="J1190" s="31"/>
      <c r="K1190" s="43"/>
      <c r="L1190" s="32"/>
      <c r="N1190" s="34"/>
      <c r="O1190" s="33"/>
      <c r="P1190" s="34"/>
      <c r="Q1190" s="36"/>
    </row>
    <row r="1191" spans="3:17" x14ac:dyDescent="0.25">
      <c r="C1191" s="36"/>
      <c r="D1191" s="36"/>
      <c r="E1191" s="36"/>
      <c r="F1191" s="36"/>
      <c r="G1191" s="18"/>
      <c r="H1191" s="30"/>
      <c r="I1191" s="30"/>
      <c r="J1191" s="31"/>
      <c r="K1191" s="43"/>
      <c r="L1191" s="32"/>
      <c r="N1191" s="34"/>
      <c r="O1191" s="33"/>
      <c r="P1191" s="34"/>
      <c r="Q1191" s="36"/>
    </row>
    <row r="1192" spans="3:17" x14ac:dyDescent="0.25">
      <c r="C1192" s="36"/>
      <c r="D1192" s="36"/>
      <c r="E1192" s="36"/>
      <c r="F1192" s="36"/>
      <c r="G1192" s="18"/>
      <c r="H1192" s="30"/>
      <c r="I1192" s="30"/>
      <c r="J1192" s="31"/>
      <c r="K1192" s="43"/>
      <c r="L1192" s="32"/>
      <c r="N1192" s="34"/>
      <c r="O1192" s="33"/>
      <c r="P1192" s="34"/>
      <c r="Q1192" s="36"/>
    </row>
    <row r="1193" spans="3:17" x14ac:dyDescent="0.25">
      <c r="C1193" s="36"/>
      <c r="D1193" s="36"/>
      <c r="E1193" s="36"/>
      <c r="F1193" s="36"/>
      <c r="G1193" s="18"/>
      <c r="H1193" s="30"/>
      <c r="I1193" s="30"/>
      <c r="J1193" s="31"/>
      <c r="K1193" s="43"/>
      <c r="L1193" s="32"/>
      <c r="N1193" s="34"/>
      <c r="O1193" s="33"/>
      <c r="P1193" s="34"/>
      <c r="Q1193" s="36"/>
    </row>
    <row r="1194" spans="3:17" x14ac:dyDescent="0.25">
      <c r="C1194" s="36"/>
      <c r="D1194" s="36"/>
      <c r="E1194" s="36"/>
      <c r="F1194" s="36"/>
      <c r="G1194" s="18"/>
      <c r="H1194" s="30"/>
      <c r="I1194" s="30"/>
      <c r="J1194" s="31"/>
      <c r="K1194" s="43"/>
      <c r="L1194" s="32"/>
      <c r="N1194" s="34"/>
      <c r="O1194" s="33"/>
      <c r="P1194" s="34"/>
      <c r="Q1194" s="36"/>
    </row>
    <row r="1195" spans="3:17" x14ac:dyDescent="0.25">
      <c r="C1195" s="36"/>
      <c r="D1195" s="36"/>
      <c r="E1195" s="36"/>
      <c r="F1195" s="36"/>
      <c r="G1195" s="18"/>
      <c r="H1195" s="30"/>
      <c r="I1195" s="30"/>
      <c r="J1195" s="31"/>
      <c r="K1195" s="36"/>
      <c r="L1195" s="32"/>
      <c r="N1195" s="34"/>
      <c r="O1195" s="33"/>
      <c r="P1195" s="34"/>
      <c r="Q1195" s="36"/>
    </row>
    <row r="1196" spans="3:17" x14ac:dyDescent="0.25">
      <c r="C1196" s="36"/>
      <c r="D1196" s="36"/>
      <c r="E1196" s="36"/>
      <c r="F1196" s="36"/>
      <c r="G1196" s="18"/>
      <c r="H1196" s="30"/>
      <c r="I1196" s="30"/>
      <c r="J1196" s="31"/>
      <c r="K1196" s="43"/>
      <c r="L1196" s="32"/>
      <c r="N1196" s="34"/>
      <c r="O1196" s="33"/>
      <c r="P1196" s="34"/>
      <c r="Q1196" s="36"/>
    </row>
    <row r="1197" spans="3:17" x14ac:dyDescent="0.25">
      <c r="C1197" s="36"/>
      <c r="D1197" s="36"/>
      <c r="E1197" s="36"/>
      <c r="F1197" s="36"/>
      <c r="G1197" s="18"/>
      <c r="H1197" s="30"/>
      <c r="I1197" s="30"/>
      <c r="J1197" s="31"/>
      <c r="K1197" s="43"/>
      <c r="L1197" s="32"/>
      <c r="N1197" s="34"/>
      <c r="O1197" s="33"/>
      <c r="P1197" s="34"/>
      <c r="Q1197" s="36"/>
    </row>
    <row r="1198" spans="3:17" x14ac:dyDescent="0.25">
      <c r="C1198" s="36"/>
      <c r="D1198" s="36"/>
      <c r="E1198" s="36"/>
      <c r="F1198" s="36"/>
      <c r="G1198" s="18"/>
      <c r="H1198" s="30"/>
      <c r="I1198" s="30"/>
      <c r="J1198" s="31"/>
      <c r="K1198" s="43"/>
      <c r="L1198" s="32"/>
      <c r="N1198" s="34"/>
      <c r="O1198" s="33"/>
      <c r="P1198" s="34"/>
      <c r="Q1198" s="36"/>
    </row>
    <row r="1199" spans="3:17" x14ac:dyDescent="0.25">
      <c r="C1199" s="36"/>
      <c r="D1199" s="36"/>
      <c r="E1199" s="36"/>
      <c r="F1199" s="36"/>
      <c r="G1199" s="18"/>
      <c r="H1199" s="30"/>
      <c r="I1199" s="30"/>
      <c r="J1199" s="31"/>
      <c r="K1199" s="43"/>
      <c r="L1199" s="32"/>
      <c r="N1199" s="34"/>
      <c r="O1199" s="33"/>
      <c r="P1199" s="34"/>
      <c r="Q1199" s="36"/>
    </row>
    <row r="1200" spans="3:17" x14ac:dyDescent="0.25">
      <c r="C1200" s="36"/>
      <c r="D1200" s="36"/>
      <c r="E1200" s="36"/>
      <c r="F1200" s="36"/>
      <c r="G1200" s="18"/>
      <c r="H1200" s="30"/>
      <c r="I1200" s="30"/>
      <c r="J1200" s="31"/>
      <c r="K1200" s="43"/>
      <c r="L1200" s="32"/>
      <c r="N1200" s="34"/>
      <c r="O1200" s="33"/>
      <c r="P1200" s="34"/>
      <c r="Q1200" s="36"/>
    </row>
    <row r="1201" spans="3:17" x14ac:dyDescent="0.25">
      <c r="C1201" s="36"/>
      <c r="D1201" s="36"/>
      <c r="E1201" s="36"/>
      <c r="F1201" s="36"/>
      <c r="G1201" s="18"/>
      <c r="H1201" s="30"/>
      <c r="I1201" s="30"/>
      <c r="J1201" s="31"/>
      <c r="K1201" s="43"/>
      <c r="L1201" s="32"/>
      <c r="N1201" s="34"/>
      <c r="O1201" s="33"/>
      <c r="P1201" s="34"/>
      <c r="Q1201" s="36"/>
    </row>
    <row r="1202" spans="3:17" x14ac:dyDescent="0.25">
      <c r="C1202" s="36"/>
      <c r="D1202" s="36"/>
      <c r="E1202" s="36"/>
      <c r="F1202" s="36"/>
      <c r="G1202" s="18"/>
      <c r="H1202" s="30"/>
      <c r="I1202" s="30"/>
      <c r="J1202" s="31"/>
      <c r="K1202" s="43"/>
      <c r="L1202" s="32"/>
      <c r="N1202" s="34"/>
      <c r="O1202" s="33"/>
      <c r="P1202" s="34"/>
      <c r="Q1202" s="36"/>
    </row>
    <row r="1203" spans="3:17" x14ac:dyDescent="0.25">
      <c r="C1203" s="36"/>
      <c r="D1203" s="36"/>
      <c r="E1203" s="36"/>
      <c r="F1203" s="36"/>
      <c r="G1203" s="18"/>
      <c r="H1203" s="30"/>
      <c r="I1203" s="30"/>
      <c r="J1203" s="31"/>
      <c r="K1203" s="43"/>
      <c r="L1203" s="32"/>
      <c r="N1203" s="34"/>
      <c r="O1203" s="33"/>
      <c r="P1203" s="34"/>
      <c r="Q1203" s="36"/>
    </row>
    <row r="1204" spans="3:17" x14ac:dyDescent="0.25">
      <c r="C1204" s="36"/>
      <c r="D1204" s="36"/>
      <c r="E1204" s="36"/>
      <c r="F1204" s="36"/>
      <c r="G1204" s="18"/>
      <c r="H1204" s="30"/>
      <c r="I1204" s="30"/>
      <c r="J1204" s="31"/>
      <c r="K1204" s="43"/>
      <c r="L1204" s="32"/>
      <c r="N1204" s="34"/>
      <c r="O1204" s="33"/>
      <c r="P1204" s="34"/>
      <c r="Q1204" s="36"/>
    </row>
    <row r="1205" spans="3:17" x14ac:dyDescent="0.25">
      <c r="C1205" s="36"/>
      <c r="D1205" s="36"/>
      <c r="E1205" s="36"/>
      <c r="F1205" s="36"/>
      <c r="G1205" s="18"/>
      <c r="H1205" s="30"/>
      <c r="I1205" s="30"/>
      <c r="J1205" s="31"/>
      <c r="K1205" s="43"/>
      <c r="L1205" s="32"/>
      <c r="N1205" s="34"/>
      <c r="O1205" s="33"/>
      <c r="P1205" s="34"/>
      <c r="Q1205" s="36"/>
    </row>
    <row r="1206" spans="3:17" x14ac:dyDescent="0.25">
      <c r="C1206" s="36"/>
      <c r="D1206" s="36"/>
      <c r="E1206" s="36"/>
      <c r="F1206" s="36"/>
      <c r="G1206" s="18"/>
      <c r="H1206" s="30"/>
      <c r="I1206" s="30"/>
      <c r="J1206" s="31"/>
      <c r="K1206" s="43"/>
      <c r="L1206" s="32"/>
      <c r="N1206" s="34"/>
      <c r="O1206" s="33"/>
      <c r="P1206" s="34"/>
      <c r="Q1206" s="36"/>
    </row>
    <row r="1207" spans="3:17" x14ac:dyDescent="0.25">
      <c r="C1207" s="36"/>
      <c r="D1207" s="36"/>
      <c r="E1207" s="36"/>
      <c r="F1207" s="36"/>
      <c r="G1207" s="18"/>
      <c r="H1207" s="30"/>
      <c r="I1207" s="30"/>
      <c r="J1207" s="31"/>
      <c r="K1207" s="43"/>
      <c r="L1207" s="32"/>
      <c r="N1207" s="34"/>
      <c r="O1207" s="33"/>
      <c r="P1207" s="34"/>
      <c r="Q1207" s="36"/>
    </row>
    <row r="1208" spans="3:17" x14ac:dyDescent="0.25">
      <c r="C1208" s="36"/>
      <c r="D1208" s="36"/>
      <c r="E1208" s="36"/>
      <c r="F1208" s="36"/>
      <c r="G1208" s="18"/>
      <c r="H1208" s="30"/>
      <c r="I1208" s="30"/>
      <c r="J1208" s="31"/>
      <c r="K1208" s="43"/>
      <c r="L1208" s="32"/>
      <c r="N1208" s="34"/>
      <c r="O1208" s="33"/>
      <c r="P1208" s="34"/>
      <c r="Q1208" s="36"/>
    </row>
    <row r="1209" spans="3:17" x14ac:dyDescent="0.25">
      <c r="C1209" s="36"/>
      <c r="D1209" s="36"/>
      <c r="E1209" s="36"/>
      <c r="F1209" s="36"/>
      <c r="G1209" s="18"/>
      <c r="H1209" s="30"/>
      <c r="I1209" s="30"/>
      <c r="J1209" s="31"/>
      <c r="K1209" s="43"/>
      <c r="L1209" s="32"/>
      <c r="N1209" s="34"/>
      <c r="O1209" s="33"/>
      <c r="P1209" s="34"/>
      <c r="Q1209" s="36"/>
    </row>
    <row r="1210" spans="3:17" x14ac:dyDescent="0.25">
      <c r="C1210" s="36"/>
      <c r="D1210" s="36"/>
      <c r="E1210" s="36"/>
      <c r="F1210" s="36"/>
      <c r="G1210" s="18"/>
      <c r="H1210" s="30"/>
      <c r="I1210" s="30"/>
      <c r="J1210" s="31"/>
      <c r="K1210" s="43"/>
      <c r="L1210" s="32"/>
      <c r="N1210" s="34"/>
      <c r="O1210" s="33"/>
      <c r="P1210" s="34"/>
      <c r="Q1210" s="36"/>
    </row>
    <row r="1211" spans="3:17" x14ac:dyDescent="0.25">
      <c r="C1211" s="36"/>
      <c r="D1211" s="36"/>
      <c r="E1211" s="36"/>
      <c r="F1211" s="36"/>
      <c r="G1211" s="18"/>
      <c r="H1211" s="30"/>
      <c r="I1211" s="30"/>
      <c r="J1211" s="31"/>
      <c r="K1211" s="43"/>
      <c r="L1211" s="32"/>
      <c r="N1211" s="34"/>
      <c r="O1211" s="33"/>
      <c r="P1211" s="34"/>
      <c r="Q1211" s="36"/>
    </row>
    <row r="1212" spans="3:17" x14ac:dyDescent="0.25">
      <c r="C1212" s="36"/>
      <c r="D1212" s="36"/>
      <c r="E1212" s="36"/>
      <c r="F1212" s="36"/>
      <c r="G1212" s="18"/>
      <c r="H1212" s="30"/>
      <c r="I1212" s="30"/>
      <c r="J1212" s="31"/>
      <c r="K1212" s="43"/>
      <c r="L1212" s="32"/>
      <c r="N1212" s="34"/>
      <c r="O1212" s="33"/>
      <c r="P1212" s="34"/>
      <c r="Q1212" s="36"/>
    </row>
    <row r="1213" spans="3:17" x14ac:dyDescent="0.25">
      <c r="C1213" s="36"/>
      <c r="D1213" s="36"/>
      <c r="E1213" s="36"/>
      <c r="F1213" s="36"/>
      <c r="G1213" s="18"/>
      <c r="H1213" s="30"/>
      <c r="I1213" s="30"/>
      <c r="J1213" s="31"/>
      <c r="K1213" s="43"/>
      <c r="L1213" s="32"/>
      <c r="N1213" s="34"/>
      <c r="O1213" s="33"/>
      <c r="P1213" s="34"/>
      <c r="Q1213" s="36"/>
    </row>
    <row r="1214" spans="3:17" x14ac:dyDescent="0.25">
      <c r="C1214" s="36"/>
      <c r="D1214" s="36"/>
      <c r="E1214" s="36"/>
      <c r="F1214" s="36"/>
      <c r="G1214" s="18"/>
      <c r="H1214" s="30"/>
      <c r="I1214" s="30"/>
      <c r="J1214" s="31"/>
      <c r="K1214" s="43"/>
      <c r="L1214" s="32"/>
      <c r="N1214" s="34"/>
      <c r="O1214" s="33"/>
      <c r="P1214" s="34"/>
      <c r="Q1214" s="36"/>
    </row>
    <row r="1215" spans="3:17" x14ac:dyDescent="0.25">
      <c r="C1215" s="36"/>
      <c r="D1215" s="36"/>
      <c r="E1215" s="36"/>
      <c r="F1215" s="36"/>
      <c r="G1215" s="18"/>
      <c r="H1215" s="30"/>
      <c r="I1215" s="30"/>
      <c r="J1215" s="31"/>
      <c r="K1215" s="43"/>
      <c r="L1215" s="32"/>
      <c r="N1215" s="34"/>
      <c r="O1215" s="33"/>
      <c r="P1215" s="34"/>
      <c r="Q1215" s="36"/>
    </row>
    <row r="1216" spans="3:17" x14ac:dyDescent="0.25">
      <c r="C1216" s="36"/>
      <c r="D1216" s="36"/>
      <c r="E1216" s="36"/>
      <c r="F1216" s="36"/>
      <c r="G1216" s="18"/>
      <c r="H1216" s="30"/>
      <c r="I1216" s="30"/>
      <c r="J1216" s="31"/>
      <c r="K1216" s="43"/>
      <c r="L1216" s="32"/>
      <c r="N1216" s="34"/>
      <c r="O1216" s="33"/>
      <c r="P1216" s="34"/>
      <c r="Q1216" s="36"/>
    </row>
    <row r="1217" spans="3:17" x14ac:dyDescent="0.25">
      <c r="C1217" s="36"/>
      <c r="D1217" s="36"/>
      <c r="E1217" s="36"/>
      <c r="F1217" s="36"/>
      <c r="G1217" s="18"/>
      <c r="H1217" s="30"/>
      <c r="I1217" s="30"/>
      <c r="J1217" s="31"/>
      <c r="K1217" s="43"/>
      <c r="L1217" s="32"/>
      <c r="N1217" s="34"/>
      <c r="O1217" s="33"/>
      <c r="P1217" s="34"/>
      <c r="Q1217" s="36"/>
    </row>
    <row r="1218" spans="3:17" x14ac:dyDescent="0.25">
      <c r="C1218" s="36"/>
      <c r="D1218" s="36"/>
      <c r="E1218" s="36"/>
      <c r="F1218" s="36"/>
      <c r="G1218" s="18"/>
      <c r="H1218" s="30"/>
      <c r="I1218" s="30"/>
      <c r="J1218" s="31"/>
      <c r="K1218" s="43"/>
      <c r="L1218" s="32"/>
      <c r="N1218" s="34"/>
      <c r="O1218" s="33"/>
      <c r="P1218" s="34"/>
      <c r="Q1218" s="36"/>
    </row>
    <row r="1219" spans="3:17" x14ac:dyDescent="0.25">
      <c r="C1219" s="36"/>
      <c r="D1219" s="36"/>
      <c r="E1219" s="36"/>
      <c r="F1219" s="36"/>
      <c r="G1219" s="18"/>
      <c r="H1219" s="30"/>
      <c r="I1219" s="30"/>
      <c r="J1219" s="31"/>
      <c r="K1219" s="43"/>
      <c r="L1219" s="32"/>
      <c r="N1219" s="34"/>
      <c r="O1219" s="33"/>
      <c r="P1219" s="34"/>
      <c r="Q1219" s="36"/>
    </row>
    <row r="1220" spans="3:17" x14ac:dyDescent="0.25">
      <c r="C1220" s="36"/>
      <c r="D1220" s="36"/>
      <c r="E1220" s="36"/>
      <c r="F1220" s="36"/>
      <c r="G1220" s="18"/>
      <c r="H1220" s="30"/>
      <c r="I1220" s="30"/>
      <c r="J1220" s="31"/>
      <c r="K1220" s="43"/>
      <c r="L1220" s="32"/>
      <c r="N1220" s="34"/>
      <c r="O1220" s="33"/>
      <c r="P1220" s="34"/>
      <c r="Q1220" s="36"/>
    </row>
    <row r="1221" spans="3:17" x14ac:dyDescent="0.25">
      <c r="C1221" s="36"/>
      <c r="D1221" s="36"/>
      <c r="E1221" s="36"/>
      <c r="F1221" s="36"/>
      <c r="G1221" s="18"/>
      <c r="H1221" s="30"/>
      <c r="I1221" s="30"/>
      <c r="J1221" s="31"/>
      <c r="K1221" s="43"/>
      <c r="L1221" s="32"/>
      <c r="N1221" s="34"/>
      <c r="O1221" s="33"/>
      <c r="P1221" s="34"/>
      <c r="Q1221" s="36"/>
    </row>
    <row r="1222" spans="3:17" x14ac:dyDescent="0.25">
      <c r="C1222" s="36"/>
      <c r="D1222" s="36"/>
      <c r="E1222" s="36"/>
      <c r="F1222" s="36"/>
      <c r="G1222" s="18"/>
      <c r="H1222" s="30"/>
      <c r="I1222" s="30"/>
      <c r="J1222" s="31"/>
      <c r="K1222" s="43"/>
      <c r="L1222" s="32"/>
      <c r="N1222" s="34"/>
      <c r="O1222" s="33"/>
      <c r="P1222" s="34"/>
      <c r="Q1222" s="36"/>
    </row>
    <row r="1223" spans="3:17" x14ac:dyDescent="0.25">
      <c r="C1223" s="36"/>
      <c r="D1223" s="36"/>
      <c r="E1223" s="36"/>
      <c r="F1223" s="36"/>
      <c r="G1223" s="18"/>
      <c r="H1223" s="30"/>
      <c r="I1223" s="30"/>
      <c r="J1223" s="31"/>
      <c r="K1223" s="43"/>
      <c r="L1223" s="32"/>
      <c r="N1223" s="34"/>
      <c r="O1223" s="33"/>
      <c r="P1223" s="34"/>
      <c r="Q1223" s="36"/>
    </row>
    <row r="1224" spans="3:17" x14ac:dyDescent="0.25">
      <c r="C1224" s="36"/>
      <c r="D1224" s="36"/>
      <c r="E1224" s="36"/>
      <c r="F1224" s="36"/>
      <c r="G1224" s="18"/>
      <c r="H1224" s="30"/>
      <c r="I1224" s="30"/>
      <c r="J1224" s="31"/>
      <c r="K1224" s="43"/>
      <c r="L1224" s="32"/>
      <c r="N1224" s="34"/>
      <c r="O1224" s="33"/>
      <c r="P1224" s="34"/>
      <c r="Q1224" s="36"/>
    </row>
    <row r="1225" spans="3:17" x14ac:dyDescent="0.25">
      <c r="C1225" s="36"/>
      <c r="D1225" s="36"/>
      <c r="E1225" s="36"/>
      <c r="F1225" s="36"/>
      <c r="G1225" s="18"/>
      <c r="H1225" s="30"/>
      <c r="I1225" s="30"/>
      <c r="J1225" s="31"/>
      <c r="K1225" s="43"/>
      <c r="L1225" s="32"/>
      <c r="N1225" s="34"/>
      <c r="O1225" s="33"/>
      <c r="P1225" s="34"/>
      <c r="Q1225" s="36"/>
    </row>
    <row r="1226" spans="3:17" x14ac:dyDescent="0.25">
      <c r="C1226" s="36"/>
      <c r="D1226" s="36"/>
      <c r="E1226" s="36"/>
      <c r="F1226" s="36"/>
      <c r="G1226" s="18"/>
      <c r="H1226" s="30"/>
      <c r="I1226" s="30"/>
      <c r="J1226" s="31"/>
      <c r="K1226" s="43"/>
      <c r="L1226" s="32"/>
      <c r="N1226" s="34"/>
      <c r="O1226" s="33"/>
      <c r="P1226" s="34"/>
      <c r="Q1226" s="36"/>
    </row>
    <row r="1227" spans="3:17" x14ac:dyDescent="0.25">
      <c r="C1227" s="36"/>
      <c r="D1227" s="36"/>
      <c r="E1227" s="36"/>
      <c r="F1227" s="36"/>
      <c r="G1227" s="18"/>
      <c r="H1227" s="30"/>
      <c r="I1227" s="30"/>
      <c r="J1227" s="31"/>
      <c r="K1227" s="43"/>
      <c r="L1227" s="32"/>
      <c r="N1227" s="34"/>
      <c r="O1227" s="33"/>
      <c r="P1227" s="34"/>
      <c r="Q1227" s="36"/>
    </row>
    <row r="1228" spans="3:17" x14ac:dyDescent="0.25">
      <c r="C1228" s="36"/>
      <c r="D1228" s="36"/>
      <c r="E1228" s="36"/>
      <c r="F1228" s="36"/>
      <c r="G1228" s="18"/>
      <c r="H1228" s="30"/>
      <c r="I1228" s="30"/>
      <c r="J1228" s="31"/>
      <c r="K1228" s="43"/>
      <c r="L1228" s="32"/>
      <c r="N1228" s="34"/>
      <c r="O1228" s="33"/>
      <c r="P1228" s="34"/>
      <c r="Q1228" s="36"/>
    </row>
    <row r="1229" spans="3:17" x14ac:dyDescent="0.25">
      <c r="C1229" s="36"/>
      <c r="D1229" s="36"/>
      <c r="E1229" s="36"/>
      <c r="F1229" s="36"/>
      <c r="G1229" s="18"/>
      <c r="H1229" s="30"/>
      <c r="I1229" s="30"/>
      <c r="J1229" s="31"/>
      <c r="K1229" s="43"/>
      <c r="L1229" s="32"/>
      <c r="N1229" s="34"/>
      <c r="O1229" s="33"/>
      <c r="P1229" s="34"/>
      <c r="Q1229" s="36"/>
    </row>
    <row r="1230" spans="3:17" x14ac:dyDescent="0.25">
      <c r="C1230" s="36"/>
      <c r="D1230" s="36"/>
      <c r="E1230" s="36"/>
      <c r="F1230" s="36"/>
      <c r="G1230" s="18"/>
      <c r="H1230" s="30"/>
      <c r="I1230" s="30"/>
      <c r="J1230" s="31"/>
      <c r="K1230" s="43"/>
      <c r="L1230" s="32"/>
      <c r="N1230" s="34"/>
      <c r="O1230" s="33"/>
      <c r="P1230" s="34"/>
      <c r="Q1230" s="36"/>
    </row>
    <row r="1231" spans="3:17" x14ac:dyDescent="0.25">
      <c r="C1231" s="36"/>
      <c r="D1231" s="36"/>
      <c r="E1231" s="36"/>
      <c r="F1231" s="36"/>
      <c r="G1231" s="18"/>
      <c r="H1231" s="30"/>
      <c r="I1231" s="30"/>
      <c r="J1231" s="31"/>
      <c r="K1231" s="43"/>
      <c r="L1231" s="32"/>
      <c r="N1231" s="34"/>
      <c r="O1231" s="33"/>
      <c r="P1231" s="34"/>
      <c r="Q1231" s="36"/>
    </row>
    <row r="1232" spans="3:17" x14ac:dyDescent="0.25">
      <c r="C1232" s="36"/>
      <c r="D1232" s="36"/>
      <c r="E1232" s="36"/>
      <c r="F1232" s="36"/>
      <c r="G1232" s="18"/>
      <c r="H1232" s="30"/>
      <c r="I1232" s="30"/>
      <c r="J1232" s="31"/>
      <c r="K1232" s="43"/>
      <c r="L1232" s="32"/>
      <c r="N1232" s="34"/>
      <c r="O1232" s="33"/>
      <c r="P1232" s="34"/>
      <c r="Q1232" s="36"/>
    </row>
    <row r="1233" spans="3:17" x14ac:dyDescent="0.25">
      <c r="C1233" s="36"/>
      <c r="D1233" s="36"/>
      <c r="E1233" s="36"/>
      <c r="F1233" s="36"/>
      <c r="G1233" s="18"/>
      <c r="H1233" s="30"/>
      <c r="I1233" s="30"/>
      <c r="J1233" s="31"/>
      <c r="K1233" s="43"/>
      <c r="L1233" s="32"/>
      <c r="N1233" s="34"/>
      <c r="O1233" s="33"/>
      <c r="P1233" s="34"/>
      <c r="Q1233" s="36"/>
    </row>
    <row r="1234" spans="3:17" x14ac:dyDescent="0.25">
      <c r="C1234" s="36"/>
      <c r="D1234" s="36"/>
      <c r="E1234" s="36"/>
      <c r="F1234" s="36"/>
      <c r="G1234" s="18"/>
      <c r="H1234" s="30"/>
      <c r="I1234" s="30"/>
      <c r="J1234" s="31"/>
      <c r="K1234" s="43"/>
      <c r="L1234" s="32"/>
      <c r="N1234" s="34"/>
      <c r="O1234" s="33"/>
      <c r="P1234" s="34"/>
      <c r="Q1234" s="36"/>
    </row>
    <row r="1235" spans="3:17" x14ac:dyDescent="0.25">
      <c r="C1235" s="36"/>
      <c r="D1235" s="36"/>
      <c r="E1235" s="36"/>
      <c r="F1235" s="36"/>
      <c r="G1235" s="18"/>
      <c r="H1235" s="30"/>
      <c r="I1235" s="30"/>
      <c r="J1235" s="31"/>
      <c r="K1235" s="43"/>
      <c r="L1235" s="32"/>
      <c r="N1235" s="34"/>
      <c r="O1235" s="33"/>
      <c r="P1235" s="34"/>
      <c r="Q1235" s="36"/>
    </row>
    <row r="1236" spans="3:17" x14ac:dyDescent="0.25">
      <c r="C1236" s="36"/>
      <c r="D1236" s="36"/>
      <c r="E1236" s="36"/>
      <c r="F1236" s="36"/>
      <c r="G1236" s="18"/>
      <c r="H1236" s="30"/>
      <c r="I1236" s="30"/>
      <c r="J1236" s="31"/>
      <c r="K1236" s="43"/>
      <c r="L1236" s="32"/>
      <c r="N1236" s="34"/>
      <c r="O1236" s="33"/>
      <c r="P1236" s="34"/>
      <c r="Q1236" s="36"/>
    </row>
    <row r="1237" spans="3:17" x14ac:dyDescent="0.25">
      <c r="C1237" s="36"/>
      <c r="D1237" s="36"/>
      <c r="E1237" s="36"/>
      <c r="F1237" s="36"/>
      <c r="G1237" s="18"/>
      <c r="H1237" s="30"/>
      <c r="I1237" s="30"/>
      <c r="J1237" s="31"/>
      <c r="K1237" s="43"/>
      <c r="L1237" s="32"/>
      <c r="N1237" s="34"/>
      <c r="O1237" s="33"/>
      <c r="P1237" s="34"/>
      <c r="Q1237" s="36"/>
    </row>
    <row r="1238" spans="3:17" x14ac:dyDescent="0.25">
      <c r="C1238" s="36"/>
      <c r="D1238" s="36"/>
      <c r="E1238" s="36"/>
      <c r="F1238" s="36"/>
      <c r="G1238" s="18"/>
      <c r="H1238" s="30"/>
      <c r="I1238" s="30"/>
      <c r="J1238" s="31"/>
      <c r="K1238" s="43"/>
      <c r="L1238" s="32"/>
      <c r="N1238" s="34"/>
      <c r="O1238" s="33"/>
      <c r="P1238" s="34"/>
      <c r="Q1238" s="36"/>
    </row>
    <row r="1239" spans="3:17" x14ac:dyDescent="0.25">
      <c r="C1239" s="36"/>
      <c r="D1239" s="36"/>
      <c r="E1239" s="36"/>
      <c r="F1239" s="36"/>
      <c r="G1239" s="18"/>
      <c r="H1239" s="30"/>
      <c r="I1239" s="30"/>
      <c r="J1239" s="31"/>
      <c r="K1239" s="43"/>
      <c r="L1239" s="32"/>
      <c r="N1239" s="34"/>
      <c r="O1239" s="33"/>
      <c r="P1239" s="34"/>
      <c r="Q1239" s="36"/>
    </row>
    <row r="1240" spans="3:17" x14ac:dyDescent="0.25">
      <c r="C1240" s="36"/>
      <c r="D1240" s="36"/>
      <c r="E1240" s="36"/>
      <c r="F1240" s="36"/>
      <c r="G1240" s="18"/>
      <c r="H1240" s="30"/>
      <c r="I1240" s="30"/>
      <c r="J1240" s="31"/>
      <c r="K1240" s="43"/>
      <c r="L1240" s="32"/>
      <c r="N1240" s="34"/>
      <c r="O1240" s="33"/>
      <c r="P1240" s="34"/>
      <c r="Q1240" s="36"/>
    </row>
    <row r="1241" spans="3:17" x14ac:dyDescent="0.25">
      <c r="C1241" s="36"/>
      <c r="D1241" s="36"/>
      <c r="E1241" s="36"/>
      <c r="F1241" s="36"/>
      <c r="G1241" s="18"/>
      <c r="H1241" s="30"/>
      <c r="I1241" s="30"/>
      <c r="J1241" s="31"/>
      <c r="K1241" s="43"/>
      <c r="L1241" s="32"/>
      <c r="N1241" s="34"/>
      <c r="O1241" s="33"/>
      <c r="P1241" s="34"/>
      <c r="Q1241" s="36"/>
    </row>
    <row r="1242" spans="3:17" x14ac:dyDescent="0.25">
      <c r="C1242" s="36"/>
      <c r="D1242" s="36"/>
      <c r="E1242" s="36"/>
      <c r="F1242" s="36"/>
      <c r="G1242" s="18"/>
      <c r="H1242" s="30"/>
      <c r="I1242" s="30"/>
      <c r="J1242" s="31"/>
      <c r="K1242" s="43"/>
      <c r="L1242" s="32"/>
      <c r="N1242" s="34"/>
      <c r="O1242" s="33"/>
      <c r="P1242" s="34"/>
      <c r="Q1242" s="36"/>
    </row>
    <row r="1243" spans="3:17" x14ac:dyDescent="0.25">
      <c r="C1243" s="36"/>
      <c r="D1243" s="36"/>
      <c r="E1243" s="36"/>
      <c r="F1243" s="36"/>
      <c r="G1243" s="18"/>
      <c r="H1243" s="30"/>
      <c r="I1243" s="30"/>
      <c r="J1243" s="31"/>
      <c r="K1243" s="43"/>
      <c r="L1243" s="32"/>
      <c r="N1243" s="34"/>
      <c r="O1243" s="33"/>
      <c r="P1243" s="34"/>
      <c r="Q1243" s="36"/>
    </row>
    <row r="1244" spans="3:17" x14ac:dyDescent="0.25">
      <c r="C1244" s="36"/>
      <c r="D1244" s="36"/>
      <c r="E1244" s="36"/>
      <c r="F1244" s="36"/>
      <c r="G1244" s="18"/>
      <c r="H1244" s="30"/>
      <c r="I1244" s="30"/>
      <c r="J1244" s="31"/>
      <c r="K1244" s="43"/>
      <c r="L1244" s="32"/>
      <c r="N1244" s="34"/>
      <c r="O1244" s="33"/>
      <c r="P1244" s="34"/>
      <c r="Q1244" s="36"/>
    </row>
    <row r="1245" spans="3:17" x14ac:dyDescent="0.25">
      <c r="C1245" s="36"/>
      <c r="D1245" s="36"/>
      <c r="E1245" s="36"/>
      <c r="F1245" s="36"/>
      <c r="G1245" s="18"/>
      <c r="H1245" s="30"/>
      <c r="I1245" s="30"/>
      <c r="J1245" s="31"/>
      <c r="K1245" s="43"/>
      <c r="L1245" s="32"/>
      <c r="N1245" s="34"/>
      <c r="O1245" s="33"/>
      <c r="P1245" s="34"/>
      <c r="Q1245" s="36"/>
    </row>
    <row r="1246" spans="3:17" x14ac:dyDescent="0.25">
      <c r="C1246" s="36"/>
      <c r="D1246" s="36"/>
      <c r="E1246" s="36"/>
      <c r="F1246" s="36"/>
      <c r="G1246" s="18"/>
      <c r="H1246" s="30"/>
      <c r="I1246" s="30"/>
      <c r="J1246" s="31"/>
      <c r="K1246" s="43"/>
      <c r="L1246" s="32"/>
      <c r="N1246" s="34"/>
      <c r="O1246" s="33"/>
      <c r="P1246" s="34"/>
      <c r="Q1246" s="36"/>
    </row>
    <row r="1247" spans="3:17" x14ac:dyDescent="0.25">
      <c r="C1247" s="36"/>
      <c r="D1247" s="36"/>
      <c r="E1247" s="36"/>
      <c r="F1247" s="36"/>
      <c r="G1247" s="18"/>
      <c r="H1247" s="30"/>
      <c r="I1247" s="30"/>
      <c r="J1247" s="31"/>
      <c r="K1247" s="43"/>
      <c r="L1247" s="32"/>
      <c r="N1247" s="34"/>
      <c r="O1247" s="33"/>
      <c r="P1247" s="34"/>
      <c r="Q1247" s="36"/>
    </row>
    <row r="1248" spans="3:17" x14ac:dyDescent="0.25">
      <c r="C1248" s="36"/>
      <c r="D1248" s="36"/>
      <c r="E1248" s="36"/>
      <c r="F1248" s="36"/>
      <c r="G1248" s="18"/>
      <c r="H1248" s="30"/>
      <c r="I1248" s="30"/>
      <c r="J1248" s="31"/>
      <c r="K1248" s="43"/>
      <c r="L1248" s="32"/>
      <c r="N1248" s="34"/>
      <c r="O1248" s="33"/>
      <c r="P1248" s="34"/>
      <c r="Q1248" s="36"/>
    </row>
    <row r="1249" spans="3:17" x14ac:dyDescent="0.25">
      <c r="C1249" s="36"/>
      <c r="D1249" s="36"/>
      <c r="E1249" s="36"/>
      <c r="F1249" s="36"/>
      <c r="G1249" s="18"/>
      <c r="H1249" s="30"/>
      <c r="I1249" s="30"/>
      <c r="J1249" s="31"/>
      <c r="K1249" s="43"/>
      <c r="L1249" s="32"/>
      <c r="N1249" s="34"/>
      <c r="O1249" s="33"/>
      <c r="P1249" s="34"/>
      <c r="Q1249" s="36"/>
    </row>
    <row r="1250" spans="3:17" x14ac:dyDescent="0.25">
      <c r="C1250" s="36"/>
      <c r="D1250" s="36"/>
      <c r="E1250" s="36"/>
      <c r="F1250" s="36"/>
      <c r="G1250" s="18"/>
      <c r="H1250" s="30"/>
      <c r="I1250" s="30"/>
      <c r="J1250" s="31"/>
      <c r="K1250" s="43"/>
      <c r="L1250" s="32"/>
      <c r="N1250" s="34"/>
      <c r="O1250" s="33"/>
      <c r="P1250" s="34"/>
      <c r="Q1250" s="36"/>
    </row>
    <row r="1251" spans="3:17" x14ac:dyDescent="0.25">
      <c r="C1251" s="36"/>
      <c r="D1251" s="36"/>
      <c r="E1251" s="36"/>
      <c r="F1251" s="36"/>
      <c r="G1251" s="18"/>
      <c r="H1251" s="30"/>
      <c r="I1251" s="30"/>
      <c r="J1251" s="31"/>
      <c r="K1251" s="43"/>
      <c r="L1251" s="32"/>
      <c r="N1251" s="34"/>
      <c r="O1251" s="33"/>
      <c r="P1251" s="34"/>
      <c r="Q1251" s="36"/>
    </row>
    <row r="1252" spans="3:17" x14ac:dyDescent="0.25">
      <c r="C1252" s="36"/>
      <c r="D1252" s="36"/>
      <c r="E1252" s="36"/>
      <c r="F1252" s="36"/>
      <c r="G1252" s="18"/>
      <c r="H1252" s="30"/>
      <c r="I1252" s="30"/>
      <c r="J1252" s="31"/>
      <c r="K1252" s="43"/>
      <c r="L1252" s="32"/>
      <c r="N1252" s="34"/>
      <c r="O1252" s="33"/>
      <c r="P1252" s="34"/>
      <c r="Q1252" s="36"/>
    </row>
    <row r="1253" spans="3:17" x14ac:dyDescent="0.25">
      <c r="C1253" s="36"/>
      <c r="D1253" s="36"/>
      <c r="E1253" s="36"/>
      <c r="F1253" s="95"/>
      <c r="G1253" s="18"/>
      <c r="H1253" s="30"/>
      <c r="I1253" s="30"/>
      <c r="J1253" s="31"/>
      <c r="K1253" s="43"/>
      <c r="L1253" s="32"/>
      <c r="N1253" s="34"/>
      <c r="O1253" s="33"/>
      <c r="P1253" s="34"/>
      <c r="Q1253" s="36"/>
    </row>
    <row r="1254" spans="3:17" x14ac:dyDescent="0.25">
      <c r="C1254" s="36"/>
      <c r="D1254" s="36"/>
      <c r="E1254" s="95"/>
      <c r="F1254" s="36"/>
      <c r="G1254" s="18"/>
      <c r="H1254" s="30"/>
      <c r="I1254" s="30"/>
      <c r="J1254" s="31"/>
      <c r="K1254" s="43"/>
      <c r="L1254" s="32"/>
      <c r="N1254" s="34"/>
      <c r="O1254" s="33"/>
      <c r="P1254" s="34"/>
      <c r="Q1254" s="36"/>
    </row>
    <row r="1255" spans="3:17" x14ac:dyDescent="0.25">
      <c r="C1255" s="95"/>
      <c r="D1255" s="95"/>
      <c r="E1255" s="36"/>
      <c r="F1255" s="36"/>
      <c r="G1255" s="96"/>
      <c r="H1255" s="97"/>
      <c r="I1255" s="97"/>
      <c r="J1255" s="98"/>
      <c r="K1255" s="99"/>
      <c r="L1255" s="100"/>
      <c r="N1255" s="34"/>
      <c r="O1255" s="33"/>
      <c r="P1255" s="34"/>
      <c r="Q1255" s="95"/>
    </row>
    <row r="1256" spans="3:17" x14ac:dyDescent="0.25">
      <c r="C1256" s="36"/>
      <c r="D1256" s="36"/>
      <c r="E1256" s="36"/>
      <c r="F1256" s="36"/>
      <c r="G1256" s="18"/>
      <c r="H1256" s="30"/>
      <c r="I1256" s="30"/>
      <c r="J1256" s="31"/>
      <c r="K1256" s="43"/>
      <c r="L1256" s="32"/>
      <c r="M1256" s="36"/>
      <c r="N1256" s="34"/>
      <c r="O1256" s="33"/>
      <c r="P1256" s="34"/>
      <c r="Q1256" s="36"/>
    </row>
    <row r="1257" spans="3:17" x14ac:dyDescent="0.25">
      <c r="C1257" s="36"/>
      <c r="D1257" s="36"/>
      <c r="E1257" s="36"/>
      <c r="F1257" s="36"/>
      <c r="G1257" s="18"/>
      <c r="H1257" s="30"/>
      <c r="I1257" s="30"/>
      <c r="J1257" s="31"/>
      <c r="K1257" s="43"/>
      <c r="L1257" s="32"/>
      <c r="M1257" s="36"/>
      <c r="N1257" s="34"/>
      <c r="O1257" s="33"/>
      <c r="P1257" s="34"/>
      <c r="Q1257" s="36"/>
    </row>
    <row r="1258" spans="3:17" x14ac:dyDescent="0.25">
      <c r="C1258" s="36"/>
      <c r="D1258" s="36"/>
      <c r="E1258" s="36"/>
      <c r="F1258" s="36"/>
      <c r="G1258" s="18"/>
      <c r="H1258" s="30"/>
      <c r="I1258" s="30"/>
      <c r="J1258" s="31"/>
      <c r="K1258" s="43"/>
      <c r="L1258" s="32"/>
      <c r="M1258" s="36"/>
      <c r="N1258" s="34"/>
      <c r="O1258" s="33"/>
      <c r="P1258" s="34"/>
      <c r="Q1258" s="36"/>
    </row>
    <row r="1259" spans="3:17" x14ac:dyDescent="0.25">
      <c r="C1259" s="36"/>
      <c r="D1259" s="36"/>
      <c r="E1259" s="36"/>
      <c r="F1259" s="36"/>
      <c r="G1259" s="18"/>
      <c r="H1259" s="30"/>
      <c r="I1259" s="30"/>
      <c r="J1259" s="31"/>
      <c r="K1259" s="43"/>
      <c r="L1259" s="32"/>
      <c r="M1259" s="36"/>
      <c r="N1259" s="34"/>
      <c r="O1259" s="33"/>
      <c r="P1259" s="34"/>
      <c r="Q1259" s="36"/>
    </row>
    <row r="1260" spans="3:17" x14ac:dyDescent="0.25">
      <c r="C1260" s="36"/>
      <c r="D1260" s="36"/>
      <c r="E1260" s="36"/>
      <c r="F1260" s="36"/>
      <c r="G1260" s="18"/>
      <c r="H1260" s="30"/>
      <c r="I1260" s="30"/>
      <c r="J1260" s="31"/>
      <c r="K1260" s="43"/>
      <c r="L1260" s="32"/>
      <c r="M1260" s="36"/>
      <c r="N1260" s="34"/>
      <c r="O1260" s="33"/>
      <c r="P1260" s="34"/>
      <c r="Q1260" s="36"/>
    </row>
    <row r="1261" spans="3:17" x14ac:dyDescent="0.25">
      <c r="C1261" s="36"/>
      <c r="D1261" s="36"/>
      <c r="E1261" s="36"/>
      <c r="F1261" s="36"/>
      <c r="G1261" s="18"/>
      <c r="H1261" s="30"/>
      <c r="I1261" s="30"/>
      <c r="J1261" s="31"/>
      <c r="K1261" s="43"/>
      <c r="L1261" s="32"/>
      <c r="M1261" s="36"/>
      <c r="N1261" s="34"/>
      <c r="O1261" s="33"/>
      <c r="P1261" s="34"/>
      <c r="Q1261" s="36"/>
    </row>
    <row r="1262" spans="3:17" x14ac:dyDescent="0.25">
      <c r="C1262" s="36"/>
      <c r="D1262" s="36"/>
      <c r="E1262" s="36"/>
      <c r="F1262" s="36"/>
      <c r="G1262" s="18"/>
      <c r="H1262" s="30"/>
      <c r="I1262" s="30"/>
      <c r="J1262" s="31"/>
      <c r="K1262" s="43"/>
      <c r="L1262" s="32"/>
      <c r="M1262" s="36"/>
      <c r="N1262" s="34"/>
      <c r="O1262" s="33"/>
      <c r="P1262" s="34"/>
      <c r="Q1262" s="36"/>
    </row>
    <row r="1263" spans="3:17" x14ac:dyDescent="0.25">
      <c r="C1263" s="36"/>
      <c r="D1263" s="36"/>
      <c r="E1263" s="36"/>
      <c r="F1263" s="36"/>
      <c r="G1263" s="18"/>
      <c r="H1263" s="30"/>
      <c r="I1263" s="30"/>
      <c r="J1263" s="31"/>
      <c r="K1263" s="43"/>
      <c r="L1263" s="32"/>
      <c r="M1263" s="36"/>
      <c r="N1263" s="34"/>
      <c r="O1263" s="33"/>
      <c r="P1263" s="34"/>
      <c r="Q1263" s="36"/>
    </row>
    <row r="1264" spans="3:17" x14ac:dyDescent="0.25">
      <c r="C1264" s="36"/>
      <c r="D1264" s="36"/>
      <c r="E1264" s="36"/>
      <c r="F1264" s="36"/>
      <c r="G1264" s="18"/>
      <c r="H1264" s="30"/>
      <c r="I1264" s="30"/>
      <c r="J1264" s="31"/>
      <c r="K1264" s="43"/>
      <c r="L1264" s="32"/>
      <c r="M1264" s="36"/>
      <c r="N1264" s="34"/>
      <c r="O1264" s="33"/>
      <c r="P1264" s="34"/>
      <c r="Q1264" s="36"/>
    </row>
    <row r="1265" spans="3:17" x14ac:dyDescent="0.25">
      <c r="C1265" s="36"/>
      <c r="D1265" s="36"/>
      <c r="E1265" s="36"/>
      <c r="F1265" s="36"/>
      <c r="G1265" s="18"/>
      <c r="H1265" s="30"/>
      <c r="I1265" s="30"/>
      <c r="J1265" s="31"/>
      <c r="K1265" s="43"/>
      <c r="L1265" s="32"/>
      <c r="M1265" s="36"/>
      <c r="N1265" s="34"/>
      <c r="O1265" s="33"/>
      <c r="P1265" s="34"/>
      <c r="Q1265" s="36"/>
    </row>
    <row r="1266" spans="3:17" x14ac:dyDescent="0.25">
      <c r="C1266" s="36"/>
      <c r="D1266" s="36"/>
      <c r="E1266" s="36"/>
      <c r="F1266" s="36"/>
      <c r="G1266" s="18"/>
      <c r="H1266" s="30"/>
      <c r="I1266" s="30"/>
      <c r="J1266" s="31"/>
      <c r="K1266" s="43"/>
      <c r="L1266" s="32"/>
      <c r="M1266" s="36"/>
      <c r="N1266" s="34"/>
      <c r="O1266" s="33"/>
      <c r="P1266" s="34"/>
      <c r="Q1266" s="36"/>
    </row>
    <row r="1267" spans="3:17" x14ac:dyDescent="0.25">
      <c r="C1267" s="36"/>
      <c r="D1267" s="36"/>
      <c r="E1267" s="36"/>
      <c r="F1267" s="36"/>
      <c r="G1267" s="18"/>
      <c r="H1267" s="30"/>
      <c r="I1267" s="30"/>
      <c r="J1267" s="31"/>
      <c r="K1267" s="43"/>
      <c r="L1267" s="32"/>
      <c r="M1267" s="36"/>
      <c r="N1267" s="34"/>
      <c r="O1267" s="33"/>
      <c r="P1267" s="34"/>
      <c r="Q1267" s="36"/>
    </row>
    <row r="1268" spans="3:17" x14ac:dyDescent="0.25">
      <c r="C1268" s="36"/>
      <c r="D1268" s="36"/>
      <c r="E1268" s="36"/>
      <c r="F1268" s="36"/>
      <c r="G1268" s="18"/>
      <c r="H1268" s="30"/>
      <c r="I1268" s="30"/>
      <c r="J1268" s="31"/>
      <c r="K1268" s="43"/>
      <c r="L1268" s="32"/>
      <c r="M1268" s="36"/>
      <c r="N1268" s="36"/>
      <c r="O1268" s="33"/>
      <c r="P1268" s="34"/>
      <c r="Q1268" s="36"/>
    </row>
    <row r="1269" spans="3:17" x14ac:dyDescent="0.25">
      <c r="C1269" s="36"/>
      <c r="D1269" s="36"/>
      <c r="E1269" s="36"/>
      <c r="F1269" s="36"/>
      <c r="G1269" s="18"/>
      <c r="H1269" s="30"/>
      <c r="I1269" s="30"/>
      <c r="J1269" s="31"/>
      <c r="K1269" s="43"/>
      <c r="L1269" s="32"/>
      <c r="M1269" s="36"/>
      <c r="N1269" s="36"/>
      <c r="O1269" s="33"/>
      <c r="P1269" s="34"/>
      <c r="Q1269" s="36"/>
    </row>
    <row r="1270" spans="3:17" x14ac:dyDescent="0.25">
      <c r="C1270" s="36"/>
      <c r="D1270" s="36"/>
      <c r="E1270" s="36"/>
      <c r="F1270" s="36"/>
      <c r="G1270" s="18"/>
      <c r="H1270" s="30"/>
      <c r="I1270" s="30"/>
      <c r="J1270" s="31"/>
      <c r="K1270" s="43"/>
      <c r="L1270" s="32"/>
      <c r="M1270" s="36"/>
      <c r="N1270" s="34"/>
      <c r="O1270" s="33"/>
      <c r="P1270" s="34"/>
      <c r="Q1270" s="36"/>
    </row>
    <row r="1271" spans="3:17" x14ac:dyDescent="0.25">
      <c r="C1271" s="36"/>
      <c r="D1271" s="36"/>
      <c r="E1271" s="36"/>
      <c r="F1271" s="36"/>
      <c r="G1271" s="18"/>
      <c r="H1271" s="30"/>
      <c r="I1271" s="30"/>
      <c r="J1271" s="31"/>
      <c r="K1271" s="43"/>
      <c r="L1271" s="32"/>
      <c r="M1271" s="36"/>
      <c r="N1271" s="34"/>
      <c r="O1271" s="33"/>
      <c r="P1271" s="34"/>
      <c r="Q1271" s="36"/>
    </row>
    <row r="1272" spans="3:17" x14ac:dyDescent="0.25">
      <c r="C1272" s="36"/>
      <c r="D1272" s="36"/>
      <c r="E1272" s="36"/>
      <c r="F1272" s="36"/>
      <c r="G1272" s="18"/>
      <c r="H1272" s="30"/>
      <c r="I1272" s="30"/>
      <c r="J1272" s="31"/>
      <c r="K1272" s="43"/>
      <c r="L1272" s="32"/>
      <c r="M1272" s="36"/>
      <c r="N1272" s="34"/>
      <c r="O1272" s="33"/>
      <c r="P1272" s="34"/>
      <c r="Q1272" s="36"/>
    </row>
    <row r="1273" spans="3:17" x14ac:dyDescent="0.25">
      <c r="C1273" s="36"/>
      <c r="D1273" s="36"/>
      <c r="E1273" s="36"/>
      <c r="F1273" s="36"/>
      <c r="G1273" s="18"/>
      <c r="H1273" s="30"/>
      <c r="I1273" s="30"/>
      <c r="J1273" s="31"/>
      <c r="K1273" s="43"/>
      <c r="L1273" s="32"/>
      <c r="M1273" s="36"/>
      <c r="N1273" s="34"/>
      <c r="O1273" s="33"/>
      <c r="P1273" s="34"/>
      <c r="Q1273" s="36"/>
    </row>
    <row r="1274" spans="3:17" x14ac:dyDescent="0.25">
      <c r="C1274" s="36"/>
      <c r="D1274" s="36"/>
      <c r="E1274" s="36"/>
      <c r="F1274" s="36"/>
      <c r="G1274" s="18"/>
      <c r="H1274" s="30"/>
      <c r="I1274" s="30"/>
      <c r="J1274" s="31"/>
      <c r="K1274" s="43"/>
      <c r="L1274" s="32"/>
      <c r="M1274" s="36"/>
      <c r="N1274" s="34"/>
      <c r="O1274" s="33"/>
      <c r="P1274" s="34"/>
      <c r="Q1274" s="36"/>
    </row>
    <row r="1275" spans="3:17" x14ac:dyDescent="0.25">
      <c r="C1275" s="36"/>
      <c r="D1275" s="36"/>
      <c r="E1275" s="36"/>
      <c r="F1275" s="36"/>
      <c r="G1275" s="18"/>
      <c r="H1275" s="30"/>
      <c r="I1275" s="30"/>
      <c r="J1275" s="31"/>
      <c r="K1275" s="43"/>
      <c r="L1275" s="32"/>
      <c r="M1275" s="36"/>
      <c r="N1275" s="34"/>
      <c r="O1275" s="33"/>
      <c r="P1275" s="34"/>
      <c r="Q1275" s="36"/>
    </row>
    <row r="1276" spans="3:17" x14ac:dyDescent="0.25">
      <c r="C1276" s="36"/>
      <c r="D1276" s="36"/>
      <c r="E1276" s="36"/>
      <c r="F1276" s="36"/>
      <c r="G1276" s="18"/>
      <c r="H1276" s="30"/>
      <c r="I1276" s="30"/>
      <c r="J1276" s="31"/>
      <c r="K1276" s="43"/>
      <c r="L1276" s="32"/>
      <c r="M1276" s="36"/>
      <c r="N1276" s="34"/>
      <c r="O1276" s="33"/>
      <c r="P1276" s="34"/>
      <c r="Q1276" s="36"/>
    </row>
    <row r="1277" spans="3:17" x14ac:dyDescent="0.25">
      <c r="C1277" s="36"/>
      <c r="D1277" s="36"/>
      <c r="E1277" s="36"/>
      <c r="F1277" s="36"/>
      <c r="G1277" s="18"/>
      <c r="H1277" s="30"/>
      <c r="I1277" s="30"/>
      <c r="J1277" s="31"/>
      <c r="K1277" s="43"/>
      <c r="L1277" s="32"/>
      <c r="M1277" s="36"/>
      <c r="N1277" s="34"/>
      <c r="O1277" s="33"/>
      <c r="P1277" s="34"/>
      <c r="Q1277" s="36"/>
    </row>
    <row r="1278" spans="3:17" x14ac:dyDescent="0.25">
      <c r="C1278" s="36"/>
      <c r="D1278" s="36"/>
      <c r="E1278" s="36"/>
      <c r="F1278" s="36"/>
      <c r="G1278" s="18"/>
      <c r="H1278" s="30"/>
      <c r="I1278" s="30"/>
      <c r="J1278" s="31"/>
      <c r="K1278" s="43"/>
      <c r="L1278" s="32"/>
      <c r="M1278" s="36"/>
      <c r="N1278" s="34"/>
      <c r="O1278" s="33"/>
      <c r="P1278" s="34"/>
      <c r="Q1278" s="36"/>
    </row>
    <row r="1279" spans="3:17" x14ac:dyDescent="0.25">
      <c r="C1279" s="36"/>
      <c r="D1279" s="36"/>
      <c r="E1279" s="36"/>
      <c r="F1279" s="36"/>
      <c r="G1279" s="18"/>
      <c r="H1279" s="30"/>
      <c r="I1279" s="30"/>
      <c r="J1279" s="31"/>
      <c r="K1279" s="43"/>
      <c r="L1279" s="32"/>
      <c r="M1279" s="36"/>
      <c r="N1279" s="34"/>
      <c r="O1279" s="33"/>
      <c r="P1279" s="34"/>
      <c r="Q1279" s="36"/>
    </row>
    <row r="1280" spans="3:17" x14ac:dyDescent="0.25">
      <c r="C1280" s="36"/>
      <c r="D1280" s="36"/>
      <c r="E1280" s="36"/>
      <c r="F1280" s="36"/>
      <c r="G1280" s="18"/>
      <c r="H1280" s="30"/>
      <c r="I1280" s="30"/>
      <c r="J1280" s="31"/>
      <c r="K1280" s="43"/>
      <c r="L1280" s="32"/>
      <c r="M1280" s="36"/>
      <c r="N1280" s="34"/>
      <c r="O1280" s="33"/>
      <c r="P1280" s="34"/>
      <c r="Q1280" s="36"/>
    </row>
    <row r="1281" spans="3:17" x14ac:dyDescent="0.25">
      <c r="C1281" s="36"/>
      <c r="D1281" s="36"/>
      <c r="E1281" s="36"/>
      <c r="F1281" s="36"/>
      <c r="G1281" s="18"/>
      <c r="H1281" s="30"/>
      <c r="I1281" s="30"/>
      <c r="J1281" s="31"/>
      <c r="K1281" s="43"/>
      <c r="L1281" s="32"/>
      <c r="M1281" s="36"/>
      <c r="N1281" s="34"/>
      <c r="O1281" s="33"/>
      <c r="P1281" s="34"/>
      <c r="Q1281" s="36"/>
    </row>
    <row r="1282" spans="3:17" x14ac:dyDescent="0.25">
      <c r="C1282" s="36"/>
      <c r="D1282" s="36"/>
      <c r="E1282" s="36"/>
      <c r="F1282" s="36"/>
      <c r="G1282" s="18"/>
      <c r="H1282" s="30"/>
      <c r="I1282" s="30"/>
      <c r="J1282" s="31"/>
      <c r="K1282" s="43"/>
      <c r="L1282" s="32"/>
      <c r="M1282" s="36"/>
      <c r="N1282" s="34"/>
      <c r="O1282" s="33"/>
      <c r="P1282" s="34"/>
      <c r="Q1282" s="36"/>
    </row>
    <row r="1283" spans="3:17" x14ac:dyDescent="0.25">
      <c r="C1283" s="36"/>
      <c r="D1283" s="36"/>
      <c r="E1283" s="36"/>
      <c r="F1283" s="36"/>
      <c r="G1283" s="18"/>
      <c r="H1283" s="30"/>
      <c r="I1283" s="30"/>
      <c r="J1283" s="31"/>
      <c r="K1283" s="43"/>
      <c r="L1283" s="32"/>
      <c r="M1283" s="36"/>
      <c r="N1283" s="34"/>
      <c r="O1283" s="33"/>
      <c r="P1283" s="34"/>
      <c r="Q1283" s="36"/>
    </row>
    <row r="1284" spans="3:17" x14ac:dyDescent="0.25">
      <c r="C1284" s="36"/>
      <c r="D1284" s="36"/>
      <c r="E1284" s="36"/>
      <c r="F1284" s="36"/>
      <c r="G1284" s="18"/>
      <c r="H1284" s="30"/>
      <c r="I1284" s="30"/>
      <c r="J1284" s="31"/>
      <c r="K1284" s="43"/>
      <c r="L1284" s="32"/>
      <c r="M1284" s="36"/>
      <c r="N1284" s="34"/>
      <c r="O1284" s="33"/>
      <c r="P1284" s="34"/>
      <c r="Q1284" s="36"/>
    </row>
    <row r="1285" spans="3:17" x14ac:dyDescent="0.25">
      <c r="C1285" s="36"/>
      <c r="D1285" s="36"/>
      <c r="E1285" s="36"/>
      <c r="F1285" s="36"/>
      <c r="G1285" s="18"/>
      <c r="H1285" s="30"/>
      <c r="I1285" s="30"/>
      <c r="J1285" s="31"/>
      <c r="K1285" s="43"/>
      <c r="L1285" s="32"/>
      <c r="M1285" s="36"/>
      <c r="N1285" s="34"/>
      <c r="O1285" s="33"/>
      <c r="P1285" s="34"/>
      <c r="Q1285" s="36"/>
    </row>
    <row r="1286" spans="3:17" x14ac:dyDescent="0.25">
      <c r="C1286" s="36"/>
      <c r="D1286" s="36"/>
      <c r="E1286" s="36"/>
      <c r="F1286" s="36"/>
      <c r="G1286" s="18"/>
      <c r="H1286" s="30"/>
      <c r="I1286" s="30"/>
      <c r="J1286" s="31"/>
      <c r="K1286" s="43"/>
      <c r="L1286" s="32"/>
      <c r="M1286" s="36"/>
      <c r="N1286" s="34"/>
      <c r="O1286" s="33"/>
      <c r="P1286" s="34"/>
      <c r="Q1286" s="36"/>
    </row>
    <row r="1287" spans="3:17" x14ac:dyDescent="0.25">
      <c r="C1287" s="36"/>
      <c r="D1287" s="36"/>
      <c r="E1287" s="36"/>
      <c r="F1287" s="101"/>
      <c r="G1287" s="18"/>
      <c r="H1287" s="30"/>
      <c r="I1287" s="30"/>
      <c r="J1287" s="31"/>
      <c r="K1287" s="43"/>
      <c r="L1287" s="32"/>
      <c r="M1287" s="36"/>
      <c r="N1287" s="34"/>
      <c r="O1287" s="33"/>
      <c r="P1287" s="34"/>
      <c r="Q1287" s="36"/>
    </row>
    <row r="1288" spans="3:17" x14ac:dyDescent="0.25">
      <c r="C1288" s="36"/>
      <c r="D1288" s="36"/>
      <c r="E1288" s="101"/>
      <c r="F1288" s="36"/>
      <c r="G1288" s="18"/>
      <c r="H1288" s="30"/>
      <c r="I1288" s="30"/>
      <c r="J1288" s="31"/>
      <c r="K1288" s="43"/>
      <c r="L1288" s="32"/>
      <c r="M1288" s="36"/>
      <c r="N1288" s="34"/>
      <c r="O1288" s="33"/>
      <c r="P1288" s="34"/>
      <c r="Q1288" s="36"/>
    </row>
    <row r="1289" spans="3:17" x14ac:dyDescent="0.25">
      <c r="C1289" s="101"/>
      <c r="D1289" s="101"/>
      <c r="E1289" s="36"/>
      <c r="F1289" s="36"/>
      <c r="G1289" s="93"/>
      <c r="H1289" s="102"/>
      <c r="I1289" s="102"/>
      <c r="J1289" s="103"/>
      <c r="K1289" s="104"/>
      <c r="L1289" s="105"/>
      <c r="N1289" s="106"/>
      <c r="O1289" s="33"/>
      <c r="P1289" s="34"/>
      <c r="Q1289" s="101"/>
    </row>
    <row r="1290" spans="3:17" x14ac:dyDescent="0.25">
      <c r="C1290" s="36"/>
      <c r="D1290" s="36"/>
      <c r="E1290" s="36"/>
      <c r="F1290" s="36"/>
      <c r="G1290" s="18"/>
      <c r="H1290" s="30"/>
      <c r="I1290" s="30"/>
      <c r="J1290" s="31"/>
      <c r="K1290" s="43"/>
      <c r="L1290" s="32"/>
      <c r="N1290" s="34"/>
      <c r="O1290" s="33"/>
      <c r="P1290" s="34"/>
      <c r="Q1290" s="36"/>
    </row>
    <row r="1291" spans="3:17" x14ac:dyDescent="0.25">
      <c r="C1291" s="36"/>
      <c r="D1291" s="36"/>
      <c r="E1291" s="36"/>
      <c r="F1291" s="36"/>
      <c r="G1291" s="18"/>
      <c r="H1291" s="30"/>
      <c r="I1291" s="30"/>
      <c r="J1291" s="31"/>
      <c r="K1291" s="43"/>
      <c r="L1291" s="32"/>
      <c r="N1291" s="34"/>
      <c r="O1291" s="33"/>
      <c r="P1291" s="34"/>
      <c r="Q1291" s="36"/>
    </row>
    <row r="1292" spans="3:17" x14ac:dyDescent="0.25">
      <c r="C1292" s="36"/>
      <c r="D1292" s="36"/>
      <c r="E1292" s="36"/>
      <c r="F1292" s="36"/>
      <c r="G1292" s="18"/>
      <c r="H1292" s="30"/>
      <c r="I1292" s="30"/>
      <c r="J1292" s="31"/>
      <c r="K1292" s="43"/>
      <c r="L1292" s="32"/>
      <c r="N1292" s="34"/>
      <c r="O1292" s="33"/>
      <c r="P1292" s="34"/>
      <c r="Q1292" s="36"/>
    </row>
    <row r="1293" spans="3:17" x14ac:dyDescent="0.25">
      <c r="C1293" s="36"/>
      <c r="D1293" s="36"/>
      <c r="E1293" s="36"/>
      <c r="F1293" s="36"/>
      <c r="G1293" s="18"/>
      <c r="H1293" s="30"/>
      <c r="I1293" s="30"/>
      <c r="J1293" s="31"/>
      <c r="K1293" s="43"/>
      <c r="L1293" s="32"/>
      <c r="N1293" s="36"/>
      <c r="O1293" s="33"/>
      <c r="P1293" s="34"/>
      <c r="Q1293" s="36"/>
    </row>
    <row r="1294" spans="3:17" x14ac:dyDescent="0.25">
      <c r="C1294" s="36"/>
      <c r="D1294" s="36"/>
      <c r="E1294" s="36"/>
      <c r="F1294" s="36"/>
      <c r="G1294" s="18"/>
      <c r="H1294" s="30"/>
      <c r="I1294" s="30"/>
      <c r="J1294" s="31"/>
      <c r="K1294" s="43"/>
      <c r="L1294" s="32"/>
      <c r="N1294" s="36"/>
      <c r="O1294" s="33"/>
      <c r="P1294" s="34"/>
      <c r="Q1294" s="36"/>
    </row>
    <row r="1295" spans="3:17" x14ac:dyDescent="0.25">
      <c r="C1295" s="36"/>
      <c r="D1295" s="36"/>
      <c r="E1295" s="36"/>
      <c r="F1295" s="36"/>
      <c r="G1295" s="18"/>
      <c r="H1295" s="30"/>
      <c r="I1295" s="30"/>
      <c r="J1295" s="31"/>
      <c r="K1295" s="43"/>
      <c r="L1295" s="32"/>
      <c r="N1295" s="36"/>
      <c r="O1295" s="33"/>
      <c r="P1295" s="34"/>
      <c r="Q1295" s="36"/>
    </row>
    <row r="1296" spans="3:17" x14ac:dyDescent="0.25">
      <c r="C1296" s="36"/>
      <c r="D1296" s="36"/>
      <c r="E1296" s="36"/>
      <c r="F1296" s="36"/>
      <c r="G1296" s="18"/>
      <c r="H1296" s="30"/>
      <c r="I1296" s="30"/>
      <c r="J1296" s="31"/>
      <c r="K1296" s="43"/>
      <c r="L1296" s="32"/>
      <c r="N1296" s="36"/>
      <c r="O1296" s="33"/>
      <c r="P1296" s="34"/>
      <c r="Q1296" s="36"/>
    </row>
    <row r="1297" spans="3:17" x14ac:dyDescent="0.25">
      <c r="C1297" s="36"/>
      <c r="D1297" s="36"/>
      <c r="E1297" s="36"/>
      <c r="F1297" s="36"/>
      <c r="G1297" s="18"/>
      <c r="H1297" s="30"/>
      <c r="I1297" s="30"/>
      <c r="J1297" s="31"/>
      <c r="K1297" s="43"/>
      <c r="L1297" s="32"/>
      <c r="N1297" s="36"/>
      <c r="O1297" s="33"/>
      <c r="P1297" s="34"/>
      <c r="Q1297" s="36"/>
    </row>
    <row r="1298" spans="3:17" x14ac:dyDescent="0.25">
      <c r="C1298" s="36"/>
      <c r="D1298" s="36"/>
      <c r="E1298" s="36"/>
      <c r="F1298" s="36"/>
      <c r="G1298" s="18"/>
      <c r="H1298" s="30"/>
      <c r="I1298" s="30"/>
      <c r="J1298" s="31"/>
      <c r="K1298" s="43"/>
      <c r="L1298" s="32"/>
      <c r="N1298" s="36"/>
      <c r="O1298" s="33"/>
      <c r="P1298" s="34"/>
      <c r="Q1298" s="36"/>
    </row>
    <row r="1299" spans="3:17" x14ac:dyDescent="0.25">
      <c r="C1299" s="36"/>
      <c r="D1299" s="36"/>
      <c r="E1299" s="36"/>
      <c r="F1299" s="36"/>
      <c r="G1299" s="18"/>
      <c r="H1299" s="30"/>
      <c r="I1299" s="30"/>
      <c r="J1299" s="31"/>
      <c r="K1299" s="43"/>
      <c r="L1299" s="32"/>
      <c r="N1299" s="36"/>
      <c r="O1299" s="33"/>
      <c r="P1299" s="34"/>
      <c r="Q1299" s="36"/>
    </row>
    <row r="1300" spans="3:17" x14ac:dyDescent="0.25">
      <c r="C1300" s="36"/>
      <c r="D1300" s="36"/>
      <c r="E1300" s="36"/>
      <c r="F1300" s="36"/>
      <c r="G1300" s="18"/>
      <c r="H1300" s="30"/>
      <c r="I1300" s="30"/>
      <c r="J1300" s="31"/>
      <c r="K1300" s="43"/>
      <c r="L1300" s="32"/>
      <c r="N1300" s="36"/>
      <c r="O1300" s="33"/>
      <c r="P1300" s="36"/>
      <c r="Q1300" s="36"/>
    </row>
    <row r="1301" spans="3:17" x14ac:dyDescent="0.25">
      <c r="C1301" s="36"/>
      <c r="D1301" s="36"/>
      <c r="E1301" s="36"/>
      <c r="F1301" s="36"/>
      <c r="G1301" s="18"/>
      <c r="H1301" s="30"/>
      <c r="I1301" s="30"/>
      <c r="J1301" s="31"/>
      <c r="K1301" s="43"/>
      <c r="L1301" s="32"/>
      <c r="N1301" s="36"/>
      <c r="O1301" s="36"/>
      <c r="P1301" s="36"/>
      <c r="Q1301" s="36"/>
    </row>
    <row r="1302" spans="3:17" x14ac:dyDescent="0.25">
      <c r="C1302" s="36"/>
      <c r="D1302" s="36"/>
      <c r="E1302" s="36"/>
      <c r="F1302" s="36"/>
      <c r="G1302" s="18"/>
      <c r="H1302" s="30"/>
      <c r="I1302" s="30"/>
      <c r="J1302" s="31"/>
      <c r="K1302" s="43"/>
      <c r="L1302" s="32"/>
      <c r="N1302" s="36"/>
      <c r="O1302" s="36"/>
      <c r="P1302" s="36"/>
      <c r="Q1302" s="36"/>
    </row>
    <row r="1303" spans="3:17" x14ac:dyDescent="0.25">
      <c r="C1303" s="36"/>
      <c r="D1303" s="36"/>
      <c r="E1303" s="36"/>
      <c r="F1303" s="36"/>
      <c r="G1303" s="18"/>
      <c r="H1303" s="30"/>
      <c r="I1303" s="30"/>
      <c r="J1303" s="31"/>
      <c r="K1303" s="43"/>
      <c r="L1303" s="32"/>
      <c r="N1303" s="36"/>
      <c r="O1303" s="36"/>
      <c r="P1303" s="36"/>
      <c r="Q1303" s="36"/>
    </row>
    <row r="1304" spans="3:17" x14ac:dyDescent="0.25">
      <c r="C1304" s="36"/>
      <c r="D1304" s="36"/>
      <c r="E1304" s="36"/>
      <c r="F1304" s="36"/>
      <c r="G1304" s="18"/>
      <c r="H1304" s="30"/>
      <c r="I1304" s="30"/>
      <c r="J1304" s="31"/>
      <c r="K1304" s="43"/>
      <c r="L1304" s="32"/>
      <c r="N1304" s="36"/>
      <c r="O1304" s="36"/>
      <c r="P1304" s="36"/>
      <c r="Q1304" s="36"/>
    </row>
    <row r="1305" spans="3:17" x14ac:dyDescent="0.25">
      <c r="C1305" s="36"/>
      <c r="D1305" s="36"/>
      <c r="E1305" s="36"/>
      <c r="F1305" s="36"/>
      <c r="G1305" s="18"/>
      <c r="H1305" s="30"/>
      <c r="I1305" s="30"/>
      <c r="J1305" s="31"/>
      <c r="K1305" s="43"/>
      <c r="L1305" s="32"/>
      <c r="N1305" s="36"/>
      <c r="O1305" s="36"/>
      <c r="P1305" s="36"/>
      <c r="Q1305" s="36"/>
    </row>
    <row r="1306" spans="3:17" x14ac:dyDescent="0.25">
      <c r="C1306" s="36"/>
      <c r="D1306" s="36"/>
      <c r="E1306" s="36"/>
      <c r="F1306" s="36"/>
      <c r="G1306" s="18"/>
      <c r="H1306" s="30"/>
      <c r="I1306" s="30"/>
      <c r="J1306" s="31"/>
      <c r="K1306" s="43"/>
      <c r="L1306" s="32"/>
      <c r="N1306" s="36"/>
      <c r="O1306" s="36"/>
      <c r="P1306" s="36"/>
      <c r="Q1306" s="36"/>
    </row>
    <row r="1307" spans="3:17" x14ac:dyDescent="0.25">
      <c r="C1307" s="36"/>
      <c r="D1307" s="36"/>
      <c r="E1307" s="36"/>
      <c r="F1307" s="36"/>
      <c r="G1307" s="18"/>
      <c r="H1307" s="30"/>
      <c r="I1307" s="30"/>
      <c r="J1307" s="31"/>
      <c r="K1307" s="43"/>
      <c r="L1307" s="32"/>
      <c r="N1307" s="36"/>
      <c r="O1307" s="36"/>
      <c r="P1307" s="36"/>
      <c r="Q1307" s="36"/>
    </row>
    <row r="1308" spans="3:17" x14ac:dyDescent="0.25">
      <c r="C1308" s="36"/>
      <c r="D1308" s="36"/>
      <c r="E1308" s="36"/>
      <c r="F1308" s="36"/>
      <c r="G1308" s="18"/>
      <c r="H1308" s="30"/>
      <c r="I1308" s="30"/>
      <c r="J1308" s="31"/>
      <c r="K1308" s="43"/>
      <c r="L1308" s="32"/>
      <c r="N1308" s="36"/>
      <c r="O1308" s="36"/>
      <c r="P1308" s="36"/>
      <c r="Q1308" s="36"/>
    </row>
    <row r="1309" spans="3:17" x14ac:dyDescent="0.25">
      <c r="C1309" s="36"/>
      <c r="D1309" s="36"/>
      <c r="E1309" s="36"/>
      <c r="F1309" s="95"/>
      <c r="G1309" s="18"/>
      <c r="H1309" s="30"/>
      <c r="I1309" s="30"/>
      <c r="J1309" s="31"/>
      <c r="K1309" s="43"/>
      <c r="L1309" s="32"/>
      <c r="N1309" s="36"/>
      <c r="O1309" s="36"/>
      <c r="P1309" s="36"/>
      <c r="Q1309" s="36"/>
    </row>
    <row r="1310" spans="3:17" x14ac:dyDescent="0.25">
      <c r="C1310" s="36"/>
      <c r="D1310" s="36"/>
      <c r="E1310" s="95"/>
      <c r="F1310" s="36"/>
      <c r="G1310" s="18"/>
      <c r="H1310" s="30"/>
      <c r="I1310" s="30"/>
      <c r="J1310" s="31"/>
      <c r="K1310" s="43"/>
      <c r="L1310" s="32"/>
      <c r="N1310" s="36"/>
      <c r="O1310" s="36"/>
      <c r="P1310" s="36"/>
      <c r="Q1310" s="36"/>
    </row>
    <row r="1311" spans="3:17" x14ac:dyDescent="0.25">
      <c r="C1311" s="95"/>
      <c r="D1311" s="95"/>
      <c r="E1311" s="36"/>
      <c r="F1311" s="36"/>
      <c r="G1311" s="96"/>
      <c r="H1311" s="97"/>
      <c r="I1311" s="97"/>
      <c r="J1311" s="98"/>
      <c r="K1311" s="99"/>
      <c r="L1311" s="100"/>
      <c r="N1311" s="95"/>
      <c r="O1311" s="95"/>
      <c r="P1311" s="95"/>
      <c r="Q1311" s="95"/>
    </row>
    <row r="1312" spans="3:17" x14ac:dyDescent="0.25">
      <c r="C1312" s="36"/>
      <c r="D1312" s="36"/>
      <c r="E1312" s="36"/>
      <c r="F1312" s="36"/>
      <c r="G1312" s="18"/>
      <c r="H1312" s="30"/>
      <c r="I1312" s="30"/>
      <c r="J1312" s="31"/>
      <c r="K1312" s="43"/>
      <c r="L1312" s="32"/>
      <c r="M1312" s="36"/>
      <c r="N1312" s="36"/>
      <c r="O1312" s="36"/>
      <c r="P1312" s="36"/>
      <c r="Q1312" s="36"/>
    </row>
    <row r="1313" spans="3:17" x14ac:dyDescent="0.25">
      <c r="C1313" s="36"/>
      <c r="D1313" s="36"/>
      <c r="E1313" s="36"/>
      <c r="F1313" s="36"/>
      <c r="G1313" s="18"/>
      <c r="H1313" s="30"/>
      <c r="I1313" s="30"/>
      <c r="J1313" s="31"/>
      <c r="K1313" s="43"/>
      <c r="L1313" s="32"/>
      <c r="M1313" s="36"/>
      <c r="N1313" s="36"/>
      <c r="O1313" s="36"/>
      <c r="P1313" s="36"/>
      <c r="Q1313" s="36"/>
    </row>
    <row r="1314" spans="3:17" x14ac:dyDescent="0.25">
      <c r="C1314" s="36"/>
      <c r="D1314" s="36"/>
      <c r="E1314" s="36"/>
      <c r="F1314" s="36"/>
      <c r="G1314" s="18"/>
      <c r="H1314" s="30"/>
      <c r="I1314" s="30"/>
      <c r="J1314" s="31"/>
      <c r="K1314" s="43"/>
      <c r="L1314" s="32"/>
      <c r="M1314" s="36"/>
      <c r="N1314" s="36"/>
      <c r="O1314" s="36"/>
      <c r="P1314" s="36"/>
      <c r="Q1314" s="36"/>
    </row>
    <row r="1315" spans="3:17" x14ac:dyDescent="0.25">
      <c r="C1315" s="36"/>
      <c r="D1315" s="36"/>
      <c r="E1315" s="36"/>
      <c r="F1315" s="36"/>
      <c r="G1315" s="18"/>
      <c r="H1315" s="30"/>
      <c r="I1315" s="30"/>
      <c r="J1315" s="31"/>
      <c r="K1315" s="43"/>
      <c r="L1315" s="32"/>
      <c r="M1315" s="36"/>
      <c r="N1315" s="36"/>
      <c r="O1315" s="36"/>
      <c r="P1315" s="36"/>
      <c r="Q1315" s="36"/>
    </row>
    <row r="1316" spans="3:17" x14ac:dyDescent="0.25">
      <c r="C1316" s="36"/>
      <c r="D1316" s="36"/>
      <c r="E1316" s="36"/>
      <c r="F1316" s="36"/>
      <c r="G1316" s="18"/>
      <c r="H1316" s="30"/>
      <c r="I1316" s="30"/>
      <c r="J1316" s="31"/>
      <c r="K1316" s="43"/>
      <c r="L1316" s="32"/>
      <c r="M1316" s="36"/>
      <c r="N1316" s="36"/>
      <c r="O1316" s="36"/>
      <c r="P1316" s="36"/>
      <c r="Q1316" s="36"/>
    </row>
    <row r="1317" spans="3:17" x14ac:dyDescent="0.25">
      <c r="C1317" s="36"/>
      <c r="D1317" s="36"/>
      <c r="E1317" s="36"/>
      <c r="F1317" s="36"/>
      <c r="G1317" s="18"/>
      <c r="H1317" s="30"/>
      <c r="I1317" s="30"/>
      <c r="J1317" s="31"/>
      <c r="K1317" s="43"/>
      <c r="L1317" s="32"/>
      <c r="M1317" s="36"/>
      <c r="N1317" s="36"/>
      <c r="O1317" s="36"/>
      <c r="P1317" s="36"/>
      <c r="Q1317" s="36"/>
    </row>
    <row r="1318" spans="3:17" x14ac:dyDescent="0.25">
      <c r="C1318" s="36"/>
      <c r="D1318" s="36"/>
      <c r="E1318" s="36"/>
      <c r="F1318" s="36"/>
      <c r="G1318" s="18"/>
      <c r="H1318" s="30"/>
      <c r="I1318" s="30"/>
      <c r="J1318" s="31"/>
      <c r="K1318" s="43"/>
      <c r="L1318" s="32"/>
      <c r="M1318" s="36"/>
      <c r="N1318" s="36"/>
      <c r="O1318" s="36"/>
      <c r="P1318" s="36"/>
      <c r="Q1318" s="36"/>
    </row>
    <row r="1319" spans="3:17" x14ac:dyDescent="0.25">
      <c r="C1319" s="36"/>
      <c r="D1319" s="36"/>
      <c r="E1319" s="36"/>
      <c r="F1319" s="36"/>
      <c r="G1319" s="18"/>
      <c r="H1319" s="30"/>
      <c r="I1319" s="30"/>
      <c r="J1319" s="31"/>
      <c r="K1319" s="43"/>
      <c r="L1319" s="32"/>
      <c r="M1319" s="36"/>
      <c r="N1319" s="36"/>
      <c r="O1319" s="36"/>
      <c r="P1319" s="36"/>
      <c r="Q1319" s="36"/>
    </row>
    <row r="1320" spans="3:17" x14ac:dyDescent="0.25">
      <c r="C1320" s="36"/>
      <c r="D1320" s="36"/>
      <c r="E1320" s="36"/>
      <c r="F1320" s="36"/>
      <c r="G1320" s="18"/>
      <c r="H1320" s="30"/>
      <c r="I1320" s="30"/>
      <c r="J1320" s="31"/>
      <c r="K1320" s="43"/>
      <c r="L1320" s="32"/>
      <c r="M1320" s="36"/>
      <c r="N1320" s="36"/>
      <c r="O1320" s="36"/>
      <c r="P1320" s="36"/>
      <c r="Q1320" s="36"/>
    </row>
    <row r="1321" spans="3:17" x14ac:dyDescent="0.25">
      <c r="C1321" s="36"/>
      <c r="D1321" s="36"/>
      <c r="E1321" s="36"/>
      <c r="F1321" s="36"/>
      <c r="G1321" s="18"/>
      <c r="H1321" s="30"/>
      <c r="I1321" s="30"/>
      <c r="J1321" s="31"/>
      <c r="K1321" s="43"/>
      <c r="L1321" s="32"/>
      <c r="M1321" s="36"/>
      <c r="N1321" s="36"/>
      <c r="O1321" s="36"/>
      <c r="P1321" s="36"/>
      <c r="Q1321" s="36"/>
    </row>
    <row r="1322" spans="3:17" x14ac:dyDescent="0.25">
      <c r="C1322" s="36"/>
      <c r="D1322" s="36"/>
      <c r="E1322" s="36"/>
      <c r="F1322" s="36"/>
      <c r="G1322" s="18"/>
      <c r="H1322" s="30"/>
      <c r="I1322" s="30"/>
      <c r="J1322" s="31"/>
      <c r="K1322" s="43"/>
      <c r="L1322" s="32"/>
      <c r="M1322" s="36"/>
      <c r="N1322" s="36"/>
      <c r="O1322" s="36"/>
      <c r="P1322" s="36"/>
      <c r="Q1322" s="36"/>
    </row>
    <row r="1323" spans="3:17" x14ac:dyDescent="0.25">
      <c r="C1323" s="36"/>
      <c r="D1323" s="36"/>
      <c r="E1323" s="36"/>
      <c r="F1323" s="36"/>
      <c r="G1323" s="18"/>
      <c r="H1323" s="30"/>
      <c r="I1323" s="30"/>
      <c r="J1323" s="31"/>
      <c r="K1323" s="43"/>
      <c r="L1323" s="32"/>
      <c r="M1323" s="36"/>
      <c r="N1323" s="36"/>
      <c r="O1323" s="36"/>
      <c r="P1323" s="36"/>
      <c r="Q1323" s="36"/>
    </row>
    <row r="1324" spans="3:17" x14ac:dyDescent="0.25">
      <c r="C1324" s="36"/>
      <c r="D1324" s="36"/>
      <c r="E1324" s="36"/>
      <c r="F1324" s="36"/>
      <c r="G1324" s="18"/>
      <c r="H1324" s="30"/>
      <c r="I1324" s="30"/>
      <c r="J1324" s="31"/>
      <c r="K1324" s="43"/>
      <c r="L1324" s="32"/>
      <c r="M1324" s="36"/>
      <c r="N1324" s="36"/>
      <c r="O1324" s="36"/>
      <c r="P1324" s="36"/>
      <c r="Q1324" s="36"/>
    </row>
    <row r="1325" spans="3:17" x14ac:dyDescent="0.25">
      <c r="C1325" s="36"/>
      <c r="D1325" s="36"/>
      <c r="E1325" s="36"/>
      <c r="F1325" s="36"/>
      <c r="G1325" s="18"/>
      <c r="H1325" s="30"/>
      <c r="I1325" s="30"/>
      <c r="J1325" s="31"/>
      <c r="K1325" s="43"/>
      <c r="L1325" s="32"/>
      <c r="M1325" s="36"/>
      <c r="N1325" s="36"/>
      <c r="O1325" s="36"/>
      <c r="P1325" s="36"/>
      <c r="Q1325" s="36"/>
    </row>
    <row r="1326" spans="3:17" x14ac:dyDescent="0.25">
      <c r="C1326" s="36"/>
      <c r="D1326" s="36"/>
      <c r="E1326" s="36"/>
      <c r="F1326" s="36"/>
      <c r="G1326" s="18"/>
      <c r="H1326" s="30"/>
      <c r="I1326" s="30"/>
      <c r="J1326" s="31"/>
      <c r="K1326" s="43"/>
      <c r="L1326" s="32"/>
      <c r="M1326" s="36"/>
      <c r="N1326" s="36"/>
      <c r="O1326" s="36"/>
      <c r="P1326" s="36"/>
      <c r="Q1326" s="36"/>
    </row>
    <row r="1327" spans="3:17" x14ac:dyDescent="0.25">
      <c r="C1327" s="36"/>
      <c r="D1327" s="36"/>
      <c r="E1327" s="36"/>
      <c r="F1327" s="36"/>
      <c r="G1327" s="18"/>
      <c r="H1327" s="30"/>
      <c r="I1327" s="30"/>
      <c r="J1327" s="31"/>
      <c r="K1327" s="43"/>
      <c r="L1327" s="32"/>
      <c r="M1327" s="36"/>
      <c r="N1327" s="36"/>
      <c r="O1327" s="36"/>
      <c r="P1327" s="36"/>
      <c r="Q1327" s="36"/>
    </row>
    <row r="1328" spans="3:17" x14ac:dyDescent="0.25">
      <c r="C1328" s="36"/>
      <c r="D1328" s="36"/>
      <c r="E1328" s="36"/>
      <c r="F1328" s="36"/>
      <c r="G1328" s="18"/>
      <c r="H1328" s="30"/>
      <c r="I1328" s="30"/>
      <c r="J1328" s="31"/>
      <c r="K1328" s="43"/>
      <c r="L1328" s="32"/>
      <c r="M1328" s="36"/>
      <c r="N1328" s="36"/>
      <c r="O1328" s="36"/>
      <c r="P1328" s="36"/>
      <c r="Q1328" s="36"/>
    </row>
    <row r="1329" spans="3:17" x14ac:dyDescent="0.25">
      <c r="C1329" s="36"/>
      <c r="D1329" s="36"/>
      <c r="E1329" s="36"/>
      <c r="F1329" s="36"/>
      <c r="G1329" s="18"/>
      <c r="H1329" s="30"/>
      <c r="I1329" s="30"/>
      <c r="J1329" s="31"/>
      <c r="K1329" s="43"/>
      <c r="L1329" s="32"/>
      <c r="M1329" s="36"/>
      <c r="N1329" s="36"/>
      <c r="O1329" s="36"/>
      <c r="P1329" s="36"/>
      <c r="Q1329" s="36"/>
    </row>
    <row r="1330" spans="3:17" x14ac:dyDescent="0.25">
      <c r="C1330" s="36"/>
      <c r="D1330" s="36"/>
      <c r="E1330" s="36"/>
      <c r="F1330" s="36"/>
      <c r="G1330" s="18"/>
      <c r="H1330" s="30"/>
      <c r="I1330" s="30"/>
      <c r="J1330" s="31"/>
      <c r="K1330" s="43"/>
      <c r="L1330" s="32"/>
      <c r="M1330" s="36"/>
      <c r="N1330" s="36"/>
      <c r="O1330" s="36"/>
      <c r="P1330" s="36"/>
      <c r="Q1330" s="36"/>
    </row>
    <row r="1331" spans="3:17" x14ac:dyDescent="0.25">
      <c r="C1331" s="36"/>
      <c r="D1331" s="36"/>
      <c r="E1331" s="36"/>
      <c r="F1331" s="36"/>
      <c r="G1331" s="18"/>
      <c r="H1331" s="30"/>
      <c r="I1331" s="30"/>
      <c r="J1331" s="31"/>
      <c r="K1331" s="43"/>
      <c r="L1331" s="32"/>
      <c r="M1331" s="36"/>
      <c r="N1331" s="36"/>
      <c r="O1331" s="36"/>
      <c r="P1331" s="36"/>
      <c r="Q1331" s="36"/>
    </row>
    <row r="1332" spans="3:17" x14ac:dyDescent="0.25">
      <c r="C1332" s="36"/>
      <c r="D1332" s="36"/>
      <c r="E1332" s="36"/>
      <c r="F1332" s="36"/>
      <c r="G1332" s="18"/>
      <c r="H1332" s="30"/>
      <c r="I1332" s="30"/>
      <c r="J1332" s="31"/>
      <c r="K1332" s="43"/>
      <c r="L1332" s="32"/>
      <c r="M1332" s="36"/>
      <c r="N1332" s="36"/>
      <c r="O1332" s="36"/>
      <c r="P1332" s="36"/>
      <c r="Q1332" s="36"/>
    </row>
    <row r="1333" spans="3:17" x14ac:dyDescent="0.25">
      <c r="C1333" s="36"/>
      <c r="D1333" s="36"/>
      <c r="E1333" s="36"/>
      <c r="F1333" s="36"/>
      <c r="G1333" s="18"/>
      <c r="H1333" s="30"/>
      <c r="I1333" s="30"/>
      <c r="J1333" s="31"/>
      <c r="K1333" s="43"/>
      <c r="L1333" s="32"/>
      <c r="M1333" s="36"/>
      <c r="N1333" s="36"/>
      <c r="O1333" s="36"/>
      <c r="P1333" s="36"/>
      <c r="Q1333" s="36"/>
    </row>
    <row r="1334" spans="3:17" x14ac:dyDescent="0.25">
      <c r="C1334" s="36"/>
      <c r="D1334" s="36"/>
      <c r="E1334" s="36"/>
      <c r="F1334" s="36"/>
      <c r="G1334" s="18"/>
      <c r="H1334" s="30"/>
      <c r="I1334" s="30"/>
      <c r="J1334" s="31"/>
      <c r="K1334" s="43"/>
      <c r="L1334" s="32"/>
      <c r="M1334" s="36"/>
      <c r="N1334" s="36"/>
      <c r="O1334" s="36"/>
      <c r="P1334" s="36"/>
      <c r="Q1334" s="36"/>
    </row>
    <row r="1335" spans="3:17" x14ac:dyDescent="0.25">
      <c r="C1335" s="36"/>
      <c r="D1335" s="36"/>
      <c r="E1335" s="36"/>
      <c r="F1335" s="36"/>
      <c r="G1335" s="18"/>
      <c r="H1335" s="30"/>
      <c r="I1335" s="30"/>
      <c r="J1335" s="31"/>
      <c r="K1335" s="43"/>
      <c r="L1335" s="32"/>
      <c r="M1335" s="36"/>
      <c r="N1335" s="36"/>
      <c r="O1335" s="36"/>
      <c r="P1335" s="36"/>
      <c r="Q1335" s="36"/>
    </row>
    <row r="1336" spans="3:17" x14ac:dyDescent="0.25">
      <c r="C1336" s="36"/>
      <c r="D1336" s="36"/>
      <c r="E1336" s="36"/>
      <c r="F1336" s="36"/>
      <c r="G1336" s="18"/>
      <c r="H1336" s="30"/>
      <c r="I1336" s="30"/>
      <c r="J1336" s="31"/>
      <c r="K1336" s="43"/>
      <c r="L1336" s="32"/>
      <c r="M1336" s="36"/>
      <c r="N1336" s="36"/>
      <c r="O1336" s="36"/>
      <c r="P1336" s="36"/>
      <c r="Q1336" s="36"/>
    </row>
    <row r="1337" spans="3:17" x14ac:dyDescent="0.25">
      <c r="C1337" s="36"/>
      <c r="D1337" s="36"/>
      <c r="E1337" s="36"/>
      <c r="F1337" s="36"/>
      <c r="G1337" s="18"/>
      <c r="H1337" s="30"/>
      <c r="I1337" s="30"/>
      <c r="J1337" s="31"/>
      <c r="K1337" s="43"/>
      <c r="L1337" s="32"/>
      <c r="M1337" s="36"/>
      <c r="N1337" s="36"/>
      <c r="O1337" s="36"/>
      <c r="P1337" s="36"/>
      <c r="Q1337" s="36"/>
    </row>
    <row r="1338" spans="3:17" x14ac:dyDescent="0.25">
      <c r="C1338" s="36"/>
      <c r="D1338" s="36"/>
      <c r="E1338" s="36"/>
      <c r="F1338" s="36"/>
      <c r="G1338" s="18"/>
      <c r="H1338" s="30"/>
      <c r="I1338" s="30"/>
      <c r="J1338" s="31"/>
      <c r="K1338" s="43"/>
      <c r="L1338" s="32"/>
      <c r="M1338" s="36"/>
      <c r="N1338" s="36"/>
      <c r="O1338" s="36"/>
      <c r="P1338" s="36"/>
      <c r="Q1338" s="36"/>
    </row>
    <row r="1339" spans="3:17" x14ac:dyDescent="0.25">
      <c r="C1339" s="36"/>
      <c r="D1339" s="36"/>
      <c r="E1339" s="36"/>
      <c r="F1339" s="36"/>
      <c r="G1339" s="18"/>
      <c r="H1339" s="30"/>
      <c r="I1339" s="30"/>
      <c r="J1339" s="31"/>
      <c r="K1339" s="43"/>
      <c r="L1339" s="32"/>
      <c r="M1339" s="36"/>
      <c r="N1339" s="36"/>
      <c r="O1339" s="36"/>
      <c r="P1339" s="36"/>
      <c r="Q1339" s="36"/>
    </row>
    <row r="1340" spans="3:17" x14ac:dyDescent="0.25">
      <c r="C1340" s="36"/>
      <c r="D1340" s="36"/>
      <c r="E1340" s="36"/>
      <c r="F1340" s="36"/>
      <c r="G1340" s="18"/>
      <c r="H1340" s="30"/>
      <c r="I1340" s="30"/>
      <c r="J1340" s="31"/>
      <c r="K1340" s="43"/>
      <c r="L1340" s="32"/>
      <c r="M1340" s="36"/>
      <c r="N1340" s="36"/>
      <c r="O1340" s="36"/>
      <c r="P1340" s="36"/>
      <c r="Q1340" s="36"/>
    </row>
    <row r="1341" spans="3:17" x14ac:dyDescent="0.25">
      <c r="C1341" s="36"/>
      <c r="D1341" s="36"/>
      <c r="E1341" s="36"/>
      <c r="F1341" s="36"/>
      <c r="G1341" s="18"/>
      <c r="H1341" s="30"/>
      <c r="I1341" s="30"/>
      <c r="J1341" s="31"/>
      <c r="K1341" s="43"/>
      <c r="L1341" s="32"/>
      <c r="M1341" s="36"/>
      <c r="N1341" s="36"/>
      <c r="O1341" s="36"/>
      <c r="P1341" s="36"/>
      <c r="Q1341" s="36"/>
    </row>
    <row r="1342" spans="3:17" x14ac:dyDescent="0.25">
      <c r="C1342" s="36"/>
      <c r="D1342" s="36"/>
      <c r="E1342" s="36"/>
      <c r="F1342" s="36"/>
      <c r="G1342" s="18"/>
      <c r="H1342" s="30"/>
      <c r="I1342" s="30"/>
      <c r="J1342" s="31"/>
      <c r="K1342" s="43"/>
      <c r="L1342" s="32"/>
      <c r="M1342" s="36"/>
      <c r="N1342" s="36"/>
      <c r="O1342" s="36"/>
      <c r="P1342" s="36"/>
      <c r="Q1342" s="36"/>
    </row>
    <row r="1343" spans="3:17" x14ac:dyDescent="0.25">
      <c r="C1343" s="36"/>
      <c r="D1343" s="36"/>
      <c r="E1343" s="36"/>
      <c r="F1343" s="36"/>
      <c r="G1343" s="18"/>
      <c r="H1343" s="30"/>
      <c r="I1343" s="30"/>
      <c r="J1343" s="31"/>
      <c r="K1343" s="43"/>
      <c r="L1343" s="32"/>
      <c r="M1343" s="36"/>
      <c r="N1343" s="36"/>
      <c r="O1343" s="36"/>
      <c r="P1343" s="36"/>
      <c r="Q1343" s="36"/>
    </row>
    <row r="1344" spans="3:17" x14ac:dyDescent="0.25">
      <c r="C1344" s="36"/>
      <c r="D1344" s="36"/>
      <c r="E1344" s="36"/>
      <c r="F1344" s="36"/>
      <c r="G1344" s="18"/>
      <c r="H1344" s="30"/>
      <c r="I1344" s="30"/>
      <c r="J1344" s="31"/>
      <c r="K1344" s="43"/>
      <c r="L1344" s="32"/>
      <c r="M1344" s="36"/>
      <c r="N1344" s="36"/>
      <c r="O1344" s="36"/>
      <c r="P1344" s="36"/>
      <c r="Q1344" s="36"/>
    </row>
    <row r="1345" spans="3:17" x14ac:dyDescent="0.25">
      <c r="C1345" s="36"/>
      <c r="D1345" s="36"/>
      <c r="E1345" s="36"/>
      <c r="F1345" s="36"/>
      <c r="G1345" s="18"/>
      <c r="H1345" s="30"/>
      <c r="I1345" s="30"/>
      <c r="J1345" s="31"/>
      <c r="K1345" s="43"/>
      <c r="L1345" s="32"/>
      <c r="M1345" s="36"/>
      <c r="N1345" s="36"/>
      <c r="O1345" s="36"/>
      <c r="P1345" s="36"/>
      <c r="Q1345" s="36"/>
    </row>
    <row r="1346" spans="3:17" x14ac:dyDescent="0.25">
      <c r="C1346" s="36"/>
      <c r="D1346" s="36"/>
      <c r="E1346" s="36"/>
      <c r="F1346" s="36"/>
      <c r="G1346" s="18"/>
      <c r="H1346" s="30"/>
      <c r="I1346" s="30"/>
      <c r="J1346" s="31"/>
      <c r="K1346" s="43"/>
      <c r="L1346" s="32"/>
      <c r="M1346" s="36"/>
      <c r="N1346" s="36"/>
      <c r="O1346" s="36"/>
      <c r="P1346" s="36"/>
      <c r="Q1346" s="36"/>
    </row>
    <row r="1347" spans="3:17" x14ac:dyDescent="0.25">
      <c r="C1347" s="36"/>
      <c r="D1347" s="36"/>
      <c r="E1347" s="36"/>
      <c r="F1347" s="36"/>
      <c r="G1347" s="18"/>
      <c r="H1347" s="30"/>
      <c r="I1347" s="30"/>
      <c r="J1347" s="31"/>
      <c r="K1347" s="43"/>
      <c r="L1347" s="32"/>
      <c r="M1347" s="36"/>
      <c r="N1347" s="36"/>
      <c r="O1347" s="36"/>
      <c r="P1347" s="36"/>
      <c r="Q1347" s="36"/>
    </row>
    <row r="1348" spans="3:17" x14ac:dyDescent="0.25">
      <c r="C1348" s="36"/>
      <c r="D1348" s="36"/>
      <c r="E1348" s="36"/>
      <c r="F1348" s="36"/>
      <c r="G1348" s="18"/>
      <c r="H1348" s="30"/>
      <c r="I1348" s="30"/>
      <c r="J1348" s="31"/>
      <c r="K1348" s="43"/>
      <c r="L1348" s="32"/>
      <c r="M1348" s="36"/>
      <c r="N1348" s="36"/>
      <c r="O1348" s="36"/>
      <c r="P1348" s="36"/>
      <c r="Q1348" s="36"/>
    </row>
    <row r="1349" spans="3:17" x14ac:dyDescent="0.25">
      <c r="C1349" s="36"/>
      <c r="D1349" s="36"/>
      <c r="E1349" s="36"/>
      <c r="F1349" s="36"/>
      <c r="G1349" s="18"/>
      <c r="H1349" s="30"/>
      <c r="I1349" s="30"/>
      <c r="J1349" s="31"/>
      <c r="K1349" s="43"/>
      <c r="L1349" s="32"/>
      <c r="M1349" s="36"/>
      <c r="N1349" s="36"/>
      <c r="O1349" s="36"/>
      <c r="P1349" s="36"/>
      <c r="Q1349" s="36"/>
    </row>
    <row r="1350" spans="3:17" x14ac:dyDescent="0.25">
      <c r="C1350" s="36"/>
      <c r="D1350" s="36"/>
      <c r="E1350" s="36"/>
      <c r="F1350" s="36"/>
      <c r="G1350" s="18"/>
      <c r="H1350" s="30"/>
      <c r="I1350" s="30"/>
      <c r="J1350" s="31"/>
      <c r="K1350" s="43"/>
      <c r="L1350" s="32"/>
      <c r="M1350" s="36"/>
      <c r="N1350" s="36"/>
      <c r="O1350" s="36"/>
      <c r="P1350" s="36"/>
      <c r="Q1350" s="36"/>
    </row>
    <row r="1351" spans="3:17" x14ac:dyDescent="0.25">
      <c r="C1351" s="36"/>
      <c r="D1351" s="36"/>
      <c r="E1351" s="36"/>
      <c r="F1351" s="36"/>
      <c r="G1351" s="18"/>
      <c r="H1351" s="30"/>
      <c r="I1351" s="30"/>
      <c r="J1351" s="31"/>
      <c r="K1351" s="43"/>
      <c r="L1351" s="32"/>
      <c r="M1351" s="36"/>
      <c r="N1351" s="36"/>
      <c r="O1351" s="36"/>
      <c r="P1351" s="36"/>
      <c r="Q1351" s="36"/>
    </row>
    <row r="1352" spans="3:17" x14ac:dyDescent="0.25">
      <c r="C1352" s="36"/>
      <c r="D1352" s="36"/>
      <c r="E1352" s="36"/>
      <c r="F1352" s="36"/>
      <c r="G1352" s="18"/>
      <c r="H1352" s="30"/>
      <c r="I1352" s="30"/>
      <c r="J1352" s="31"/>
      <c r="K1352" s="43"/>
      <c r="L1352" s="32"/>
      <c r="M1352" s="36"/>
      <c r="N1352" s="36"/>
      <c r="O1352" s="36"/>
      <c r="P1352" s="36"/>
      <c r="Q1352" s="36"/>
    </row>
    <row r="1353" spans="3:17" x14ac:dyDescent="0.25">
      <c r="C1353" s="36"/>
      <c r="D1353" s="36"/>
      <c r="E1353" s="36"/>
      <c r="F1353" s="36"/>
      <c r="G1353" s="18"/>
      <c r="H1353" s="30"/>
      <c r="I1353" s="30"/>
      <c r="J1353" s="31"/>
      <c r="K1353" s="43"/>
      <c r="L1353" s="32"/>
      <c r="M1353" s="36"/>
      <c r="N1353" s="36"/>
      <c r="O1353" s="36"/>
      <c r="P1353" s="36"/>
      <c r="Q1353" s="36"/>
    </row>
    <row r="1354" spans="3:17" x14ac:dyDescent="0.25">
      <c r="C1354" s="36"/>
      <c r="D1354" s="36"/>
      <c r="E1354" s="36"/>
      <c r="F1354" s="36"/>
      <c r="G1354" s="18"/>
      <c r="H1354" s="30"/>
      <c r="I1354" s="30"/>
      <c r="J1354" s="31"/>
      <c r="K1354" s="43"/>
      <c r="L1354" s="32"/>
      <c r="M1354" s="36"/>
      <c r="N1354" s="36"/>
      <c r="O1354" s="36"/>
      <c r="P1354" s="36"/>
      <c r="Q1354" s="36"/>
    </row>
    <row r="1355" spans="3:17" x14ac:dyDescent="0.25">
      <c r="C1355" s="36"/>
      <c r="D1355" s="36"/>
      <c r="E1355" s="36"/>
      <c r="F1355" s="36"/>
      <c r="G1355" s="18"/>
      <c r="H1355" s="30"/>
      <c r="I1355" s="30"/>
      <c r="J1355" s="31"/>
      <c r="K1355" s="43"/>
      <c r="L1355" s="32"/>
      <c r="M1355" s="36"/>
      <c r="N1355" s="36"/>
      <c r="O1355" s="36"/>
      <c r="P1355" s="36"/>
      <c r="Q1355" s="36"/>
    </row>
    <row r="1356" spans="3:17" x14ac:dyDescent="0.25">
      <c r="C1356" s="36"/>
      <c r="D1356" s="36"/>
      <c r="E1356" s="36"/>
      <c r="F1356" s="36"/>
      <c r="G1356" s="18"/>
      <c r="H1356" s="30"/>
      <c r="I1356" s="30"/>
      <c r="J1356" s="31"/>
      <c r="K1356" s="43"/>
      <c r="L1356" s="32"/>
      <c r="M1356" s="36"/>
      <c r="N1356" s="36"/>
      <c r="O1356" s="36"/>
      <c r="P1356" s="36"/>
      <c r="Q1356" s="36"/>
    </row>
    <row r="1357" spans="3:17" x14ac:dyDescent="0.25">
      <c r="C1357" s="36"/>
      <c r="D1357" s="36"/>
      <c r="E1357" s="36"/>
      <c r="F1357" s="36"/>
      <c r="G1357" s="18"/>
      <c r="H1357" s="30"/>
      <c r="I1357" s="30"/>
      <c r="J1357" s="31"/>
      <c r="K1357" s="43"/>
      <c r="L1357" s="32"/>
      <c r="M1357" s="36"/>
      <c r="N1357" s="36"/>
      <c r="O1357" s="36"/>
      <c r="P1357" s="36"/>
      <c r="Q1357" s="36"/>
    </row>
    <row r="1358" spans="3:17" x14ac:dyDescent="0.25">
      <c r="C1358" s="36"/>
      <c r="D1358" s="36"/>
      <c r="E1358" s="36"/>
      <c r="F1358" s="36"/>
      <c r="G1358" s="18"/>
      <c r="H1358" s="30"/>
      <c r="I1358" s="30"/>
      <c r="J1358" s="31"/>
      <c r="K1358" s="43"/>
      <c r="L1358" s="32"/>
      <c r="M1358" s="36"/>
      <c r="N1358" s="36"/>
      <c r="O1358" s="36"/>
      <c r="P1358" s="36"/>
      <c r="Q1358" s="36"/>
    </row>
    <row r="1359" spans="3:17" x14ac:dyDescent="0.25">
      <c r="C1359" s="36"/>
      <c r="D1359" s="36"/>
      <c r="E1359" s="36"/>
      <c r="F1359" s="36"/>
      <c r="G1359" s="18"/>
      <c r="H1359" s="30"/>
      <c r="I1359" s="30"/>
      <c r="J1359" s="31"/>
      <c r="K1359" s="43"/>
      <c r="L1359" s="32"/>
      <c r="M1359" s="36"/>
      <c r="N1359" s="36"/>
      <c r="O1359" s="36"/>
      <c r="P1359" s="36"/>
      <c r="Q1359" s="36"/>
    </row>
    <row r="1360" spans="3:17" x14ac:dyDescent="0.25">
      <c r="C1360" s="36"/>
      <c r="D1360" s="36"/>
      <c r="E1360" s="36"/>
      <c r="F1360" s="36"/>
      <c r="G1360" s="18"/>
      <c r="H1360" s="30"/>
      <c r="I1360" s="30"/>
      <c r="J1360" s="31"/>
      <c r="K1360" s="43"/>
      <c r="L1360" s="32"/>
      <c r="M1360" s="36"/>
      <c r="N1360" s="36"/>
      <c r="O1360" s="36"/>
      <c r="P1360" s="36"/>
      <c r="Q1360" s="36"/>
    </row>
    <row r="1361" spans="3:17" x14ac:dyDescent="0.25">
      <c r="C1361" s="36"/>
      <c r="D1361" s="36"/>
      <c r="E1361" s="36"/>
      <c r="F1361" s="36"/>
      <c r="G1361" s="18"/>
      <c r="H1361" s="30"/>
      <c r="I1361" s="30"/>
      <c r="J1361" s="31"/>
      <c r="K1361" s="43"/>
      <c r="L1361" s="32"/>
      <c r="M1361" s="36"/>
      <c r="N1361" s="36"/>
      <c r="O1361" s="36"/>
      <c r="P1361" s="36"/>
      <c r="Q1361" s="36"/>
    </row>
    <row r="1362" spans="3:17" x14ac:dyDescent="0.25">
      <c r="C1362" s="36"/>
      <c r="D1362" s="36"/>
      <c r="E1362" s="36"/>
      <c r="F1362" s="36"/>
      <c r="G1362" s="18"/>
      <c r="H1362" s="30"/>
      <c r="I1362" s="30"/>
      <c r="J1362" s="31"/>
      <c r="K1362" s="43"/>
      <c r="L1362" s="32"/>
      <c r="M1362" s="36"/>
      <c r="N1362" s="36"/>
      <c r="O1362" s="36"/>
      <c r="P1362" s="36"/>
      <c r="Q1362" s="36"/>
    </row>
    <row r="1363" spans="3:17" x14ac:dyDescent="0.25">
      <c r="C1363" s="36"/>
      <c r="D1363" s="36"/>
      <c r="E1363" s="36"/>
      <c r="F1363" s="36"/>
      <c r="G1363" s="18"/>
      <c r="H1363" s="30"/>
      <c r="I1363" s="30"/>
      <c r="J1363" s="31"/>
      <c r="K1363" s="43"/>
      <c r="L1363" s="32"/>
      <c r="M1363" s="36"/>
      <c r="N1363" s="36"/>
      <c r="O1363" s="36"/>
      <c r="P1363" s="36"/>
      <c r="Q1363" s="36"/>
    </row>
    <row r="1364" spans="3:17" x14ac:dyDescent="0.25">
      <c r="C1364" s="36"/>
      <c r="D1364" s="36"/>
      <c r="E1364" s="36"/>
      <c r="F1364" s="36"/>
      <c r="G1364" s="18"/>
      <c r="H1364" s="30"/>
      <c r="I1364" s="30"/>
      <c r="J1364" s="31"/>
      <c r="K1364" s="43"/>
      <c r="L1364" s="32"/>
      <c r="M1364" s="36"/>
      <c r="N1364" s="36"/>
      <c r="O1364" s="36"/>
      <c r="P1364" s="36"/>
      <c r="Q1364" s="36"/>
    </row>
    <row r="1365" spans="3:17" x14ac:dyDescent="0.25">
      <c r="C1365" s="36"/>
      <c r="D1365" s="36"/>
      <c r="E1365" s="36"/>
      <c r="F1365" s="36"/>
      <c r="G1365" s="18"/>
      <c r="H1365" s="30"/>
      <c r="I1365" s="30"/>
      <c r="J1365" s="31"/>
      <c r="K1365" s="43"/>
      <c r="L1365" s="32"/>
      <c r="M1365" s="36"/>
      <c r="N1365" s="36"/>
      <c r="O1365" s="36"/>
      <c r="P1365" s="36"/>
      <c r="Q1365" s="36"/>
    </row>
    <row r="1366" spans="3:17" x14ac:dyDescent="0.25">
      <c r="C1366" s="36"/>
      <c r="D1366" s="36"/>
      <c r="E1366" s="36"/>
      <c r="F1366" s="36"/>
      <c r="G1366" s="18"/>
      <c r="H1366" s="30"/>
      <c r="I1366" s="30"/>
      <c r="J1366" s="31"/>
      <c r="K1366" s="36"/>
      <c r="L1366" s="32"/>
      <c r="M1366" s="36"/>
      <c r="N1366" s="36"/>
      <c r="O1366" s="36"/>
      <c r="P1366" s="36"/>
      <c r="Q1366" s="36"/>
    </row>
    <row r="1367" spans="3:17" x14ac:dyDescent="0.25">
      <c r="C1367" s="36"/>
      <c r="D1367" s="36"/>
      <c r="E1367" s="36"/>
      <c r="F1367" s="36"/>
      <c r="G1367" s="18"/>
      <c r="H1367" s="30"/>
      <c r="I1367" s="30"/>
      <c r="J1367" s="31"/>
      <c r="K1367" s="36"/>
      <c r="L1367" s="32"/>
      <c r="M1367" s="36"/>
      <c r="N1367" s="36"/>
      <c r="O1367" s="36"/>
      <c r="P1367" s="36"/>
      <c r="Q1367" s="36"/>
    </row>
    <row r="1368" spans="3:17" x14ac:dyDescent="0.25">
      <c r="C1368" s="36"/>
      <c r="D1368" s="36"/>
      <c r="E1368" s="36"/>
      <c r="F1368" s="36"/>
      <c r="G1368" s="18"/>
      <c r="H1368" s="30"/>
      <c r="I1368" s="30"/>
      <c r="J1368" s="31"/>
      <c r="K1368" s="36"/>
      <c r="L1368" s="32"/>
      <c r="M1368" s="36"/>
      <c r="N1368" s="36"/>
      <c r="O1368" s="36"/>
      <c r="P1368" s="36"/>
      <c r="Q1368" s="36"/>
    </row>
    <row r="1369" spans="3:17" x14ac:dyDescent="0.25">
      <c r="C1369" s="36"/>
      <c r="D1369" s="36"/>
      <c r="E1369" s="36"/>
      <c r="F1369" s="36"/>
      <c r="G1369" s="18"/>
      <c r="H1369" s="30"/>
      <c r="I1369" s="30"/>
      <c r="J1369" s="31"/>
      <c r="K1369" s="36"/>
      <c r="L1369" s="32"/>
      <c r="M1369" s="36"/>
      <c r="N1369" s="36"/>
      <c r="O1369" s="36"/>
      <c r="P1369" s="36"/>
      <c r="Q1369" s="36"/>
    </row>
    <row r="1370" spans="3:17" x14ac:dyDescent="0.25">
      <c r="C1370" s="36"/>
      <c r="D1370" s="36"/>
      <c r="E1370" s="36"/>
      <c r="F1370" s="36"/>
      <c r="G1370" s="18"/>
      <c r="H1370" s="30"/>
      <c r="I1370" s="30"/>
      <c r="J1370" s="31"/>
      <c r="K1370" s="36"/>
      <c r="L1370" s="32"/>
      <c r="M1370" s="36"/>
      <c r="N1370" s="36"/>
      <c r="O1370" s="36"/>
      <c r="P1370" s="36"/>
      <c r="Q1370" s="36"/>
    </row>
    <row r="1371" spans="3:17" x14ac:dyDescent="0.25">
      <c r="C1371" s="36"/>
      <c r="D1371" s="36"/>
      <c r="E1371" s="36"/>
      <c r="F1371" s="36"/>
      <c r="G1371" s="18"/>
      <c r="H1371" s="30"/>
      <c r="I1371" s="30"/>
      <c r="J1371" s="31"/>
      <c r="K1371" s="36"/>
      <c r="L1371" s="32"/>
      <c r="M1371" s="36"/>
      <c r="N1371" s="36"/>
      <c r="O1371" s="36"/>
      <c r="P1371" s="36"/>
      <c r="Q1371" s="36"/>
    </row>
    <row r="1372" spans="3:17" x14ac:dyDescent="0.25">
      <c r="C1372" s="36"/>
      <c r="D1372" s="36"/>
      <c r="E1372" s="36"/>
      <c r="F1372" s="36"/>
      <c r="G1372" s="18"/>
      <c r="H1372" s="30"/>
      <c r="I1372" s="30"/>
      <c r="J1372" s="31"/>
      <c r="K1372" s="36"/>
      <c r="L1372" s="32"/>
      <c r="M1372" s="36"/>
      <c r="N1372" s="36"/>
      <c r="O1372" s="36"/>
      <c r="P1372" s="36"/>
      <c r="Q1372" s="36"/>
    </row>
    <row r="1373" spans="3:17" x14ac:dyDescent="0.25">
      <c r="C1373" s="36"/>
      <c r="D1373" s="36"/>
      <c r="E1373" s="36"/>
      <c r="F1373" s="36"/>
      <c r="G1373" s="18"/>
      <c r="H1373" s="30"/>
      <c r="I1373" s="30"/>
      <c r="J1373" s="31"/>
      <c r="K1373" s="36"/>
      <c r="L1373" s="32"/>
      <c r="M1373" s="36"/>
      <c r="N1373" s="36"/>
      <c r="O1373" s="36"/>
      <c r="P1373" s="36"/>
      <c r="Q1373" s="36"/>
    </row>
    <row r="1374" spans="3:17" x14ac:dyDescent="0.25">
      <c r="C1374" s="36"/>
      <c r="D1374" s="36"/>
      <c r="E1374" s="36"/>
      <c r="F1374" s="36"/>
      <c r="G1374" s="18"/>
      <c r="H1374" s="30"/>
      <c r="I1374" s="30"/>
      <c r="J1374" s="31"/>
      <c r="K1374" s="36"/>
      <c r="L1374" s="32"/>
      <c r="M1374" s="36"/>
      <c r="N1374" s="36"/>
      <c r="O1374" s="36"/>
      <c r="P1374" s="36"/>
      <c r="Q1374" s="36"/>
    </row>
    <row r="1375" spans="3:17" x14ac:dyDescent="0.25">
      <c r="C1375" s="36"/>
      <c r="D1375" s="36"/>
      <c r="E1375" s="36"/>
      <c r="F1375" s="36"/>
      <c r="G1375" s="18"/>
      <c r="H1375" s="30"/>
      <c r="I1375" s="30"/>
      <c r="J1375" s="31"/>
      <c r="K1375" s="36"/>
      <c r="L1375" s="32"/>
      <c r="M1375" s="36"/>
      <c r="N1375" s="36"/>
      <c r="O1375" s="36"/>
      <c r="P1375" s="36"/>
      <c r="Q1375" s="36"/>
    </row>
    <row r="1376" spans="3:17" x14ac:dyDescent="0.25">
      <c r="C1376" s="36"/>
      <c r="D1376" s="36"/>
      <c r="E1376" s="36"/>
      <c r="F1376" s="36"/>
      <c r="G1376" s="18"/>
      <c r="H1376" s="30"/>
      <c r="I1376" s="30"/>
      <c r="J1376" s="31"/>
      <c r="K1376" s="36"/>
      <c r="L1376" s="32"/>
      <c r="M1376" s="36"/>
      <c r="N1376" s="36"/>
      <c r="O1376" s="36"/>
      <c r="P1376" s="36"/>
      <c r="Q1376" s="36"/>
    </row>
    <row r="1377" spans="3:17" x14ac:dyDescent="0.25">
      <c r="C1377" s="36"/>
      <c r="D1377" s="36"/>
      <c r="E1377" s="36"/>
      <c r="F1377" s="36"/>
      <c r="G1377" s="18"/>
      <c r="H1377" s="30"/>
      <c r="I1377" s="30"/>
      <c r="J1377" s="31"/>
      <c r="K1377" s="36"/>
      <c r="L1377" s="32"/>
      <c r="M1377" s="36"/>
      <c r="N1377" s="36"/>
      <c r="O1377" s="36"/>
      <c r="P1377" s="36"/>
      <c r="Q1377" s="36"/>
    </row>
    <row r="1378" spans="3:17" x14ac:dyDescent="0.25">
      <c r="C1378" s="36"/>
      <c r="D1378" s="36"/>
      <c r="E1378" s="36"/>
      <c r="F1378" s="36"/>
      <c r="G1378" s="18"/>
      <c r="H1378" s="30"/>
      <c r="I1378" s="30"/>
      <c r="J1378" s="31"/>
      <c r="K1378" s="36"/>
      <c r="L1378" s="32"/>
      <c r="M1378" s="36"/>
      <c r="N1378" s="36"/>
      <c r="O1378" s="36"/>
      <c r="P1378" s="36"/>
      <c r="Q1378" s="36"/>
    </row>
    <row r="1379" spans="3:17" x14ac:dyDescent="0.25">
      <c r="C1379" s="36"/>
      <c r="D1379" s="36"/>
      <c r="E1379" s="36"/>
      <c r="F1379" s="36"/>
      <c r="G1379" s="18"/>
      <c r="H1379" s="30"/>
      <c r="I1379" s="30"/>
      <c r="J1379" s="31"/>
      <c r="K1379" s="36"/>
      <c r="L1379" s="32"/>
      <c r="M1379" s="36"/>
      <c r="N1379" s="36"/>
      <c r="O1379" s="36"/>
      <c r="P1379" s="36"/>
      <c r="Q1379" s="36"/>
    </row>
    <row r="1380" spans="3:17" x14ac:dyDescent="0.25">
      <c r="C1380" s="36"/>
      <c r="D1380" s="36"/>
      <c r="E1380" s="36"/>
      <c r="F1380" s="36"/>
      <c r="G1380" s="18"/>
      <c r="H1380" s="30"/>
      <c r="I1380" s="30"/>
      <c r="J1380" s="31"/>
      <c r="K1380" s="36"/>
      <c r="L1380" s="32"/>
      <c r="M1380" s="36"/>
      <c r="N1380" s="36"/>
      <c r="O1380" s="36"/>
      <c r="P1380" s="36"/>
      <c r="Q1380" s="36"/>
    </row>
    <row r="1381" spans="3:17" x14ac:dyDescent="0.25">
      <c r="C1381" s="36"/>
      <c r="D1381" s="36"/>
      <c r="E1381" s="36"/>
      <c r="F1381" s="36"/>
      <c r="G1381" s="18"/>
      <c r="H1381" s="30"/>
      <c r="I1381" s="30"/>
      <c r="J1381" s="31"/>
      <c r="K1381" s="36"/>
      <c r="L1381" s="32"/>
      <c r="M1381" s="36"/>
      <c r="N1381" s="36"/>
      <c r="O1381" s="36"/>
      <c r="P1381" s="36"/>
      <c r="Q1381" s="36"/>
    </row>
    <row r="1382" spans="3:17" x14ac:dyDescent="0.25">
      <c r="C1382" s="36"/>
      <c r="D1382" s="36"/>
      <c r="E1382" s="36"/>
      <c r="F1382" s="36"/>
      <c r="G1382" s="18"/>
      <c r="H1382" s="30"/>
      <c r="I1382" s="30"/>
      <c r="J1382" s="31"/>
      <c r="K1382" s="36"/>
      <c r="L1382" s="32"/>
      <c r="M1382" s="36"/>
      <c r="N1382" s="36"/>
      <c r="O1382" s="36"/>
      <c r="P1382" s="36"/>
      <c r="Q1382" s="36"/>
    </row>
    <row r="1383" spans="3:17" x14ac:dyDescent="0.25">
      <c r="C1383" s="36"/>
      <c r="D1383" s="36"/>
      <c r="E1383" s="36"/>
      <c r="F1383" s="36"/>
      <c r="G1383" s="18"/>
      <c r="H1383" s="30"/>
      <c r="I1383" s="30"/>
      <c r="J1383" s="31"/>
      <c r="K1383" s="36"/>
      <c r="L1383" s="32"/>
      <c r="M1383" s="36"/>
      <c r="N1383" s="36"/>
      <c r="O1383" s="36"/>
      <c r="P1383" s="36"/>
      <c r="Q1383" s="36"/>
    </row>
    <row r="1384" spans="3:17" x14ac:dyDescent="0.25">
      <c r="C1384" s="36"/>
      <c r="D1384" s="36"/>
      <c r="E1384" s="36"/>
      <c r="F1384" s="36"/>
      <c r="G1384" s="18"/>
      <c r="H1384" s="30"/>
      <c r="I1384" s="30"/>
      <c r="J1384" s="31"/>
      <c r="K1384" s="36"/>
      <c r="L1384" s="32"/>
      <c r="M1384" s="36"/>
      <c r="N1384" s="36"/>
      <c r="O1384" s="36"/>
      <c r="P1384" s="36"/>
      <c r="Q1384" s="36"/>
    </row>
    <row r="1385" spans="3:17" x14ac:dyDescent="0.25">
      <c r="C1385" s="36"/>
      <c r="D1385" s="36"/>
      <c r="E1385" s="36"/>
      <c r="F1385" s="36"/>
      <c r="G1385" s="18"/>
      <c r="H1385" s="30"/>
      <c r="I1385" s="30"/>
      <c r="J1385" s="31"/>
      <c r="K1385" s="36"/>
      <c r="L1385" s="32"/>
      <c r="M1385" s="36"/>
      <c r="N1385" s="36"/>
      <c r="O1385" s="36"/>
      <c r="P1385" s="36"/>
      <c r="Q1385" s="36"/>
    </row>
    <row r="1386" spans="3:17" x14ac:dyDescent="0.25">
      <c r="C1386" s="36"/>
      <c r="D1386" s="36"/>
      <c r="E1386" s="36"/>
      <c r="F1386" s="36"/>
      <c r="G1386" s="18"/>
      <c r="H1386" s="30"/>
      <c r="I1386" s="30"/>
      <c r="J1386" s="31"/>
      <c r="K1386" s="36"/>
      <c r="L1386" s="32"/>
      <c r="M1386" s="36"/>
      <c r="N1386" s="36"/>
      <c r="O1386" s="36"/>
      <c r="P1386" s="36"/>
      <c r="Q1386" s="36"/>
    </row>
    <row r="1387" spans="3:17" x14ac:dyDescent="0.25">
      <c r="C1387" s="36"/>
      <c r="D1387" s="36"/>
      <c r="E1387" s="36"/>
      <c r="F1387" s="36"/>
      <c r="G1387" s="18"/>
      <c r="H1387" s="30"/>
      <c r="I1387" s="30"/>
      <c r="J1387" s="31"/>
      <c r="K1387" s="36"/>
      <c r="L1387" s="32"/>
      <c r="M1387" s="36"/>
      <c r="N1387" s="36"/>
      <c r="O1387" s="36"/>
      <c r="P1387" s="36"/>
      <c r="Q1387" s="36"/>
    </row>
    <row r="1388" spans="3:17" x14ac:dyDescent="0.25">
      <c r="C1388" s="36"/>
      <c r="D1388" s="36"/>
      <c r="E1388" s="36"/>
      <c r="F1388" s="36"/>
      <c r="G1388" s="18"/>
      <c r="H1388" s="30"/>
      <c r="I1388" s="30"/>
      <c r="J1388" s="31"/>
      <c r="K1388" s="36"/>
      <c r="L1388" s="32"/>
      <c r="M1388" s="36"/>
      <c r="N1388" s="36"/>
      <c r="O1388" s="36"/>
      <c r="P1388" s="36"/>
      <c r="Q1388" s="36"/>
    </row>
    <row r="1389" spans="3:17" x14ac:dyDescent="0.25">
      <c r="C1389" s="36"/>
      <c r="D1389" s="36"/>
      <c r="E1389" s="36"/>
      <c r="F1389" s="36"/>
      <c r="G1389" s="18"/>
      <c r="H1389" s="30"/>
      <c r="I1389" s="30"/>
      <c r="J1389" s="31"/>
      <c r="K1389" s="36"/>
      <c r="L1389" s="32"/>
      <c r="M1389" s="36"/>
      <c r="N1389" s="36"/>
      <c r="O1389" s="36"/>
      <c r="P1389" s="36"/>
      <c r="Q1389" s="36"/>
    </row>
    <row r="1390" spans="3:17" x14ac:dyDescent="0.25">
      <c r="C1390" s="36"/>
      <c r="D1390" s="36"/>
      <c r="E1390" s="36"/>
      <c r="F1390" s="36"/>
      <c r="G1390" s="18"/>
      <c r="H1390" s="30"/>
      <c r="I1390" s="30"/>
      <c r="J1390" s="31"/>
      <c r="K1390" s="36"/>
      <c r="L1390" s="32"/>
      <c r="M1390" s="36"/>
      <c r="N1390" s="36"/>
      <c r="O1390" s="36"/>
      <c r="P1390" s="36"/>
      <c r="Q1390" s="36"/>
    </row>
    <row r="1391" spans="3:17" x14ac:dyDescent="0.25">
      <c r="C1391" s="36"/>
      <c r="D1391" s="36"/>
      <c r="E1391" s="36"/>
      <c r="F1391" s="36"/>
      <c r="G1391" s="18"/>
      <c r="H1391" s="30"/>
      <c r="I1391" s="30"/>
      <c r="J1391" s="31"/>
      <c r="K1391" s="36"/>
      <c r="L1391" s="32"/>
      <c r="M1391" s="36"/>
      <c r="N1391" s="36"/>
      <c r="O1391" s="36"/>
      <c r="P1391" s="36"/>
      <c r="Q1391" s="36"/>
    </row>
    <row r="1392" spans="3:17" x14ac:dyDescent="0.25">
      <c r="C1392" s="36"/>
      <c r="D1392" s="36"/>
      <c r="E1392" s="36"/>
      <c r="F1392" s="36"/>
      <c r="G1392" s="18"/>
      <c r="H1392" s="30"/>
      <c r="I1392" s="30"/>
      <c r="J1392" s="31"/>
      <c r="K1392" s="36"/>
      <c r="L1392" s="32"/>
      <c r="M1392" s="36"/>
      <c r="N1392" s="36"/>
      <c r="O1392" s="36"/>
      <c r="P1392" s="36"/>
      <c r="Q1392" s="36"/>
    </row>
    <row r="1393" spans="3:17" x14ac:dyDescent="0.25">
      <c r="C1393" s="36"/>
      <c r="D1393" s="36"/>
      <c r="E1393" s="36"/>
      <c r="F1393" s="36"/>
      <c r="G1393" s="18"/>
      <c r="H1393" s="30"/>
      <c r="I1393" s="30"/>
      <c r="J1393" s="31"/>
      <c r="K1393" s="36"/>
      <c r="L1393" s="32"/>
      <c r="M1393" s="36"/>
      <c r="N1393" s="36"/>
      <c r="O1393" s="36"/>
      <c r="P1393" s="36"/>
      <c r="Q1393" s="36"/>
    </row>
    <row r="1394" spans="3:17" x14ac:dyDescent="0.25">
      <c r="C1394" s="36"/>
      <c r="D1394" s="36"/>
      <c r="E1394" s="36"/>
      <c r="F1394" s="36"/>
      <c r="G1394" s="18"/>
      <c r="H1394" s="30"/>
      <c r="I1394" s="30"/>
      <c r="J1394" s="31"/>
      <c r="K1394" s="36"/>
      <c r="L1394" s="32"/>
      <c r="M1394" s="36"/>
      <c r="N1394" s="36"/>
      <c r="O1394" s="36"/>
      <c r="P1394" s="36"/>
      <c r="Q1394" s="36"/>
    </row>
    <row r="1395" spans="3:17" x14ac:dyDescent="0.25">
      <c r="C1395" s="36"/>
      <c r="D1395" s="36"/>
      <c r="E1395" s="36"/>
      <c r="F1395" s="36"/>
      <c r="G1395" s="18"/>
      <c r="H1395" s="30"/>
      <c r="I1395" s="30"/>
      <c r="J1395" s="31"/>
      <c r="K1395" s="36"/>
      <c r="L1395" s="32"/>
      <c r="M1395" s="36"/>
      <c r="N1395" s="36"/>
      <c r="O1395" s="36"/>
      <c r="P1395" s="36"/>
      <c r="Q1395" s="36"/>
    </row>
    <row r="1396" spans="3:17" x14ac:dyDescent="0.25">
      <c r="C1396" s="36"/>
      <c r="D1396" s="36"/>
      <c r="E1396" s="36"/>
      <c r="F1396" s="36"/>
      <c r="G1396" s="18"/>
      <c r="H1396" s="30"/>
      <c r="I1396" s="30"/>
      <c r="J1396" s="31"/>
      <c r="K1396" s="36"/>
      <c r="L1396" s="32"/>
      <c r="M1396" s="36"/>
      <c r="N1396" s="36"/>
      <c r="O1396" s="36"/>
      <c r="P1396" s="36"/>
      <c r="Q1396" s="36"/>
    </row>
    <row r="1397" spans="3:17" x14ac:dyDescent="0.25">
      <c r="C1397" s="36"/>
      <c r="D1397" s="36"/>
      <c r="E1397" s="36"/>
      <c r="F1397" s="36"/>
      <c r="G1397" s="18"/>
      <c r="H1397" s="30"/>
      <c r="I1397" s="30"/>
      <c r="J1397" s="31"/>
      <c r="K1397" s="36"/>
      <c r="L1397" s="32"/>
      <c r="M1397" s="36"/>
      <c r="N1397" s="36"/>
      <c r="O1397" s="36"/>
      <c r="P1397" s="36"/>
      <c r="Q1397" s="36"/>
    </row>
    <row r="1398" spans="3:17" x14ac:dyDescent="0.25">
      <c r="C1398" s="36"/>
      <c r="D1398" s="36"/>
      <c r="E1398" s="36"/>
      <c r="F1398" s="36"/>
      <c r="G1398" s="18"/>
      <c r="H1398" s="30"/>
      <c r="I1398" s="30"/>
      <c r="J1398" s="31"/>
      <c r="K1398" s="36"/>
      <c r="L1398" s="32"/>
      <c r="M1398" s="36"/>
      <c r="N1398" s="36"/>
      <c r="O1398" s="36"/>
      <c r="P1398" s="36"/>
      <c r="Q1398" s="36"/>
    </row>
    <row r="1399" spans="3:17" x14ac:dyDescent="0.25">
      <c r="C1399" s="36"/>
      <c r="D1399" s="36"/>
      <c r="E1399" s="36"/>
      <c r="F1399" s="36"/>
      <c r="G1399" s="18"/>
      <c r="H1399" s="30"/>
      <c r="I1399" s="30"/>
      <c r="J1399" s="31"/>
      <c r="K1399" s="36"/>
      <c r="L1399" s="32"/>
      <c r="M1399" s="36"/>
      <c r="N1399" s="36"/>
      <c r="O1399" s="36"/>
      <c r="P1399" s="36"/>
      <c r="Q1399" s="36"/>
    </row>
    <row r="1400" spans="3:17" x14ac:dyDescent="0.25">
      <c r="C1400" s="36"/>
      <c r="D1400" s="36"/>
      <c r="E1400" s="36"/>
      <c r="F1400" s="36"/>
      <c r="G1400" s="18"/>
      <c r="H1400" s="30"/>
      <c r="I1400" s="30"/>
      <c r="J1400" s="31"/>
      <c r="K1400" s="36"/>
      <c r="L1400" s="32"/>
      <c r="M1400" s="36"/>
      <c r="N1400" s="36"/>
      <c r="O1400" s="36"/>
      <c r="P1400" s="36"/>
      <c r="Q1400" s="36"/>
    </row>
    <row r="1401" spans="3:17" x14ac:dyDescent="0.25">
      <c r="C1401" s="36"/>
      <c r="D1401" s="36"/>
      <c r="E1401" s="36"/>
      <c r="F1401" s="36"/>
      <c r="G1401" s="18"/>
      <c r="H1401" s="30"/>
      <c r="I1401" s="30"/>
      <c r="J1401" s="31"/>
      <c r="K1401" s="36"/>
      <c r="L1401" s="32"/>
      <c r="M1401" s="36"/>
      <c r="N1401" s="36"/>
      <c r="O1401" s="36"/>
      <c r="P1401" s="36"/>
      <c r="Q1401" s="36"/>
    </row>
    <row r="1402" spans="3:17" x14ac:dyDescent="0.25">
      <c r="C1402" s="36"/>
      <c r="D1402" s="36"/>
      <c r="E1402" s="36"/>
      <c r="F1402" s="36"/>
      <c r="G1402" s="18"/>
      <c r="H1402" s="30"/>
      <c r="I1402" s="30"/>
      <c r="J1402" s="31"/>
      <c r="K1402" s="36"/>
      <c r="L1402" s="32"/>
      <c r="M1402" s="36"/>
      <c r="N1402" s="36"/>
      <c r="O1402" s="36"/>
      <c r="P1402" s="36"/>
      <c r="Q1402" s="36"/>
    </row>
    <row r="1403" spans="3:17" x14ac:dyDescent="0.25">
      <c r="C1403" s="36"/>
      <c r="D1403" s="36"/>
      <c r="E1403" s="36"/>
      <c r="F1403" s="36"/>
      <c r="G1403" s="18"/>
      <c r="H1403" s="30"/>
      <c r="I1403" s="30"/>
      <c r="J1403" s="31"/>
      <c r="K1403" s="36"/>
      <c r="L1403" s="32"/>
      <c r="M1403" s="36"/>
      <c r="N1403" s="36"/>
      <c r="O1403" s="36"/>
      <c r="P1403" s="36"/>
      <c r="Q1403" s="36"/>
    </row>
    <row r="1404" spans="3:17" x14ac:dyDescent="0.25">
      <c r="C1404" s="36"/>
      <c r="D1404" s="36"/>
      <c r="E1404" s="36"/>
      <c r="F1404" s="36"/>
      <c r="G1404" s="18"/>
      <c r="H1404" s="30"/>
      <c r="I1404" s="30"/>
      <c r="J1404" s="31"/>
      <c r="K1404" s="36"/>
      <c r="L1404" s="32"/>
      <c r="M1404" s="36"/>
      <c r="N1404" s="36"/>
      <c r="O1404" s="36"/>
      <c r="P1404" s="36"/>
      <c r="Q1404" s="36"/>
    </row>
    <row r="1405" spans="3:17" x14ac:dyDescent="0.25">
      <c r="C1405" s="36"/>
      <c r="D1405" s="36"/>
      <c r="E1405" s="36"/>
      <c r="F1405" s="36"/>
      <c r="G1405" s="18"/>
      <c r="H1405" s="30"/>
      <c r="I1405" s="30"/>
      <c r="J1405" s="31"/>
      <c r="K1405" s="36"/>
      <c r="L1405" s="32"/>
      <c r="M1405" s="36"/>
      <c r="N1405" s="36"/>
      <c r="O1405" s="36"/>
      <c r="P1405" s="36"/>
      <c r="Q1405" s="36"/>
    </row>
    <row r="1406" spans="3:17" x14ac:dyDescent="0.25">
      <c r="C1406" s="36"/>
      <c r="D1406" s="36"/>
      <c r="E1406" s="36"/>
      <c r="F1406" s="36"/>
      <c r="G1406" s="18"/>
      <c r="H1406" s="30"/>
      <c r="I1406" s="30"/>
      <c r="J1406" s="31"/>
      <c r="K1406" s="36"/>
      <c r="L1406" s="32"/>
      <c r="M1406" s="36"/>
      <c r="N1406" s="36"/>
      <c r="O1406" s="36"/>
      <c r="P1406" s="36"/>
      <c r="Q1406" s="36"/>
    </row>
    <row r="1407" spans="3:17" x14ac:dyDescent="0.25">
      <c r="C1407" s="36"/>
      <c r="D1407" s="36"/>
      <c r="E1407" s="36"/>
      <c r="F1407" s="36"/>
      <c r="G1407" s="18"/>
      <c r="H1407" s="30"/>
      <c r="I1407" s="30"/>
      <c r="J1407" s="31"/>
      <c r="K1407" s="36"/>
      <c r="L1407" s="32"/>
      <c r="M1407" s="36"/>
      <c r="N1407" s="36"/>
      <c r="O1407" s="36"/>
      <c r="P1407" s="36"/>
      <c r="Q1407" s="36"/>
    </row>
    <row r="1408" spans="3:17" x14ac:dyDescent="0.25">
      <c r="C1408" s="36"/>
      <c r="D1408" s="36"/>
      <c r="E1408" s="36"/>
      <c r="F1408" s="36"/>
      <c r="G1408" s="18"/>
      <c r="H1408" s="30"/>
      <c r="I1408" s="30"/>
      <c r="J1408" s="31"/>
      <c r="K1408" s="36"/>
      <c r="L1408" s="32"/>
      <c r="M1408" s="36"/>
      <c r="N1408" s="36"/>
      <c r="O1408" s="36"/>
      <c r="P1408" s="36"/>
      <c r="Q1408" s="36"/>
    </row>
    <row r="1409" spans="3:17" x14ac:dyDescent="0.25">
      <c r="C1409" s="36"/>
      <c r="D1409" s="36"/>
      <c r="E1409" s="36"/>
      <c r="F1409" s="36"/>
      <c r="G1409" s="18"/>
      <c r="H1409" s="30"/>
      <c r="I1409" s="30"/>
      <c r="J1409" s="31"/>
      <c r="K1409" s="36"/>
      <c r="L1409" s="32"/>
      <c r="M1409" s="36"/>
      <c r="N1409" s="36"/>
      <c r="O1409" s="36"/>
      <c r="P1409" s="36"/>
      <c r="Q1409" s="36"/>
    </row>
    <row r="1410" spans="3:17" x14ac:dyDescent="0.25">
      <c r="C1410" s="36"/>
      <c r="D1410" s="36"/>
      <c r="E1410" s="36"/>
      <c r="F1410" s="36"/>
      <c r="G1410" s="18"/>
      <c r="H1410" s="30"/>
      <c r="I1410" s="30"/>
      <c r="J1410" s="31"/>
      <c r="K1410" s="36"/>
      <c r="L1410" s="32"/>
      <c r="M1410" s="36"/>
      <c r="N1410" s="36"/>
      <c r="O1410" s="36"/>
      <c r="P1410" s="36"/>
      <c r="Q1410" s="36"/>
    </row>
    <row r="1411" spans="3:17" x14ac:dyDescent="0.25">
      <c r="C1411" s="36"/>
      <c r="D1411" s="36"/>
      <c r="E1411" s="36"/>
      <c r="F1411" s="36"/>
      <c r="G1411" s="18"/>
      <c r="H1411" s="30"/>
      <c r="I1411" s="30"/>
      <c r="J1411" s="31"/>
      <c r="K1411" s="36"/>
      <c r="L1411" s="32"/>
      <c r="M1411" s="36"/>
      <c r="N1411" s="36"/>
      <c r="O1411" s="36"/>
      <c r="P1411" s="36"/>
      <c r="Q1411" s="36"/>
    </row>
    <row r="1412" spans="3:17" x14ac:dyDescent="0.25">
      <c r="C1412" s="36"/>
      <c r="D1412" s="36"/>
      <c r="E1412" s="36"/>
      <c r="F1412" s="36"/>
      <c r="G1412" s="18"/>
      <c r="H1412" s="30"/>
      <c r="I1412" s="30"/>
      <c r="J1412" s="31"/>
      <c r="K1412" s="36"/>
      <c r="L1412" s="32"/>
      <c r="M1412" s="36"/>
      <c r="N1412" s="36"/>
      <c r="O1412" s="36"/>
      <c r="P1412" s="36"/>
      <c r="Q1412" s="36"/>
    </row>
    <row r="1413" spans="3:17" x14ac:dyDescent="0.25">
      <c r="C1413" s="36"/>
      <c r="D1413" s="36"/>
      <c r="E1413" s="36"/>
      <c r="F1413" s="36"/>
      <c r="G1413" s="18"/>
      <c r="H1413" s="30"/>
      <c r="I1413" s="30"/>
      <c r="J1413" s="31"/>
      <c r="K1413" s="36"/>
      <c r="L1413" s="32"/>
      <c r="M1413" s="36"/>
      <c r="N1413" s="36"/>
      <c r="O1413" s="36"/>
      <c r="P1413" s="36"/>
      <c r="Q1413" s="36"/>
    </row>
    <row r="1414" spans="3:17" x14ac:dyDescent="0.25">
      <c r="C1414" s="36"/>
      <c r="D1414" s="36"/>
      <c r="E1414" s="36"/>
      <c r="F1414" s="36"/>
      <c r="G1414" s="18"/>
      <c r="H1414" s="30"/>
      <c r="I1414" s="30"/>
      <c r="J1414" s="31"/>
      <c r="K1414" s="36"/>
      <c r="L1414" s="32"/>
      <c r="M1414" s="36"/>
      <c r="N1414" s="36"/>
      <c r="O1414" s="36"/>
      <c r="P1414" s="36"/>
      <c r="Q1414" s="36"/>
    </row>
    <row r="1415" spans="3:17" x14ac:dyDescent="0.25">
      <c r="C1415" s="36"/>
      <c r="D1415" s="36"/>
      <c r="E1415" s="36"/>
      <c r="F1415" s="36"/>
      <c r="G1415" s="18"/>
      <c r="H1415" s="30"/>
      <c r="I1415" s="30"/>
      <c r="J1415" s="31"/>
      <c r="K1415" s="36"/>
      <c r="L1415" s="32"/>
      <c r="M1415" s="36"/>
      <c r="N1415" s="36"/>
      <c r="O1415" s="36"/>
      <c r="P1415" s="36"/>
      <c r="Q1415" s="36"/>
    </row>
    <row r="1416" spans="3:17" x14ac:dyDescent="0.25">
      <c r="C1416" s="36"/>
      <c r="D1416" s="36"/>
      <c r="E1416" s="36"/>
      <c r="F1416" s="36"/>
      <c r="G1416" s="18"/>
      <c r="H1416" s="30"/>
      <c r="I1416" s="30"/>
      <c r="J1416" s="31"/>
      <c r="K1416" s="36"/>
      <c r="L1416" s="32"/>
      <c r="M1416" s="36"/>
      <c r="N1416" s="36"/>
      <c r="O1416" s="36"/>
      <c r="P1416" s="36"/>
      <c r="Q1416" s="36"/>
    </row>
    <row r="1417" spans="3:17" x14ac:dyDescent="0.25">
      <c r="C1417" s="36"/>
      <c r="D1417" s="36"/>
      <c r="E1417" s="36"/>
      <c r="F1417" s="36"/>
      <c r="G1417" s="18"/>
      <c r="H1417" s="30"/>
      <c r="I1417" s="30"/>
      <c r="J1417" s="31"/>
      <c r="K1417" s="36"/>
      <c r="L1417" s="32"/>
      <c r="M1417" s="36"/>
      <c r="N1417" s="36"/>
      <c r="O1417" s="36"/>
      <c r="P1417" s="36"/>
      <c r="Q1417" s="36"/>
    </row>
    <row r="1418" spans="3:17" x14ac:dyDescent="0.25">
      <c r="C1418" s="36"/>
      <c r="D1418" s="36"/>
      <c r="E1418" s="36"/>
      <c r="F1418" s="36"/>
      <c r="G1418" s="18"/>
      <c r="H1418" s="30"/>
      <c r="I1418" s="30"/>
      <c r="J1418" s="31"/>
      <c r="K1418" s="36"/>
      <c r="L1418" s="32"/>
      <c r="M1418" s="36"/>
      <c r="N1418" s="36"/>
      <c r="O1418" s="36"/>
      <c r="P1418" s="36"/>
      <c r="Q1418" s="36"/>
    </row>
    <row r="1419" spans="3:17" x14ac:dyDescent="0.25">
      <c r="C1419" s="36"/>
      <c r="D1419" s="36"/>
      <c r="E1419" s="36"/>
      <c r="F1419" s="36"/>
      <c r="G1419" s="18"/>
      <c r="H1419" s="30"/>
      <c r="I1419" s="30"/>
      <c r="J1419" s="31"/>
      <c r="K1419" s="43"/>
      <c r="L1419" s="32"/>
      <c r="M1419" s="36"/>
      <c r="N1419" s="36"/>
      <c r="O1419" s="36"/>
      <c r="P1419" s="36"/>
      <c r="Q1419" s="36"/>
    </row>
    <row r="1420" spans="3:17" x14ac:dyDescent="0.25">
      <c r="C1420" s="36"/>
      <c r="D1420" s="36"/>
      <c r="E1420" s="36"/>
      <c r="F1420" s="36"/>
      <c r="G1420" s="18"/>
      <c r="H1420" s="30"/>
      <c r="I1420" s="30"/>
      <c r="J1420" s="31"/>
      <c r="K1420" s="43"/>
      <c r="L1420" s="32"/>
      <c r="M1420" s="36"/>
      <c r="N1420" s="36"/>
      <c r="O1420" s="36"/>
      <c r="P1420" s="36"/>
      <c r="Q1420" s="36"/>
    </row>
    <row r="1421" spans="3:17" x14ac:dyDescent="0.25">
      <c r="C1421" s="36"/>
      <c r="D1421" s="36"/>
      <c r="E1421" s="36"/>
      <c r="F1421" s="36"/>
      <c r="G1421" s="18"/>
      <c r="H1421" s="30"/>
      <c r="I1421" s="30"/>
      <c r="J1421" s="31"/>
      <c r="K1421" s="43"/>
      <c r="L1421" s="32"/>
      <c r="M1421" s="36"/>
      <c r="N1421" s="36"/>
      <c r="O1421" s="36"/>
      <c r="P1421" s="36"/>
      <c r="Q1421" s="36"/>
    </row>
    <row r="1422" spans="3:17" x14ac:dyDescent="0.25">
      <c r="C1422" s="36"/>
      <c r="D1422" s="36"/>
      <c r="E1422" s="36"/>
      <c r="F1422" s="36"/>
      <c r="G1422" s="18"/>
      <c r="H1422" s="30"/>
      <c r="I1422" s="30"/>
      <c r="J1422" s="31"/>
      <c r="K1422" s="43"/>
      <c r="L1422" s="32"/>
      <c r="M1422" s="36"/>
      <c r="N1422" s="36"/>
      <c r="O1422" s="36"/>
      <c r="P1422" s="36"/>
      <c r="Q1422" s="36"/>
    </row>
    <row r="1423" spans="3:17" x14ac:dyDescent="0.25">
      <c r="C1423" s="36"/>
      <c r="D1423" s="36"/>
      <c r="E1423" s="36"/>
      <c r="F1423" s="36"/>
      <c r="G1423" s="18"/>
      <c r="H1423" s="30"/>
      <c r="I1423" s="30"/>
      <c r="J1423" s="31"/>
      <c r="K1423" s="43"/>
      <c r="L1423" s="32"/>
      <c r="M1423" s="36"/>
      <c r="N1423" s="36"/>
      <c r="O1423" s="36"/>
      <c r="P1423" s="36"/>
      <c r="Q1423" s="36"/>
    </row>
    <row r="1424" spans="3:17" x14ac:dyDescent="0.25">
      <c r="C1424" s="36"/>
      <c r="D1424" s="36"/>
      <c r="E1424" s="36"/>
      <c r="F1424" s="36"/>
      <c r="G1424" s="18"/>
      <c r="H1424" s="30"/>
      <c r="I1424" s="30"/>
      <c r="J1424" s="31"/>
      <c r="K1424" s="43"/>
      <c r="L1424" s="32"/>
      <c r="M1424" s="36"/>
      <c r="N1424" s="36"/>
      <c r="O1424" s="36"/>
      <c r="P1424" s="36"/>
      <c r="Q1424" s="36"/>
    </row>
    <row r="1425" spans="3:17" x14ac:dyDescent="0.25">
      <c r="C1425" s="36"/>
      <c r="D1425" s="36"/>
      <c r="E1425" s="36"/>
      <c r="F1425" s="36"/>
      <c r="G1425" s="18"/>
      <c r="H1425" s="30"/>
      <c r="I1425" s="30"/>
      <c r="J1425" s="31"/>
      <c r="K1425" s="43"/>
      <c r="L1425" s="32"/>
      <c r="M1425" s="36"/>
      <c r="N1425" s="36"/>
      <c r="O1425" s="36"/>
      <c r="P1425" s="36"/>
      <c r="Q1425" s="36"/>
    </row>
    <row r="1426" spans="3:17" x14ac:dyDescent="0.25">
      <c r="C1426" s="36"/>
      <c r="D1426" s="36"/>
      <c r="E1426" s="36"/>
      <c r="F1426" s="36"/>
      <c r="G1426" s="18"/>
      <c r="H1426" s="30"/>
      <c r="I1426" s="30"/>
      <c r="J1426" s="31"/>
      <c r="K1426" s="43"/>
      <c r="L1426" s="32"/>
      <c r="M1426" s="36"/>
      <c r="N1426" s="36"/>
      <c r="O1426" s="36"/>
      <c r="P1426" s="36"/>
      <c r="Q1426" s="36"/>
    </row>
    <row r="1427" spans="3:17" x14ac:dyDescent="0.25">
      <c r="C1427" s="36"/>
      <c r="D1427" s="36"/>
      <c r="E1427" s="36"/>
      <c r="F1427" s="36"/>
      <c r="G1427" s="18"/>
      <c r="H1427" s="30"/>
      <c r="I1427" s="30"/>
      <c r="J1427" s="31"/>
      <c r="K1427" s="43"/>
      <c r="L1427" s="32"/>
      <c r="M1427" s="36"/>
      <c r="N1427" s="36"/>
      <c r="O1427" s="36"/>
      <c r="P1427" s="36"/>
      <c r="Q1427" s="36"/>
    </row>
    <row r="1428" spans="3:17" x14ac:dyDescent="0.25">
      <c r="C1428" s="36"/>
      <c r="D1428" s="36"/>
      <c r="E1428" s="36"/>
      <c r="F1428" s="36"/>
      <c r="G1428" s="18"/>
      <c r="H1428" s="30"/>
      <c r="I1428" s="30"/>
      <c r="J1428" s="31"/>
      <c r="K1428" s="43"/>
      <c r="L1428" s="32"/>
      <c r="M1428" s="36"/>
      <c r="N1428" s="36"/>
      <c r="O1428" s="36"/>
      <c r="P1428" s="36"/>
      <c r="Q1428" s="36"/>
    </row>
    <row r="1429" spans="3:17" x14ac:dyDescent="0.25">
      <c r="C1429" s="36"/>
      <c r="D1429" s="36"/>
      <c r="E1429" s="36"/>
      <c r="F1429" s="36"/>
      <c r="G1429" s="18"/>
      <c r="H1429" s="30"/>
      <c r="I1429" s="30"/>
      <c r="J1429" s="31"/>
      <c r="K1429" s="43"/>
      <c r="L1429" s="32"/>
      <c r="M1429" s="36"/>
      <c r="N1429" s="36"/>
      <c r="O1429" s="36"/>
      <c r="P1429" s="36"/>
      <c r="Q1429" s="36"/>
    </row>
    <row r="1430" spans="3:17" x14ac:dyDescent="0.25">
      <c r="C1430" s="36"/>
      <c r="D1430" s="36"/>
      <c r="E1430" s="36"/>
      <c r="F1430" s="36"/>
      <c r="G1430" s="18"/>
      <c r="H1430" s="30"/>
      <c r="I1430" s="30"/>
      <c r="J1430" s="31"/>
      <c r="K1430" s="43"/>
      <c r="L1430" s="32"/>
      <c r="M1430" s="36"/>
      <c r="N1430" s="36"/>
      <c r="O1430" s="36"/>
      <c r="P1430" s="36"/>
      <c r="Q1430" s="36"/>
    </row>
    <row r="1431" spans="3:17" x14ac:dyDescent="0.25">
      <c r="C1431" s="36"/>
      <c r="D1431" s="36"/>
      <c r="E1431" s="36"/>
      <c r="F1431" s="36"/>
      <c r="G1431" s="18"/>
      <c r="H1431" s="30"/>
      <c r="I1431" s="30"/>
      <c r="J1431" s="31"/>
      <c r="K1431" s="43"/>
      <c r="L1431" s="32"/>
      <c r="M1431" s="36"/>
      <c r="N1431" s="36"/>
      <c r="O1431" s="36"/>
      <c r="P1431" s="36"/>
      <c r="Q1431" s="36"/>
    </row>
    <row r="1432" spans="3:17" x14ac:dyDescent="0.25">
      <c r="C1432" s="36"/>
      <c r="D1432" s="36"/>
      <c r="E1432" s="36"/>
      <c r="F1432" s="36"/>
      <c r="G1432" s="18"/>
      <c r="H1432" s="30"/>
      <c r="I1432" s="30"/>
      <c r="J1432" s="31"/>
      <c r="K1432" s="43"/>
      <c r="L1432" s="32"/>
      <c r="M1432" s="36"/>
      <c r="N1432" s="36"/>
      <c r="O1432" s="36"/>
      <c r="P1432" s="36"/>
      <c r="Q1432" s="36"/>
    </row>
    <row r="1433" spans="3:17" x14ac:dyDescent="0.25">
      <c r="C1433" s="36"/>
      <c r="D1433" s="36"/>
      <c r="E1433" s="36"/>
      <c r="F1433" s="36"/>
      <c r="G1433" s="18"/>
      <c r="H1433" s="30"/>
      <c r="I1433" s="30"/>
      <c r="J1433" s="31"/>
      <c r="K1433" s="43"/>
      <c r="L1433" s="32"/>
      <c r="M1433" s="36"/>
      <c r="N1433" s="36"/>
      <c r="O1433" s="36"/>
      <c r="P1433" s="36"/>
      <c r="Q1433" s="36"/>
    </row>
    <row r="1434" spans="3:17" x14ac:dyDescent="0.25">
      <c r="C1434" s="36"/>
      <c r="D1434" s="36"/>
      <c r="E1434" s="36"/>
      <c r="F1434" s="36"/>
      <c r="G1434" s="18"/>
      <c r="H1434" s="30"/>
      <c r="I1434" s="30"/>
      <c r="J1434" s="31"/>
      <c r="K1434" s="43"/>
      <c r="L1434" s="32"/>
      <c r="M1434" s="36"/>
      <c r="N1434" s="36"/>
      <c r="O1434" s="36"/>
      <c r="P1434" s="36"/>
      <c r="Q1434" s="36"/>
    </row>
    <row r="1435" spans="3:17" x14ac:dyDescent="0.25">
      <c r="C1435" s="36"/>
      <c r="D1435" s="36"/>
      <c r="E1435" s="36"/>
      <c r="F1435" s="36"/>
      <c r="G1435" s="18"/>
      <c r="H1435" s="30"/>
      <c r="I1435" s="30"/>
      <c r="J1435" s="31"/>
      <c r="K1435" s="43"/>
      <c r="L1435" s="32"/>
      <c r="M1435" s="36"/>
      <c r="N1435" s="36"/>
      <c r="O1435" s="36"/>
      <c r="P1435" s="36"/>
      <c r="Q1435" s="36"/>
    </row>
    <row r="1436" spans="3:17" x14ac:dyDescent="0.25">
      <c r="C1436" s="36"/>
      <c r="D1436" s="36"/>
      <c r="E1436" s="36"/>
      <c r="F1436" s="36"/>
      <c r="G1436" s="18"/>
      <c r="H1436" s="30"/>
      <c r="I1436" s="30"/>
      <c r="J1436" s="31"/>
      <c r="K1436" s="43"/>
      <c r="L1436" s="32"/>
      <c r="M1436" s="36"/>
      <c r="N1436" s="36"/>
      <c r="O1436" s="36"/>
      <c r="P1436" s="36"/>
      <c r="Q1436" s="36"/>
    </row>
    <row r="1437" spans="3:17" x14ac:dyDescent="0.25">
      <c r="C1437" s="36"/>
      <c r="D1437" s="36"/>
      <c r="E1437" s="36"/>
      <c r="F1437" s="36"/>
      <c r="G1437" s="18"/>
      <c r="H1437" s="30"/>
      <c r="I1437" s="30"/>
      <c r="J1437" s="31"/>
      <c r="K1437" s="43"/>
      <c r="L1437" s="32"/>
      <c r="M1437" s="36"/>
      <c r="N1437" s="36"/>
      <c r="O1437" s="36"/>
      <c r="P1437" s="36"/>
      <c r="Q1437" s="36"/>
    </row>
    <row r="1438" spans="3:17" x14ac:dyDescent="0.25">
      <c r="C1438" s="36"/>
      <c r="D1438" s="36"/>
      <c r="E1438" s="36"/>
      <c r="F1438" s="36"/>
      <c r="G1438" s="18"/>
      <c r="H1438" s="30"/>
      <c r="I1438" s="30"/>
      <c r="J1438" s="31"/>
      <c r="K1438" s="43"/>
      <c r="L1438" s="32"/>
      <c r="M1438" s="36"/>
      <c r="N1438" s="36"/>
      <c r="O1438" s="36"/>
      <c r="P1438" s="36"/>
      <c r="Q1438" s="36"/>
    </row>
    <row r="1439" spans="3:17" x14ac:dyDescent="0.25">
      <c r="C1439" s="36"/>
      <c r="D1439" s="36"/>
      <c r="E1439" s="36"/>
      <c r="F1439" s="36"/>
      <c r="G1439" s="18"/>
      <c r="H1439" s="30"/>
      <c r="I1439" s="30"/>
      <c r="J1439" s="31"/>
      <c r="K1439" s="43"/>
      <c r="L1439" s="32"/>
      <c r="M1439" s="36"/>
      <c r="N1439" s="36"/>
      <c r="O1439" s="36"/>
      <c r="P1439" s="36"/>
      <c r="Q1439" s="36"/>
    </row>
    <row r="1440" spans="3:17" x14ac:dyDescent="0.25">
      <c r="C1440" s="36"/>
      <c r="D1440" s="36"/>
      <c r="E1440" s="36"/>
      <c r="F1440" s="36"/>
      <c r="G1440" s="18"/>
      <c r="H1440" s="30"/>
      <c r="I1440" s="30"/>
      <c r="J1440" s="31"/>
      <c r="K1440" s="43"/>
      <c r="L1440" s="32"/>
      <c r="M1440" s="36"/>
      <c r="N1440" s="36"/>
      <c r="O1440" s="36"/>
      <c r="P1440" s="36"/>
      <c r="Q1440" s="36"/>
    </row>
    <row r="1441" spans="3:17" x14ac:dyDescent="0.25">
      <c r="C1441" s="36"/>
      <c r="D1441" s="36"/>
      <c r="E1441" s="36"/>
      <c r="F1441" s="36"/>
      <c r="G1441" s="18"/>
      <c r="H1441" s="30"/>
      <c r="I1441" s="30"/>
      <c r="J1441" s="31"/>
      <c r="K1441" s="43"/>
      <c r="L1441" s="32"/>
      <c r="M1441" s="36"/>
      <c r="N1441" s="36"/>
      <c r="O1441" s="36"/>
      <c r="P1441" s="36"/>
      <c r="Q1441" s="36"/>
    </row>
    <row r="1442" spans="3:17" x14ac:dyDescent="0.25">
      <c r="C1442" s="36"/>
      <c r="D1442" s="36"/>
      <c r="E1442" s="36"/>
      <c r="F1442" s="36"/>
      <c r="G1442" s="18"/>
      <c r="H1442" s="30"/>
      <c r="I1442" s="30"/>
      <c r="J1442" s="31"/>
      <c r="K1442" s="43"/>
      <c r="L1442" s="32"/>
      <c r="M1442" s="36"/>
      <c r="N1442" s="36"/>
      <c r="O1442" s="36"/>
      <c r="P1442" s="36"/>
      <c r="Q1442" s="36"/>
    </row>
    <row r="1443" spans="3:17" x14ac:dyDescent="0.25">
      <c r="C1443" s="36"/>
      <c r="D1443" s="36"/>
      <c r="E1443" s="36"/>
      <c r="F1443" s="36"/>
      <c r="G1443" s="18"/>
      <c r="H1443" s="30"/>
      <c r="I1443" s="30"/>
      <c r="J1443" s="31"/>
      <c r="K1443" s="43"/>
      <c r="L1443" s="32"/>
      <c r="M1443" s="36"/>
      <c r="N1443" s="36"/>
      <c r="O1443" s="36"/>
      <c r="P1443" s="36"/>
      <c r="Q1443" s="36"/>
    </row>
    <row r="1444" spans="3:17" x14ac:dyDescent="0.25">
      <c r="C1444" s="36"/>
      <c r="D1444" s="36"/>
      <c r="E1444" s="36"/>
      <c r="F1444" s="36"/>
      <c r="G1444" s="18"/>
      <c r="H1444" s="30"/>
      <c r="I1444" s="30"/>
      <c r="J1444" s="31"/>
      <c r="K1444" s="43"/>
      <c r="L1444" s="32"/>
      <c r="M1444" s="36"/>
      <c r="N1444" s="36"/>
      <c r="O1444" s="36"/>
      <c r="P1444" s="36"/>
      <c r="Q1444" s="36"/>
    </row>
    <row r="1445" spans="3:17" x14ac:dyDescent="0.25">
      <c r="C1445" s="36"/>
      <c r="D1445" s="36"/>
      <c r="E1445" s="36"/>
      <c r="F1445" s="36"/>
      <c r="G1445" s="18"/>
      <c r="H1445" s="30"/>
      <c r="I1445" s="30"/>
      <c r="J1445" s="31"/>
      <c r="K1445" s="43"/>
      <c r="L1445" s="32"/>
      <c r="M1445" s="36"/>
      <c r="N1445" s="36"/>
      <c r="O1445" s="36"/>
      <c r="P1445" s="36"/>
      <c r="Q1445" s="36"/>
    </row>
    <row r="1446" spans="3:17" x14ac:dyDescent="0.25">
      <c r="C1446" s="36"/>
      <c r="D1446" s="36"/>
      <c r="E1446" s="36"/>
      <c r="F1446" s="36"/>
      <c r="G1446" s="18"/>
      <c r="H1446" s="30"/>
      <c r="I1446" s="30"/>
      <c r="J1446" s="31"/>
      <c r="K1446" s="43"/>
      <c r="L1446" s="32"/>
      <c r="M1446" s="36"/>
      <c r="N1446" s="36"/>
      <c r="O1446" s="36"/>
      <c r="P1446" s="36"/>
      <c r="Q1446" s="36"/>
    </row>
    <row r="1447" spans="3:17" x14ac:dyDescent="0.25">
      <c r="C1447" s="36"/>
      <c r="D1447" s="36"/>
      <c r="E1447" s="36"/>
      <c r="F1447" s="36"/>
      <c r="G1447" s="18"/>
      <c r="H1447" s="30"/>
      <c r="I1447" s="30"/>
      <c r="J1447" s="31"/>
      <c r="K1447" s="43"/>
      <c r="L1447" s="32"/>
      <c r="M1447" s="36"/>
      <c r="N1447" s="36"/>
      <c r="O1447" s="36"/>
      <c r="P1447" s="36"/>
      <c r="Q1447" s="36"/>
    </row>
    <row r="1448" spans="3:17" x14ac:dyDescent="0.25">
      <c r="C1448" s="36"/>
      <c r="D1448" s="36"/>
      <c r="E1448" s="36"/>
      <c r="F1448" s="36"/>
      <c r="G1448" s="18"/>
      <c r="H1448" s="30"/>
      <c r="I1448" s="30"/>
      <c r="J1448" s="31"/>
      <c r="K1448" s="43"/>
      <c r="L1448" s="32"/>
      <c r="M1448" s="36"/>
      <c r="N1448" s="36"/>
      <c r="O1448" s="36"/>
      <c r="P1448" s="36"/>
      <c r="Q1448" s="36"/>
    </row>
    <row r="1449" spans="3:17" x14ac:dyDescent="0.25">
      <c r="C1449" s="36"/>
      <c r="D1449" s="36"/>
      <c r="E1449" s="36"/>
      <c r="F1449" s="36"/>
      <c r="G1449" s="18"/>
      <c r="H1449" s="30"/>
      <c r="I1449" s="30"/>
      <c r="J1449" s="31"/>
      <c r="K1449" s="43"/>
      <c r="L1449" s="32"/>
      <c r="M1449" s="36"/>
      <c r="N1449" s="36"/>
      <c r="O1449" s="36"/>
      <c r="P1449" s="36"/>
      <c r="Q1449" s="36"/>
    </row>
    <row r="1450" spans="3:17" x14ac:dyDescent="0.25">
      <c r="C1450" s="36"/>
      <c r="D1450" s="36"/>
      <c r="E1450" s="36"/>
      <c r="F1450" s="36"/>
      <c r="G1450" s="18"/>
      <c r="H1450" s="30"/>
      <c r="I1450" s="30"/>
      <c r="J1450" s="31"/>
      <c r="K1450" s="43"/>
      <c r="L1450" s="32"/>
      <c r="M1450" s="36"/>
      <c r="N1450" s="36"/>
      <c r="O1450" s="36"/>
      <c r="P1450" s="36"/>
      <c r="Q1450" s="36"/>
    </row>
    <row r="1451" spans="3:17" x14ac:dyDescent="0.25">
      <c r="C1451" s="36"/>
      <c r="D1451" s="36"/>
      <c r="E1451" s="36"/>
      <c r="F1451" s="36"/>
      <c r="G1451" s="18"/>
      <c r="H1451" s="30"/>
      <c r="I1451" s="30"/>
      <c r="J1451" s="31"/>
      <c r="K1451" s="43"/>
      <c r="L1451" s="32"/>
      <c r="M1451" s="36"/>
      <c r="N1451" s="36"/>
      <c r="O1451" s="36"/>
      <c r="P1451" s="36"/>
      <c r="Q1451" s="36"/>
    </row>
    <row r="1452" spans="3:17" x14ac:dyDescent="0.25">
      <c r="C1452" s="36"/>
      <c r="D1452" s="36"/>
      <c r="E1452" s="36"/>
      <c r="F1452" s="36"/>
      <c r="G1452" s="18"/>
      <c r="H1452" s="30"/>
      <c r="I1452" s="30"/>
      <c r="J1452" s="31"/>
      <c r="K1452" s="43"/>
      <c r="L1452" s="32"/>
      <c r="M1452" s="36"/>
      <c r="N1452" s="36"/>
      <c r="O1452" s="36"/>
      <c r="P1452" s="36"/>
      <c r="Q1452" s="36"/>
    </row>
    <row r="1453" spans="3:17" x14ac:dyDescent="0.25">
      <c r="C1453" s="36"/>
      <c r="D1453" s="36"/>
      <c r="E1453" s="36"/>
      <c r="F1453" s="36"/>
      <c r="G1453" s="18"/>
      <c r="H1453" s="30"/>
      <c r="I1453" s="30"/>
      <c r="J1453" s="31"/>
      <c r="K1453" s="43"/>
      <c r="L1453" s="32"/>
      <c r="M1453" s="36"/>
      <c r="N1453" s="36"/>
      <c r="O1453" s="36"/>
      <c r="P1453" s="36"/>
      <c r="Q1453" s="36"/>
    </row>
    <row r="1454" spans="3:17" x14ac:dyDescent="0.25">
      <c r="C1454" s="36"/>
      <c r="D1454" s="36"/>
      <c r="E1454" s="36"/>
      <c r="F1454" s="36"/>
      <c r="G1454" s="18"/>
      <c r="H1454" s="30"/>
      <c r="I1454" s="30"/>
      <c r="J1454" s="31"/>
      <c r="K1454" s="43"/>
      <c r="L1454" s="32"/>
      <c r="M1454" s="36"/>
      <c r="N1454" s="36"/>
      <c r="O1454" s="36"/>
      <c r="P1454" s="36"/>
      <c r="Q1454" s="36"/>
    </row>
    <row r="1455" spans="3:17" x14ac:dyDescent="0.25">
      <c r="C1455" s="36"/>
      <c r="D1455" s="36"/>
      <c r="E1455" s="36"/>
      <c r="F1455" s="36"/>
      <c r="G1455" s="18"/>
      <c r="H1455" s="30"/>
      <c r="I1455" s="30"/>
      <c r="J1455" s="31"/>
      <c r="K1455" s="43"/>
      <c r="L1455" s="32"/>
      <c r="M1455" s="36"/>
      <c r="N1455" s="36"/>
      <c r="O1455" s="36"/>
      <c r="P1455" s="36"/>
      <c r="Q1455" s="36"/>
    </row>
    <row r="1456" spans="3:17" x14ac:dyDescent="0.25">
      <c r="C1456" s="36"/>
      <c r="D1456" s="36"/>
      <c r="E1456" s="36"/>
      <c r="F1456" s="36"/>
      <c r="G1456" s="18"/>
      <c r="H1456" s="30"/>
      <c r="I1456" s="30"/>
      <c r="J1456" s="31"/>
      <c r="K1456" s="43"/>
      <c r="L1456" s="32"/>
      <c r="M1456" s="36"/>
      <c r="N1456" s="36"/>
      <c r="O1456" s="36"/>
      <c r="P1456" s="36"/>
      <c r="Q1456" s="36"/>
    </row>
    <row r="1457" spans="3:17" x14ac:dyDescent="0.25">
      <c r="C1457" s="36"/>
      <c r="D1457" s="36"/>
      <c r="E1457" s="36"/>
      <c r="F1457" s="36"/>
      <c r="G1457" s="18"/>
      <c r="H1457" s="30"/>
      <c r="I1457" s="30"/>
      <c r="J1457" s="31"/>
      <c r="K1457" s="43"/>
      <c r="L1457" s="32"/>
      <c r="M1457" s="36"/>
      <c r="N1457" s="36"/>
      <c r="O1457" s="36"/>
      <c r="P1457" s="36"/>
      <c r="Q1457" s="36"/>
    </row>
    <row r="1458" spans="3:17" x14ac:dyDescent="0.25">
      <c r="C1458" s="36"/>
      <c r="D1458" s="36"/>
      <c r="E1458" s="36"/>
      <c r="F1458" s="36"/>
      <c r="G1458" s="18"/>
      <c r="H1458" s="30"/>
      <c r="I1458" s="30"/>
      <c r="J1458" s="31"/>
      <c r="K1458" s="43"/>
      <c r="L1458" s="32"/>
      <c r="M1458" s="36"/>
      <c r="N1458" s="36"/>
      <c r="O1458" s="36"/>
      <c r="P1458" s="36"/>
      <c r="Q1458" s="36"/>
    </row>
    <row r="1459" spans="3:17" x14ac:dyDescent="0.25">
      <c r="C1459" s="36"/>
      <c r="D1459" s="36"/>
      <c r="E1459" s="36"/>
      <c r="F1459" s="36"/>
      <c r="G1459" s="18"/>
      <c r="H1459" s="30"/>
      <c r="I1459" s="30"/>
      <c r="J1459" s="31"/>
      <c r="K1459" s="43"/>
      <c r="L1459" s="32"/>
      <c r="M1459" s="36"/>
      <c r="N1459" s="36"/>
      <c r="O1459" s="36"/>
      <c r="P1459" s="36"/>
      <c r="Q1459" s="36"/>
    </row>
    <row r="1460" spans="3:17" x14ac:dyDescent="0.25">
      <c r="C1460" s="36"/>
      <c r="D1460" s="36"/>
      <c r="E1460" s="36"/>
      <c r="F1460" s="36"/>
      <c r="G1460" s="18"/>
      <c r="H1460" s="30"/>
      <c r="I1460" s="30"/>
      <c r="J1460" s="31"/>
      <c r="K1460" s="43"/>
      <c r="L1460" s="32"/>
      <c r="M1460" s="36"/>
      <c r="N1460" s="36"/>
      <c r="O1460" s="36"/>
      <c r="P1460" s="36"/>
      <c r="Q1460" s="36"/>
    </row>
    <row r="1461" spans="3:17" x14ac:dyDescent="0.25">
      <c r="C1461" s="36"/>
      <c r="D1461" s="36"/>
      <c r="E1461" s="36"/>
      <c r="F1461" s="36"/>
      <c r="G1461" s="18"/>
      <c r="H1461" s="30"/>
      <c r="I1461" s="30"/>
      <c r="J1461" s="31"/>
      <c r="K1461" s="43"/>
      <c r="L1461" s="32"/>
      <c r="M1461" s="36"/>
      <c r="N1461" s="36"/>
      <c r="O1461" s="36"/>
      <c r="P1461" s="36"/>
      <c r="Q1461" s="36"/>
    </row>
    <row r="1462" spans="3:17" x14ac:dyDescent="0.25">
      <c r="C1462" s="36"/>
      <c r="D1462" s="36"/>
      <c r="E1462" s="36"/>
      <c r="F1462" s="36"/>
      <c r="G1462" s="18"/>
      <c r="H1462" s="30"/>
      <c r="I1462" s="30"/>
      <c r="J1462" s="31"/>
      <c r="K1462" s="43"/>
      <c r="L1462" s="32"/>
      <c r="M1462" s="36"/>
      <c r="N1462" s="36"/>
      <c r="O1462" s="36"/>
      <c r="P1462" s="36"/>
      <c r="Q1462" s="36"/>
    </row>
    <row r="1463" spans="3:17" x14ac:dyDescent="0.25">
      <c r="C1463" s="36"/>
      <c r="D1463" s="36"/>
      <c r="E1463" s="36"/>
      <c r="F1463" s="36"/>
      <c r="G1463" s="18"/>
      <c r="H1463" s="30"/>
      <c r="I1463" s="30"/>
      <c r="J1463" s="31"/>
      <c r="K1463" s="43"/>
      <c r="L1463" s="32"/>
      <c r="M1463" s="36"/>
      <c r="N1463" s="36"/>
      <c r="O1463" s="36"/>
      <c r="P1463" s="36"/>
      <c r="Q1463" s="36"/>
    </row>
    <row r="1464" spans="3:17" x14ac:dyDescent="0.25">
      <c r="C1464" s="36"/>
      <c r="D1464" s="36"/>
      <c r="E1464" s="36"/>
      <c r="F1464" s="36"/>
      <c r="G1464" s="18"/>
      <c r="H1464" s="30"/>
      <c r="I1464" s="30"/>
      <c r="J1464" s="31"/>
      <c r="K1464" s="43"/>
      <c r="L1464" s="32"/>
      <c r="M1464" s="36"/>
      <c r="N1464" s="36"/>
      <c r="O1464" s="36"/>
      <c r="P1464" s="36"/>
      <c r="Q1464" s="36"/>
    </row>
    <row r="1465" spans="3:17" x14ac:dyDescent="0.25">
      <c r="C1465" s="36"/>
      <c r="D1465" s="36"/>
      <c r="E1465" s="36"/>
      <c r="F1465" s="36"/>
      <c r="G1465" s="18"/>
      <c r="H1465" s="30"/>
      <c r="I1465" s="30"/>
      <c r="J1465" s="31"/>
      <c r="K1465" s="43"/>
      <c r="L1465" s="32"/>
      <c r="M1465" s="36"/>
      <c r="N1465" s="36"/>
      <c r="O1465" s="36"/>
      <c r="P1465" s="36"/>
      <c r="Q1465" s="36"/>
    </row>
    <row r="1466" spans="3:17" x14ac:dyDescent="0.25">
      <c r="C1466" s="36"/>
      <c r="D1466" s="36"/>
      <c r="E1466" s="36"/>
      <c r="F1466" s="36"/>
      <c r="G1466" s="18"/>
      <c r="H1466" s="30"/>
      <c r="I1466" s="30"/>
      <c r="J1466" s="31"/>
      <c r="K1466" s="43"/>
      <c r="L1466" s="32"/>
      <c r="M1466" s="36"/>
      <c r="N1466" s="36"/>
      <c r="O1466" s="36"/>
      <c r="P1466" s="36"/>
      <c r="Q1466" s="36"/>
    </row>
    <row r="1467" spans="3:17" x14ac:dyDescent="0.25">
      <c r="C1467" s="36"/>
      <c r="D1467" s="36"/>
      <c r="E1467" s="36"/>
      <c r="F1467" s="36"/>
      <c r="G1467" s="18"/>
      <c r="H1467" s="30"/>
      <c r="I1467" s="30"/>
      <c r="J1467" s="31"/>
      <c r="K1467" s="43"/>
      <c r="L1467" s="32"/>
      <c r="M1467" s="36"/>
      <c r="N1467" s="36"/>
      <c r="O1467" s="36"/>
      <c r="P1467" s="36"/>
      <c r="Q1467" s="36"/>
    </row>
    <row r="1468" spans="3:17" x14ac:dyDescent="0.25">
      <c r="C1468" s="36"/>
      <c r="D1468" s="36"/>
      <c r="E1468" s="36"/>
      <c r="F1468" s="36"/>
      <c r="G1468" s="18"/>
      <c r="H1468" s="30"/>
      <c r="I1468" s="30"/>
      <c r="J1468" s="31"/>
      <c r="K1468" s="43"/>
      <c r="L1468" s="32"/>
      <c r="M1468" s="36"/>
      <c r="N1468" s="36"/>
      <c r="O1468" s="36"/>
      <c r="P1468" s="36"/>
      <c r="Q1468" s="36"/>
    </row>
    <row r="1469" spans="3:17" x14ac:dyDescent="0.25">
      <c r="C1469" s="36"/>
      <c r="D1469" s="36"/>
      <c r="E1469" s="36"/>
      <c r="F1469" s="36"/>
      <c r="G1469" s="18"/>
      <c r="H1469" s="30"/>
      <c r="I1469" s="30"/>
      <c r="J1469" s="31"/>
      <c r="K1469" s="43"/>
      <c r="L1469" s="32"/>
      <c r="M1469" s="36"/>
      <c r="N1469" s="36"/>
      <c r="O1469" s="36"/>
      <c r="P1469" s="36"/>
      <c r="Q1469" s="36"/>
    </row>
    <row r="1470" spans="3:17" x14ac:dyDescent="0.25">
      <c r="C1470" s="36"/>
      <c r="D1470" s="36"/>
      <c r="E1470" s="36"/>
      <c r="F1470" s="36"/>
      <c r="G1470" s="18"/>
      <c r="H1470" s="30"/>
      <c r="I1470" s="30"/>
      <c r="J1470" s="31"/>
      <c r="K1470" s="43"/>
      <c r="L1470" s="32"/>
      <c r="M1470" s="36"/>
      <c r="N1470" s="36"/>
      <c r="O1470" s="36"/>
      <c r="P1470" s="36"/>
      <c r="Q1470" s="36"/>
    </row>
    <row r="1471" spans="3:17" x14ac:dyDescent="0.25">
      <c r="C1471" s="36"/>
      <c r="D1471" s="36"/>
      <c r="E1471" s="36"/>
      <c r="F1471" s="36"/>
      <c r="G1471" s="18"/>
      <c r="H1471" s="30"/>
      <c r="I1471" s="30"/>
      <c r="J1471" s="31"/>
      <c r="K1471" s="43"/>
      <c r="L1471" s="32"/>
      <c r="M1471" s="36"/>
      <c r="N1471" s="36"/>
      <c r="O1471" s="36"/>
      <c r="P1471" s="36"/>
      <c r="Q1471" s="36"/>
    </row>
    <row r="1472" spans="3:17" x14ac:dyDescent="0.25">
      <c r="C1472" s="36"/>
      <c r="D1472" s="36"/>
      <c r="E1472" s="36"/>
      <c r="F1472" s="36"/>
      <c r="G1472" s="18"/>
      <c r="H1472" s="30"/>
      <c r="I1472" s="30"/>
      <c r="J1472" s="31"/>
      <c r="K1472" s="43"/>
      <c r="L1472" s="32"/>
      <c r="M1472" s="36"/>
      <c r="N1472" s="36"/>
      <c r="O1472" s="36"/>
      <c r="P1472" s="36"/>
      <c r="Q1472" s="36"/>
    </row>
    <row r="1473" spans="3:17" x14ac:dyDescent="0.25">
      <c r="C1473" s="36"/>
      <c r="D1473" s="36"/>
      <c r="E1473" s="36"/>
      <c r="F1473" s="36"/>
      <c r="G1473" s="18"/>
      <c r="H1473" s="30"/>
      <c r="I1473" s="30"/>
      <c r="J1473" s="31"/>
      <c r="K1473" s="43"/>
      <c r="L1473" s="32"/>
      <c r="M1473" s="36"/>
      <c r="N1473" s="36"/>
      <c r="O1473" s="36"/>
      <c r="P1473" s="36"/>
      <c r="Q1473" s="36"/>
    </row>
    <row r="1474" spans="3:17" x14ac:dyDescent="0.25">
      <c r="C1474" s="36"/>
      <c r="D1474" s="36"/>
      <c r="E1474" s="36"/>
      <c r="F1474" s="36"/>
      <c r="G1474" s="18"/>
      <c r="H1474" s="30"/>
      <c r="I1474" s="30"/>
      <c r="J1474" s="31"/>
      <c r="K1474" s="43"/>
      <c r="L1474" s="32"/>
      <c r="M1474" s="36"/>
      <c r="N1474" s="36"/>
      <c r="O1474" s="36"/>
      <c r="P1474" s="36"/>
      <c r="Q1474" s="36"/>
    </row>
    <row r="1475" spans="3:17" x14ac:dyDescent="0.25">
      <c r="C1475" s="36"/>
      <c r="D1475" s="36"/>
      <c r="E1475" s="36"/>
      <c r="F1475" s="36"/>
      <c r="G1475" s="18"/>
      <c r="H1475" s="30"/>
      <c r="I1475" s="30"/>
      <c r="J1475" s="31"/>
      <c r="K1475" s="43"/>
      <c r="L1475" s="32"/>
      <c r="M1475" s="36"/>
      <c r="N1475" s="36"/>
      <c r="O1475" s="36"/>
      <c r="P1475" s="36"/>
      <c r="Q1475" s="36"/>
    </row>
    <row r="1476" spans="3:17" x14ac:dyDescent="0.25">
      <c r="C1476" s="36"/>
      <c r="D1476" s="36"/>
      <c r="E1476" s="36"/>
      <c r="F1476" s="36"/>
      <c r="G1476" s="18"/>
      <c r="H1476" s="30"/>
      <c r="I1476" s="30"/>
      <c r="J1476" s="31"/>
      <c r="K1476" s="43"/>
      <c r="L1476" s="32"/>
      <c r="M1476" s="36"/>
      <c r="N1476" s="36"/>
      <c r="O1476" s="36"/>
      <c r="P1476" s="36"/>
      <c r="Q1476" s="36"/>
    </row>
    <row r="1477" spans="3:17" x14ac:dyDescent="0.25">
      <c r="C1477" s="36"/>
      <c r="D1477" s="36"/>
      <c r="E1477" s="36"/>
      <c r="F1477" s="36"/>
      <c r="G1477" s="18"/>
      <c r="H1477" s="30"/>
      <c r="I1477" s="30"/>
      <c r="J1477" s="31"/>
      <c r="K1477" s="43"/>
      <c r="L1477" s="32"/>
      <c r="M1477" s="36"/>
      <c r="N1477" s="36"/>
      <c r="O1477" s="36"/>
      <c r="P1477" s="36"/>
      <c r="Q1477" s="36"/>
    </row>
    <row r="1478" spans="3:17" x14ac:dyDescent="0.25">
      <c r="C1478" s="36"/>
      <c r="D1478" s="36"/>
      <c r="E1478" s="36"/>
      <c r="F1478" s="36"/>
      <c r="G1478" s="18"/>
      <c r="H1478" s="30"/>
      <c r="I1478" s="30"/>
      <c r="J1478" s="31"/>
      <c r="K1478" s="43"/>
      <c r="L1478" s="32"/>
      <c r="M1478" s="36"/>
      <c r="N1478" s="36"/>
      <c r="O1478" s="36"/>
      <c r="P1478" s="36"/>
      <c r="Q1478" s="36"/>
    </row>
    <row r="1479" spans="3:17" x14ac:dyDescent="0.25">
      <c r="C1479" s="36"/>
      <c r="D1479" s="36"/>
      <c r="E1479" s="36"/>
      <c r="F1479" s="36"/>
      <c r="G1479" s="18"/>
      <c r="H1479" s="30"/>
      <c r="I1479" s="30"/>
      <c r="J1479" s="31"/>
      <c r="K1479" s="43"/>
      <c r="L1479" s="32"/>
      <c r="M1479" s="36"/>
      <c r="N1479" s="36"/>
      <c r="O1479" s="36"/>
      <c r="P1479" s="36"/>
      <c r="Q1479" s="36"/>
    </row>
    <row r="1480" spans="3:17" x14ac:dyDescent="0.25">
      <c r="C1480" s="36"/>
      <c r="D1480" s="36"/>
      <c r="E1480" s="36"/>
      <c r="F1480" s="36"/>
      <c r="G1480" s="18"/>
      <c r="H1480" s="30"/>
      <c r="I1480" s="30"/>
      <c r="J1480" s="31"/>
      <c r="K1480" s="43"/>
      <c r="L1480" s="32"/>
      <c r="M1480" s="36"/>
      <c r="N1480" s="36"/>
      <c r="O1480" s="36"/>
      <c r="P1480" s="36"/>
      <c r="Q1480" s="36"/>
    </row>
    <row r="1481" spans="3:17" x14ac:dyDescent="0.25">
      <c r="C1481" s="36"/>
      <c r="D1481" s="36"/>
      <c r="E1481" s="36"/>
      <c r="F1481" s="36"/>
      <c r="G1481" s="18"/>
      <c r="H1481" s="30"/>
      <c r="I1481" s="30"/>
      <c r="J1481" s="31"/>
      <c r="K1481" s="43"/>
      <c r="L1481" s="32"/>
      <c r="M1481" s="36"/>
      <c r="N1481" s="36"/>
      <c r="O1481" s="36"/>
      <c r="P1481" s="36"/>
      <c r="Q1481" s="36"/>
    </row>
    <row r="1482" spans="3:17" x14ac:dyDescent="0.25">
      <c r="C1482" s="36"/>
      <c r="D1482" s="36"/>
      <c r="E1482" s="36"/>
      <c r="F1482" s="36"/>
      <c r="G1482" s="18"/>
      <c r="H1482" s="30"/>
      <c r="I1482" s="30"/>
      <c r="J1482" s="31"/>
      <c r="K1482" s="43"/>
      <c r="L1482" s="32"/>
      <c r="M1482" s="36"/>
      <c r="N1482" s="36"/>
      <c r="O1482" s="36"/>
      <c r="P1482" s="36"/>
      <c r="Q1482" s="36"/>
    </row>
    <row r="1483" spans="3:17" x14ac:dyDescent="0.25">
      <c r="C1483" s="36"/>
      <c r="D1483" s="36"/>
      <c r="E1483" s="36"/>
      <c r="F1483" s="36"/>
      <c r="G1483" s="18"/>
      <c r="H1483" s="30"/>
      <c r="I1483" s="30"/>
      <c r="J1483" s="31"/>
      <c r="K1483" s="43"/>
      <c r="L1483" s="32"/>
      <c r="M1483" s="36"/>
      <c r="N1483" s="36"/>
      <c r="O1483" s="36"/>
      <c r="P1483" s="36"/>
      <c r="Q1483" s="36"/>
    </row>
    <row r="1484" spans="3:17" x14ac:dyDescent="0.25">
      <c r="C1484" s="36"/>
      <c r="D1484" s="36"/>
      <c r="E1484" s="36"/>
      <c r="F1484" s="36"/>
      <c r="G1484" s="18"/>
      <c r="H1484" s="30"/>
      <c r="I1484" s="30"/>
      <c r="J1484" s="31"/>
      <c r="K1484" s="43"/>
      <c r="L1484" s="32"/>
      <c r="M1484" s="36"/>
      <c r="N1484" s="36"/>
      <c r="O1484" s="36"/>
      <c r="P1484" s="36"/>
      <c r="Q1484" s="36"/>
    </row>
    <row r="1485" spans="3:17" x14ac:dyDescent="0.25">
      <c r="C1485" s="36"/>
      <c r="D1485" s="36"/>
      <c r="E1485" s="36"/>
      <c r="F1485" s="36"/>
      <c r="G1485" s="18"/>
      <c r="H1485" s="30"/>
      <c r="I1485" s="30"/>
      <c r="J1485" s="31"/>
      <c r="K1485" s="43"/>
      <c r="L1485" s="32"/>
      <c r="M1485" s="36"/>
      <c r="N1485" s="36"/>
      <c r="O1485" s="36"/>
      <c r="P1485" s="36"/>
      <c r="Q1485" s="36"/>
    </row>
    <row r="1486" spans="3:17" x14ac:dyDescent="0.25">
      <c r="C1486" s="36"/>
      <c r="D1486" s="36"/>
      <c r="E1486" s="36"/>
      <c r="F1486" s="36"/>
      <c r="G1486" s="18"/>
      <c r="H1486" s="30"/>
      <c r="I1486" s="30"/>
      <c r="J1486" s="31"/>
      <c r="K1486" s="43"/>
      <c r="L1486" s="32"/>
      <c r="M1486" s="36"/>
      <c r="N1486" s="36"/>
      <c r="O1486" s="36"/>
      <c r="P1486" s="36"/>
      <c r="Q1486" s="36"/>
    </row>
    <row r="1487" spans="3:17" x14ac:dyDescent="0.25">
      <c r="C1487" s="36"/>
      <c r="D1487" s="36"/>
      <c r="E1487" s="36"/>
      <c r="F1487" s="36"/>
      <c r="G1487" s="18"/>
      <c r="H1487" s="30"/>
      <c r="I1487" s="30"/>
      <c r="J1487" s="31"/>
      <c r="K1487" s="43"/>
      <c r="L1487" s="32"/>
      <c r="M1487" s="36"/>
      <c r="N1487" s="36"/>
      <c r="O1487" s="36"/>
      <c r="P1487" s="36"/>
      <c r="Q1487" s="36"/>
    </row>
    <row r="1488" spans="3:17" x14ac:dyDescent="0.25">
      <c r="C1488" s="36"/>
      <c r="D1488" s="36"/>
      <c r="E1488" s="36"/>
      <c r="F1488" s="36"/>
      <c r="G1488" s="18"/>
      <c r="H1488" s="30"/>
      <c r="I1488" s="30"/>
      <c r="J1488" s="31"/>
      <c r="K1488" s="43"/>
      <c r="L1488" s="32"/>
      <c r="M1488" s="36"/>
      <c r="N1488" s="36"/>
      <c r="O1488" s="36"/>
      <c r="P1488" s="36"/>
      <c r="Q1488" s="36"/>
    </row>
    <row r="1489" spans="3:17" x14ac:dyDescent="0.25">
      <c r="C1489" s="36"/>
      <c r="D1489" s="36"/>
      <c r="E1489" s="36"/>
      <c r="F1489" s="36"/>
      <c r="G1489" s="18"/>
      <c r="H1489" s="30"/>
      <c r="I1489" s="30"/>
      <c r="J1489" s="31"/>
      <c r="K1489" s="43"/>
      <c r="L1489" s="32"/>
      <c r="M1489" s="36"/>
      <c r="N1489" s="36"/>
      <c r="O1489" s="36"/>
      <c r="P1489" s="36"/>
      <c r="Q1489" s="36"/>
    </row>
    <row r="1490" spans="3:17" x14ac:dyDescent="0.25">
      <c r="C1490" s="36"/>
      <c r="D1490" s="36"/>
      <c r="E1490" s="36"/>
      <c r="F1490" s="36"/>
      <c r="G1490" s="18"/>
      <c r="H1490" s="30"/>
      <c r="I1490" s="30"/>
      <c r="J1490" s="31"/>
      <c r="K1490" s="43"/>
      <c r="L1490" s="32"/>
      <c r="M1490" s="36"/>
      <c r="N1490" s="36"/>
      <c r="O1490" s="36"/>
      <c r="P1490" s="36"/>
      <c r="Q1490" s="36"/>
    </row>
    <row r="1491" spans="3:17" x14ac:dyDescent="0.25">
      <c r="C1491" s="36"/>
      <c r="D1491" s="36"/>
      <c r="E1491" s="36"/>
      <c r="F1491" s="36"/>
      <c r="G1491" s="18"/>
      <c r="H1491" s="30"/>
      <c r="I1491" s="30"/>
      <c r="J1491" s="31"/>
      <c r="K1491" s="43"/>
      <c r="L1491" s="32"/>
      <c r="M1491" s="36"/>
      <c r="N1491" s="36"/>
      <c r="O1491" s="36"/>
      <c r="P1491" s="36"/>
      <c r="Q1491" s="36"/>
    </row>
    <row r="1492" spans="3:17" x14ac:dyDescent="0.25">
      <c r="C1492" s="36"/>
      <c r="D1492" s="36"/>
      <c r="E1492" s="36"/>
      <c r="F1492" s="36"/>
      <c r="G1492" s="18"/>
      <c r="H1492" s="30"/>
      <c r="I1492" s="30"/>
      <c r="J1492" s="31"/>
      <c r="K1492" s="43"/>
      <c r="L1492" s="32"/>
      <c r="M1492" s="36"/>
      <c r="N1492" s="36"/>
      <c r="O1492" s="36"/>
      <c r="P1492" s="36"/>
      <c r="Q1492" s="36"/>
    </row>
    <row r="1493" spans="3:17" x14ac:dyDescent="0.25">
      <c r="C1493" s="36"/>
      <c r="D1493" s="36"/>
      <c r="E1493" s="36"/>
      <c r="F1493" s="36"/>
      <c r="G1493" s="18"/>
      <c r="H1493" s="30"/>
      <c r="I1493" s="30"/>
      <c r="J1493" s="31"/>
      <c r="K1493" s="43"/>
      <c r="L1493" s="32"/>
      <c r="M1493" s="36"/>
      <c r="N1493" s="36"/>
      <c r="O1493" s="36"/>
      <c r="P1493" s="36"/>
      <c r="Q1493" s="36"/>
    </row>
    <row r="1494" spans="3:17" x14ac:dyDescent="0.25">
      <c r="C1494" s="36"/>
      <c r="D1494" s="36"/>
      <c r="E1494" s="36"/>
      <c r="F1494" s="36"/>
      <c r="G1494" s="18"/>
      <c r="H1494" s="30"/>
      <c r="I1494" s="30"/>
      <c r="J1494" s="31"/>
      <c r="K1494" s="43"/>
      <c r="L1494" s="32"/>
      <c r="M1494" s="36"/>
      <c r="N1494" s="36"/>
      <c r="O1494" s="36"/>
      <c r="P1494" s="36"/>
      <c r="Q1494" s="36"/>
    </row>
    <row r="1495" spans="3:17" x14ac:dyDescent="0.25">
      <c r="C1495" s="36"/>
      <c r="D1495" s="36"/>
      <c r="E1495" s="36"/>
      <c r="F1495" s="36"/>
      <c r="G1495" s="18"/>
      <c r="H1495" s="30"/>
      <c r="I1495" s="30"/>
      <c r="J1495" s="31"/>
      <c r="K1495" s="43"/>
      <c r="L1495" s="32"/>
      <c r="M1495" s="36"/>
      <c r="N1495" s="36"/>
      <c r="O1495" s="36"/>
      <c r="P1495" s="36"/>
      <c r="Q1495" s="36"/>
    </row>
    <row r="1496" spans="3:17" x14ac:dyDescent="0.25">
      <c r="C1496" s="36"/>
      <c r="D1496" s="36"/>
      <c r="E1496" s="36"/>
      <c r="F1496" s="36"/>
      <c r="G1496" s="18"/>
      <c r="H1496" s="30"/>
      <c r="I1496" s="30"/>
      <c r="J1496" s="31"/>
      <c r="K1496" s="43"/>
      <c r="L1496" s="32"/>
      <c r="M1496" s="36"/>
      <c r="N1496" s="36"/>
      <c r="O1496" s="36"/>
      <c r="P1496" s="36"/>
      <c r="Q1496" s="36"/>
    </row>
    <row r="1497" spans="3:17" x14ac:dyDescent="0.25">
      <c r="C1497" s="36"/>
      <c r="D1497" s="36"/>
      <c r="E1497" s="36"/>
      <c r="F1497" s="36"/>
      <c r="G1497" s="18"/>
      <c r="H1497" s="30"/>
      <c r="I1497" s="30"/>
      <c r="J1497" s="31"/>
      <c r="K1497" s="43"/>
      <c r="L1497" s="32"/>
      <c r="M1497" s="36"/>
      <c r="N1497" s="36"/>
      <c r="O1497" s="36"/>
      <c r="P1497" s="36"/>
      <c r="Q1497" s="36"/>
    </row>
    <row r="1498" spans="3:17" x14ac:dyDescent="0.25">
      <c r="C1498" s="36"/>
      <c r="D1498" s="36"/>
      <c r="E1498" s="36"/>
      <c r="F1498" s="36"/>
      <c r="G1498" s="18"/>
      <c r="H1498" s="30"/>
      <c r="I1498" s="30"/>
      <c r="J1498" s="31"/>
      <c r="K1498" s="43"/>
      <c r="L1498" s="32"/>
      <c r="M1498" s="36"/>
      <c r="N1498" s="36"/>
      <c r="O1498" s="36"/>
      <c r="P1498" s="36"/>
      <c r="Q1498" s="36"/>
    </row>
    <row r="1499" spans="3:17" x14ac:dyDescent="0.25">
      <c r="C1499" s="36"/>
      <c r="D1499" s="36"/>
      <c r="E1499" s="36"/>
      <c r="F1499" s="36"/>
      <c r="G1499" s="18"/>
      <c r="H1499" s="30"/>
      <c r="I1499" s="30"/>
      <c r="J1499" s="31"/>
      <c r="K1499" s="43"/>
      <c r="L1499" s="32"/>
      <c r="M1499" s="36"/>
      <c r="N1499" s="36"/>
      <c r="O1499" s="36"/>
      <c r="P1499" s="36"/>
      <c r="Q1499" s="36"/>
    </row>
    <row r="1500" spans="3:17" x14ac:dyDescent="0.25">
      <c r="C1500" s="36"/>
      <c r="D1500" s="36"/>
      <c r="E1500" s="36"/>
      <c r="F1500" s="36"/>
      <c r="G1500" s="18"/>
      <c r="H1500" s="30"/>
      <c r="I1500" s="30"/>
      <c r="J1500" s="31"/>
      <c r="K1500" s="36"/>
      <c r="L1500" s="32"/>
      <c r="M1500" s="36"/>
      <c r="N1500" s="36"/>
      <c r="O1500" s="36"/>
      <c r="P1500" s="36"/>
      <c r="Q1500" s="36"/>
    </row>
    <row r="1501" spans="3:17" x14ac:dyDescent="0.25">
      <c r="C1501" s="36"/>
      <c r="D1501" s="36"/>
      <c r="E1501" s="36"/>
      <c r="F1501" s="36"/>
      <c r="G1501" s="18"/>
      <c r="H1501" s="30"/>
      <c r="I1501" s="30"/>
      <c r="J1501" s="31"/>
      <c r="K1501" s="36"/>
      <c r="L1501" s="32"/>
      <c r="M1501" s="36"/>
      <c r="N1501" s="36"/>
      <c r="O1501" s="36"/>
      <c r="P1501" s="36"/>
      <c r="Q1501" s="36"/>
    </row>
    <row r="1502" spans="3:17" x14ac:dyDescent="0.25">
      <c r="C1502" s="36"/>
      <c r="D1502" s="36"/>
      <c r="E1502" s="36"/>
      <c r="F1502" s="36"/>
      <c r="G1502" s="18"/>
      <c r="H1502" s="30"/>
      <c r="I1502" s="30"/>
      <c r="J1502" s="31"/>
      <c r="K1502" s="36"/>
      <c r="L1502" s="32"/>
      <c r="M1502" s="36"/>
      <c r="N1502" s="36"/>
      <c r="O1502" s="36"/>
      <c r="P1502" s="36"/>
      <c r="Q1502" s="36"/>
    </row>
    <row r="1503" spans="3:17" x14ac:dyDescent="0.25">
      <c r="C1503" s="36"/>
      <c r="D1503" s="36"/>
      <c r="E1503" s="36"/>
      <c r="F1503" s="36"/>
      <c r="G1503" s="18"/>
      <c r="H1503" s="30"/>
      <c r="I1503" s="30"/>
      <c r="J1503" s="31"/>
      <c r="K1503" s="36"/>
      <c r="L1503" s="32"/>
      <c r="M1503" s="36"/>
      <c r="N1503" s="36"/>
      <c r="O1503" s="36"/>
      <c r="P1503" s="36"/>
      <c r="Q1503" s="36"/>
    </row>
    <row r="1504" spans="3:17" x14ac:dyDescent="0.25">
      <c r="C1504" s="36"/>
      <c r="D1504" s="36"/>
      <c r="E1504" s="36"/>
      <c r="F1504" s="36"/>
      <c r="G1504" s="18"/>
      <c r="H1504" s="30"/>
      <c r="I1504" s="30"/>
      <c r="J1504" s="31"/>
      <c r="K1504" s="36"/>
      <c r="L1504" s="32"/>
      <c r="M1504" s="36"/>
      <c r="N1504" s="36"/>
      <c r="O1504" s="36"/>
      <c r="P1504" s="36"/>
      <c r="Q1504" s="36"/>
    </row>
    <row r="1505" spans="3:17" x14ac:dyDescent="0.25">
      <c r="C1505" s="36"/>
      <c r="D1505" s="36"/>
      <c r="E1505" s="36"/>
      <c r="F1505" s="36"/>
      <c r="G1505" s="18"/>
      <c r="H1505" s="30"/>
      <c r="I1505" s="30"/>
      <c r="J1505" s="31"/>
      <c r="K1505" s="36"/>
      <c r="L1505" s="32"/>
      <c r="M1505" s="36"/>
      <c r="N1505" s="36"/>
      <c r="O1505" s="36"/>
      <c r="P1505" s="36"/>
      <c r="Q1505" s="36"/>
    </row>
    <row r="1506" spans="3:17" x14ac:dyDescent="0.25">
      <c r="C1506" s="36"/>
      <c r="D1506" s="36"/>
      <c r="E1506" s="36"/>
      <c r="F1506" s="36"/>
      <c r="G1506" s="18"/>
      <c r="H1506" s="30"/>
      <c r="I1506" s="30"/>
      <c r="J1506" s="31"/>
      <c r="K1506" s="36"/>
      <c r="L1506" s="32"/>
      <c r="M1506" s="36"/>
      <c r="N1506" s="36"/>
      <c r="O1506" s="36"/>
      <c r="P1506" s="36"/>
      <c r="Q1506" s="36"/>
    </row>
    <row r="1507" spans="3:17" x14ac:dyDescent="0.25">
      <c r="C1507" s="36"/>
      <c r="D1507" s="36"/>
      <c r="E1507" s="36"/>
      <c r="F1507" s="36"/>
      <c r="G1507" s="18"/>
      <c r="H1507" s="30"/>
      <c r="I1507" s="30"/>
      <c r="J1507" s="31"/>
      <c r="K1507" s="36"/>
      <c r="L1507" s="32"/>
      <c r="M1507" s="36"/>
      <c r="N1507" s="36"/>
      <c r="O1507" s="36"/>
      <c r="P1507" s="36"/>
      <c r="Q1507" s="36"/>
    </row>
    <row r="1508" spans="3:17" x14ac:dyDescent="0.25">
      <c r="C1508" s="36"/>
      <c r="D1508" s="36"/>
      <c r="E1508" s="36"/>
      <c r="F1508" s="36"/>
      <c r="G1508" s="18"/>
      <c r="H1508" s="30"/>
      <c r="I1508" s="30"/>
      <c r="J1508" s="31"/>
      <c r="K1508" s="36"/>
      <c r="L1508" s="32"/>
      <c r="M1508" s="36"/>
      <c r="N1508" s="36"/>
      <c r="O1508" s="36"/>
      <c r="P1508" s="36"/>
      <c r="Q1508" s="36"/>
    </row>
    <row r="1509" spans="3:17" x14ac:dyDescent="0.25">
      <c r="C1509" s="36"/>
      <c r="D1509" s="36"/>
      <c r="E1509" s="36"/>
      <c r="F1509" s="36"/>
      <c r="G1509" s="18"/>
      <c r="H1509" s="30"/>
      <c r="I1509" s="30"/>
      <c r="J1509" s="31"/>
      <c r="K1509" s="36"/>
      <c r="L1509" s="32"/>
      <c r="M1509" s="36"/>
      <c r="N1509" s="36"/>
      <c r="O1509" s="36"/>
      <c r="P1509" s="36"/>
      <c r="Q1509" s="36"/>
    </row>
    <row r="1510" spans="3:17" x14ac:dyDescent="0.25">
      <c r="C1510" s="36"/>
      <c r="D1510" s="36"/>
      <c r="E1510" s="36"/>
      <c r="F1510" s="36"/>
      <c r="G1510" s="18"/>
      <c r="H1510" s="30"/>
      <c r="I1510" s="30"/>
      <c r="J1510" s="31"/>
      <c r="K1510" s="36"/>
      <c r="L1510" s="32"/>
      <c r="M1510" s="36"/>
      <c r="N1510" s="36"/>
      <c r="O1510" s="36"/>
      <c r="P1510" s="36"/>
      <c r="Q1510" s="36"/>
    </row>
    <row r="1511" spans="3:17" x14ac:dyDescent="0.25">
      <c r="C1511" s="36"/>
      <c r="D1511" s="36"/>
      <c r="E1511" s="36"/>
      <c r="F1511" s="36"/>
      <c r="G1511" s="18"/>
      <c r="H1511" s="30"/>
      <c r="I1511" s="30"/>
      <c r="J1511" s="31"/>
      <c r="K1511" s="36"/>
      <c r="L1511" s="32"/>
      <c r="M1511" s="36"/>
      <c r="N1511" s="36"/>
      <c r="O1511" s="36"/>
      <c r="P1511" s="36"/>
      <c r="Q1511" s="36"/>
    </row>
    <row r="1512" spans="3:17" x14ac:dyDescent="0.25">
      <c r="C1512" s="36"/>
      <c r="D1512" s="36"/>
      <c r="E1512" s="36"/>
      <c r="F1512" s="36"/>
      <c r="G1512" s="18"/>
      <c r="H1512" s="30"/>
      <c r="I1512" s="30"/>
      <c r="J1512" s="31"/>
      <c r="K1512" s="36"/>
      <c r="L1512" s="32"/>
      <c r="M1512" s="36"/>
      <c r="N1512" s="36"/>
      <c r="O1512" s="36"/>
      <c r="P1512" s="36"/>
      <c r="Q1512" s="36"/>
    </row>
    <row r="1513" spans="3:17" x14ac:dyDescent="0.25">
      <c r="C1513" s="36"/>
      <c r="D1513" s="36"/>
      <c r="E1513" s="36"/>
      <c r="F1513" s="36"/>
      <c r="G1513" s="18"/>
      <c r="H1513" s="30"/>
      <c r="I1513" s="30"/>
      <c r="J1513" s="31"/>
      <c r="K1513" s="36"/>
      <c r="L1513" s="32"/>
      <c r="M1513" s="36"/>
      <c r="N1513" s="36"/>
      <c r="O1513" s="36"/>
      <c r="P1513" s="36"/>
      <c r="Q1513" s="36"/>
    </row>
    <row r="1514" spans="3:17" x14ac:dyDescent="0.25">
      <c r="C1514" s="36"/>
      <c r="D1514" s="36"/>
      <c r="E1514" s="36"/>
      <c r="F1514" s="36"/>
      <c r="G1514" s="18"/>
      <c r="H1514" s="30"/>
      <c r="I1514" s="30"/>
      <c r="J1514" s="31"/>
      <c r="K1514" s="36"/>
      <c r="L1514" s="32"/>
      <c r="M1514" s="36"/>
      <c r="N1514" s="36"/>
      <c r="O1514" s="36"/>
      <c r="P1514" s="36"/>
      <c r="Q1514" s="36"/>
    </row>
    <row r="1515" spans="3:17" x14ac:dyDescent="0.25">
      <c r="C1515" s="36"/>
      <c r="D1515" s="36"/>
      <c r="E1515" s="36"/>
      <c r="F1515" s="36"/>
      <c r="G1515" s="18"/>
      <c r="H1515" s="30"/>
      <c r="I1515" s="30"/>
      <c r="J1515" s="31"/>
      <c r="K1515" s="36"/>
      <c r="L1515" s="32"/>
      <c r="M1515" s="36"/>
      <c r="N1515" s="36"/>
      <c r="O1515" s="36"/>
      <c r="P1515" s="36"/>
      <c r="Q1515" s="36"/>
    </row>
    <row r="1516" spans="3:17" x14ac:dyDescent="0.25">
      <c r="C1516" s="36"/>
      <c r="D1516" s="36"/>
      <c r="E1516" s="36"/>
      <c r="F1516" s="36"/>
      <c r="G1516" s="18"/>
      <c r="H1516" s="30"/>
      <c r="I1516" s="30"/>
      <c r="J1516" s="31"/>
      <c r="K1516" s="36"/>
      <c r="L1516" s="32"/>
      <c r="M1516" s="36"/>
      <c r="N1516" s="36"/>
      <c r="O1516" s="36"/>
      <c r="P1516" s="36"/>
      <c r="Q1516" s="36"/>
    </row>
    <row r="1517" spans="3:17" x14ac:dyDescent="0.25">
      <c r="C1517" s="36"/>
      <c r="D1517" s="36"/>
      <c r="E1517" s="36"/>
      <c r="F1517" s="36"/>
      <c r="G1517" s="18"/>
      <c r="H1517" s="30"/>
      <c r="I1517" s="30"/>
      <c r="J1517" s="31"/>
      <c r="K1517" s="36"/>
      <c r="L1517" s="32"/>
      <c r="M1517" s="36"/>
      <c r="N1517" s="36"/>
      <c r="O1517" s="36"/>
      <c r="P1517" s="36"/>
      <c r="Q1517" s="36"/>
    </row>
    <row r="1518" spans="3:17" x14ac:dyDescent="0.25">
      <c r="C1518" s="36"/>
      <c r="D1518" s="36"/>
      <c r="E1518" s="36"/>
      <c r="F1518" s="36"/>
      <c r="G1518" s="18"/>
      <c r="H1518" s="30"/>
      <c r="I1518" s="30"/>
      <c r="J1518" s="31"/>
      <c r="K1518" s="36"/>
      <c r="L1518" s="32"/>
      <c r="M1518" s="36"/>
      <c r="N1518" s="36"/>
      <c r="O1518" s="36"/>
      <c r="P1518" s="36"/>
      <c r="Q1518" s="36"/>
    </row>
    <row r="1519" spans="3:17" x14ac:dyDescent="0.25">
      <c r="C1519" s="36"/>
      <c r="D1519" s="36"/>
      <c r="E1519" s="36"/>
      <c r="F1519" s="36"/>
      <c r="G1519" s="18"/>
      <c r="H1519" s="30"/>
      <c r="I1519" s="30"/>
      <c r="J1519" s="31"/>
      <c r="K1519" s="36"/>
      <c r="L1519" s="32"/>
      <c r="M1519" s="36"/>
      <c r="N1519" s="36"/>
      <c r="O1519" s="36"/>
      <c r="P1519" s="36"/>
      <c r="Q1519" s="36"/>
    </row>
    <row r="1520" spans="3:17" x14ac:dyDescent="0.25">
      <c r="C1520" s="36"/>
      <c r="D1520" s="36"/>
      <c r="E1520" s="36"/>
      <c r="F1520" s="36"/>
      <c r="G1520" s="18"/>
      <c r="H1520" s="30"/>
      <c r="I1520" s="30"/>
      <c r="J1520" s="31"/>
      <c r="K1520" s="36"/>
      <c r="L1520" s="32"/>
      <c r="M1520" s="36"/>
      <c r="N1520" s="36"/>
      <c r="O1520" s="36"/>
      <c r="P1520" s="36"/>
      <c r="Q1520" s="36"/>
    </row>
    <row r="1521" spans="3:17" x14ac:dyDescent="0.25">
      <c r="C1521" s="36"/>
      <c r="D1521" s="36"/>
      <c r="E1521" s="36"/>
      <c r="F1521" s="36"/>
      <c r="G1521" s="18"/>
      <c r="H1521" s="30"/>
      <c r="I1521" s="30"/>
      <c r="J1521" s="31"/>
      <c r="K1521" s="36"/>
      <c r="L1521" s="32"/>
      <c r="M1521" s="36"/>
      <c r="N1521" s="36"/>
      <c r="O1521" s="36"/>
      <c r="P1521" s="36"/>
      <c r="Q1521" s="36"/>
    </row>
    <row r="1522" spans="3:17" x14ac:dyDescent="0.25">
      <c r="C1522" s="36"/>
      <c r="D1522" s="36"/>
      <c r="E1522" s="36"/>
      <c r="F1522" s="36"/>
      <c r="G1522" s="18"/>
      <c r="H1522" s="30"/>
      <c r="I1522" s="30"/>
      <c r="J1522" s="31"/>
      <c r="K1522" s="36"/>
      <c r="L1522" s="32"/>
      <c r="M1522" s="36"/>
      <c r="N1522" s="36"/>
      <c r="O1522" s="36"/>
      <c r="P1522" s="36"/>
      <c r="Q1522" s="36"/>
    </row>
    <row r="1523" spans="3:17" x14ac:dyDescent="0.25">
      <c r="C1523" s="36"/>
      <c r="D1523" s="36"/>
      <c r="E1523" s="36"/>
      <c r="F1523" s="36"/>
      <c r="G1523" s="18"/>
      <c r="H1523" s="30"/>
      <c r="I1523" s="30"/>
      <c r="J1523" s="31"/>
      <c r="K1523" s="36"/>
      <c r="L1523" s="32"/>
      <c r="M1523" s="36"/>
      <c r="N1523" s="36"/>
      <c r="O1523" s="36"/>
      <c r="P1523" s="36"/>
      <c r="Q1523" s="36"/>
    </row>
    <row r="1524" spans="3:17" x14ac:dyDescent="0.25">
      <c r="C1524" s="36"/>
      <c r="D1524" s="36"/>
      <c r="E1524" s="36"/>
      <c r="F1524" s="36"/>
      <c r="G1524" s="18"/>
      <c r="H1524" s="30"/>
      <c r="I1524" s="30"/>
      <c r="J1524" s="31"/>
      <c r="K1524" s="36"/>
      <c r="L1524" s="32"/>
      <c r="M1524" s="36"/>
      <c r="N1524" s="36"/>
      <c r="O1524" s="36"/>
      <c r="P1524" s="36"/>
      <c r="Q1524" s="36"/>
    </row>
    <row r="1525" spans="3:17" x14ac:dyDescent="0.25">
      <c r="C1525" s="36"/>
      <c r="D1525" s="36"/>
      <c r="E1525" s="36"/>
      <c r="F1525" s="36"/>
      <c r="G1525" s="18"/>
      <c r="H1525" s="30"/>
      <c r="I1525" s="30"/>
      <c r="J1525" s="31"/>
      <c r="K1525" s="36"/>
      <c r="L1525" s="32"/>
      <c r="M1525" s="36"/>
      <c r="N1525" s="36"/>
      <c r="O1525" s="36"/>
      <c r="P1525" s="36"/>
      <c r="Q1525" s="36"/>
    </row>
    <row r="1526" spans="3:17" x14ac:dyDescent="0.25">
      <c r="C1526" s="36"/>
      <c r="D1526" s="36"/>
      <c r="E1526" s="36"/>
      <c r="F1526" s="36"/>
      <c r="G1526" s="18"/>
      <c r="H1526" s="30"/>
      <c r="I1526" s="30"/>
      <c r="J1526" s="31"/>
      <c r="K1526" s="36"/>
      <c r="L1526" s="32"/>
      <c r="M1526" s="36"/>
      <c r="N1526" s="36"/>
      <c r="O1526" s="36"/>
      <c r="P1526" s="36"/>
      <c r="Q1526" s="36"/>
    </row>
    <row r="1527" spans="3:17" x14ac:dyDescent="0.25">
      <c r="C1527" s="36"/>
      <c r="D1527" s="36"/>
      <c r="E1527" s="36"/>
      <c r="F1527" s="36"/>
      <c r="G1527" s="18"/>
      <c r="H1527" s="30"/>
      <c r="I1527" s="30"/>
      <c r="J1527" s="31"/>
      <c r="K1527" s="36"/>
      <c r="L1527" s="32"/>
      <c r="M1527" s="36"/>
      <c r="N1527" s="36"/>
      <c r="O1527" s="36"/>
      <c r="P1527" s="36"/>
      <c r="Q1527" s="36"/>
    </row>
    <row r="1528" spans="3:17" x14ac:dyDescent="0.25">
      <c r="C1528" s="36"/>
      <c r="D1528" s="36"/>
      <c r="E1528" s="36"/>
      <c r="F1528" s="36"/>
      <c r="G1528" s="18"/>
      <c r="H1528" s="30"/>
      <c r="I1528" s="30"/>
      <c r="J1528" s="31"/>
      <c r="K1528" s="36"/>
      <c r="L1528" s="32"/>
      <c r="M1528" s="36"/>
      <c r="N1528" s="36"/>
      <c r="O1528" s="36"/>
      <c r="P1528" s="36"/>
      <c r="Q1528" s="36"/>
    </row>
    <row r="1529" spans="3:17" x14ac:dyDescent="0.25">
      <c r="C1529" s="36"/>
      <c r="D1529" s="36"/>
      <c r="E1529" s="36"/>
      <c r="F1529" s="36"/>
      <c r="G1529" s="18"/>
      <c r="H1529" s="30"/>
      <c r="I1529" s="30"/>
      <c r="J1529" s="31"/>
      <c r="K1529" s="36"/>
      <c r="L1529" s="32"/>
      <c r="M1529" s="36"/>
      <c r="N1529" s="36"/>
      <c r="O1529" s="36"/>
      <c r="P1529" s="36"/>
      <c r="Q1529" s="36"/>
    </row>
    <row r="1530" spans="3:17" x14ac:dyDescent="0.25">
      <c r="C1530" s="36"/>
      <c r="D1530" s="36"/>
      <c r="E1530" s="36"/>
      <c r="F1530" s="36"/>
      <c r="G1530" s="18"/>
      <c r="H1530" s="30"/>
      <c r="I1530" s="30"/>
      <c r="J1530" s="31"/>
      <c r="K1530" s="36"/>
      <c r="L1530" s="32"/>
      <c r="M1530" s="36"/>
      <c r="N1530" s="36"/>
      <c r="O1530" s="36"/>
      <c r="P1530" s="36"/>
      <c r="Q1530" s="36"/>
    </row>
    <row r="1531" spans="3:17" x14ac:dyDescent="0.25">
      <c r="C1531" s="36"/>
      <c r="D1531" s="36"/>
      <c r="E1531" s="36"/>
      <c r="F1531" s="36"/>
      <c r="G1531" s="18"/>
      <c r="H1531" s="30"/>
      <c r="I1531" s="30"/>
      <c r="J1531" s="31"/>
      <c r="K1531" s="36"/>
      <c r="L1531" s="32"/>
      <c r="M1531" s="36"/>
      <c r="N1531" s="36"/>
      <c r="O1531" s="36"/>
      <c r="P1531" s="36"/>
      <c r="Q1531" s="36"/>
    </row>
    <row r="1532" spans="3:17" x14ac:dyDescent="0.25">
      <c r="C1532" s="36"/>
      <c r="D1532" s="36"/>
      <c r="E1532" s="36"/>
      <c r="F1532" s="36"/>
      <c r="G1532" s="18"/>
      <c r="H1532" s="30"/>
      <c r="I1532" s="30"/>
      <c r="J1532" s="31"/>
      <c r="K1532" s="36"/>
      <c r="L1532" s="32"/>
      <c r="M1532" s="36"/>
      <c r="N1532" s="36"/>
      <c r="O1532" s="36"/>
      <c r="P1532" s="36"/>
      <c r="Q1532" s="36"/>
    </row>
    <row r="1533" spans="3:17" x14ac:dyDescent="0.25">
      <c r="C1533" s="36"/>
      <c r="D1533" s="36"/>
      <c r="E1533" s="36"/>
      <c r="F1533" s="36"/>
      <c r="G1533" s="18"/>
      <c r="H1533" s="30"/>
      <c r="I1533" s="30"/>
      <c r="J1533" s="31"/>
      <c r="K1533" s="36"/>
      <c r="L1533" s="32"/>
      <c r="M1533" s="36"/>
      <c r="N1533" s="36"/>
      <c r="O1533" s="36"/>
      <c r="P1533" s="36"/>
      <c r="Q1533" s="36"/>
    </row>
    <row r="1534" spans="3:17" x14ac:dyDescent="0.25">
      <c r="C1534" s="36"/>
      <c r="D1534" s="36"/>
      <c r="E1534" s="36"/>
      <c r="F1534" s="36"/>
      <c r="G1534" s="18"/>
      <c r="H1534" s="30"/>
      <c r="I1534" s="30"/>
      <c r="J1534" s="31"/>
      <c r="K1534" s="36"/>
      <c r="L1534" s="32"/>
      <c r="M1534" s="36"/>
      <c r="N1534" s="36"/>
      <c r="O1534" s="36"/>
      <c r="P1534" s="36"/>
      <c r="Q1534" s="36"/>
    </row>
    <row r="1535" spans="3:17" x14ac:dyDescent="0.25">
      <c r="C1535" s="36"/>
      <c r="D1535" s="36"/>
      <c r="E1535" s="36"/>
      <c r="F1535" s="36"/>
      <c r="G1535" s="18"/>
      <c r="H1535" s="30"/>
      <c r="I1535" s="30"/>
      <c r="J1535" s="31"/>
      <c r="K1535" s="36"/>
      <c r="L1535" s="32"/>
      <c r="M1535" s="36"/>
      <c r="N1535" s="36"/>
      <c r="O1535" s="36"/>
      <c r="P1535" s="36"/>
      <c r="Q1535" s="36"/>
    </row>
    <row r="1536" spans="3:17" x14ac:dyDescent="0.25">
      <c r="C1536" s="36"/>
      <c r="D1536" s="36"/>
      <c r="E1536" s="36"/>
      <c r="F1536" s="36"/>
      <c r="G1536" s="18"/>
      <c r="H1536" s="30"/>
      <c r="I1536" s="30"/>
      <c r="J1536" s="31"/>
      <c r="K1536" s="36"/>
      <c r="L1536" s="32"/>
      <c r="M1536" s="36"/>
      <c r="N1536" s="36"/>
      <c r="O1536" s="36"/>
      <c r="P1536" s="36"/>
      <c r="Q1536" s="36"/>
    </row>
    <row r="1537" spans="3:17" x14ac:dyDescent="0.25">
      <c r="C1537" s="36"/>
      <c r="D1537" s="36"/>
      <c r="E1537" s="36"/>
      <c r="F1537" s="36"/>
      <c r="G1537" s="18"/>
      <c r="H1537" s="30"/>
      <c r="I1537" s="30"/>
      <c r="J1537" s="31"/>
      <c r="K1537" s="36"/>
      <c r="L1537" s="32"/>
      <c r="M1537" s="36"/>
      <c r="N1537" s="36"/>
      <c r="O1537" s="36"/>
      <c r="P1537" s="36"/>
      <c r="Q1537" s="36"/>
    </row>
    <row r="1538" spans="3:17" x14ac:dyDescent="0.25">
      <c r="C1538" s="36"/>
      <c r="D1538" s="36"/>
      <c r="E1538" s="36"/>
      <c r="F1538" s="36"/>
      <c r="G1538" s="18"/>
      <c r="H1538" s="30"/>
      <c r="I1538" s="30"/>
      <c r="J1538" s="31"/>
      <c r="K1538" s="36"/>
      <c r="L1538" s="32"/>
      <c r="M1538" s="36"/>
      <c r="N1538" s="36"/>
      <c r="O1538" s="36"/>
      <c r="P1538" s="36"/>
      <c r="Q1538" s="36"/>
    </row>
    <row r="1539" spans="3:17" x14ac:dyDescent="0.25">
      <c r="C1539" s="36"/>
      <c r="D1539" s="36"/>
      <c r="E1539" s="36"/>
      <c r="F1539" s="36"/>
      <c r="G1539" s="18"/>
      <c r="H1539" s="30"/>
      <c r="I1539" s="30"/>
      <c r="J1539" s="31"/>
      <c r="K1539" s="36"/>
      <c r="L1539" s="32"/>
      <c r="M1539" s="36"/>
      <c r="N1539" s="36"/>
      <c r="O1539" s="36"/>
      <c r="P1539" s="36"/>
      <c r="Q1539" s="36"/>
    </row>
    <row r="1540" spans="3:17" x14ac:dyDescent="0.25">
      <c r="C1540" s="36"/>
      <c r="D1540" s="36"/>
      <c r="E1540" s="36"/>
      <c r="F1540" s="36"/>
      <c r="G1540" s="18"/>
      <c r="H1540" s="30"/>
      <c r="I1540" s="30"/>
      <c r="J1540" s="31"/>
      <c r="K1540" s="36"/>
      <c r="L1540" s="32"/>
      <c r="M1540" s="36"/>
      <c r="N1540" s="36"/>
      <c r="O1540" s="36"/>
      <c r="P1540" s="36"/>
      <c r="Q1540" s="36"/>
    </row>
    <row r="1541" spans="3:17" x14ac:dyDescent="0.25">
      <c r="C1541" s="36"/>
      <c r="D1541" s="36"/>
      <c r="E1541" s="36"/>
      <c r="F1541" s="36"/>
      <c r="G1541" s="18"/>
      <c r="H1541" s="30"/>
      <c r="I1541" s="30"/>
      <c r="J1541" s="31"/>
      <c r="K1541" s="36"/>
      <c r="L1541" s="32"/>
      <c r="M1541" s="36"/>
      <c r="N1541" s="36"/>
      <c r="O1541" s="36"/>
      <c r="P1541" s="36"/>
      <c r="Q1541" s="36"/>
    </row>
    <row r="1542" spans="3:17" x14ac:dyDescent="0.25">
      <c r="C1542" s="36"/>
      <c r="D1542" s="36"/>
      <c r="E1542" s="36"/>
      <c r="F1542" s="36"/>
      <c r="G1542" s="18"/>
      <c r="H1542" s="30"/>
      <c r="I1542" s="30"/>
      <c r="J1542" s="31"/>
      <c r="K1542" s="36"/>
      <c r="L1542" s="32"/>
      <c r="M1542" s="36"/>
      <c r="N1542" s="36"/>
      <c r="O1542" s="36"/>
      <c r="P1542" s="36"/>
      <c r="Q1542" s="36"/>
    </row>
    <row r="1543" spans="3:17" x14ac:dyDescent="0.25">
      <c r="C1543" s="36"/>
      <c r="D1543" s="36"/>
      <c r="E1543" s="36"/>
      <c r="F1543" s="36"/>
      <c r="G1543" s="18"/>
      <c r="H1543" s="30"/>
      <c r="I1543" s="30"/>
      <c r="J1543" s="31"/>
      <c r="K1543" s="36"/>
      <c r="L1543" s="32"/>
      <c r="M1543" s="36"/>
      <c r="N1543" s="36"/>
      <c r="O1543" s="36"/>
      <c r="P1543" s="36"/>
      <c r="Q1543" s="36"/>
    </row>
    <row r="1544" spans="3:17" x14ac:dyDescent="0.25">
      <c r="C1544" s="36"/>
      <c r="D1544" s="36"/>
      <c r="E1544" s="36"/>
      <c r="F1544" s="36"/>
      <c r="G1544" s="18"/>
      <c r="H1544" s="30"/>
      <c r="I1544" s="30"/>
      <c r="J1544" s="31"/>
      <c r="K1544" s="36"/>
      <c r="L1544" s="32"/>
      <c r="M1544" s="36"/>
      <c r="N1544" s="36"/>
      <c r="O1544" s="36"/>
      <c r="P1544" s="36"/>
      <c r="Q1544" s="36"/>
    </row>
    <row r="1545" spans="3:17" x14ac:dyDescent="0.25">
      <c r="C1545" s="36"/>
      <c r="D1545" s="36"/>
      <c r="E1545" s="36"/>
      <c r="F1545" s="36"/>
      <c r="G1545" s="18"/>
      <c r="H1545" s="30"/>
      <c r="I1545" s="30"/>
      <c r="J1545" s="31"/>
      <c r="K1545" s="36"/>
      <c r="L1545" s="32"/>
      <c r="M1545" s="36"/>
      <c r="N1545" s="36"/>
      <c r="O1545" s="36"/>
      <c r="P1545" s="36"/>
      <c r="Q1545" s="36"/>
    </row>
    <row r="1546" spans="3:17" x14ac:dyDescent="0.25">
      <c r="C1546" s="36"/>
      <c r="D1546" s="36"/>
      <c r="E1546" s="36"/>
      <c r="F1546" s="36"/>
      <c r="G1546" s="18"/>
      <c r="H1546" s="30"/>
      <c r="I1546" s="30"/>
      <c r="J1546" s="31"/>
      <c r="K1546" s="36"/>
      <c r="L1546" s="32"/>
      <c r="M1546" s="36"/>
      <c r="N1546" s="36"/>
      <c r="O1546" s="36"/>
      <c r="P1546" s="36"/>
      <c r="Q1546" s="36"/>
    </row>
    <row r="1547" spans="3:17" x14ac:dyDescent="0.25">
      <c r="C1547" s="36"/>
      <c r="D1547" s="36"/>
      <c r="E1547" s="36"/>
      <c r="F1547" s="36"/>
      <c r="G1547" s="18"/>
      <c r="H1547" s="30"/>
      <c r="I1547" s="30"/>
      <c r="J1547" s="31"/>
      <c r="K1547" s="36"/>
      <c r="L1547" s="32"/>
      <c r="M1547" s="36"/>
      <c r="N1547" s="36"/>
      <c r="O1547" s="36"/>
      <c r="P1547" s="36"/>
      <c r="Q1547" s="36"/>
    </row>
    <row r="1548" spans="3:17" x14ac:dyDescent="0.25">
      <c r="C1548" s="36"/>
      <c r="D1548" s="36"/>
      <c r="E1548" s="36"/>
      <c r="F1548" s="36"/>
      <c r="G1548" s="18"/>
      <c r="H1548" s="30"/>
      <c r="I1548" s="30"/>
      <c r="J1548" s="31"/>
      <c r="K1548" s="36"/>
      <c r="L1548" s="32"/>
      <c r="M1548" s="36"/>
      <c r="N1548" s="36"/>
      <c r="O1548" s="36"/>
      <c r="P1548" s="36"/>
      <c r="Q1548" s="36"/>
    </row>
    <row r="1549" spans="3:17" x14ac:dyDescent="0.25">
      <c r="C1549" s="36"/>
      <c r="D1549" s="36"/>
      <c r="E1549" s="36"/>
      <c r="F1549" s="36"/>
      <c r="G1549" s="18"/>
      <c r="H1549" s="30"/>
      <c r="I1549" s="30"/>
      <c r="J1549" s="31"/>
      <c r="K1549" s="36"/>
      <c r="L1549" s="32"/>
      <c r="M1549" s="36"/>
      <c r="N1549" s="36"/>
      <c r="O1549" s="36"/>
      <c r="P1549" s="36"/>
      <c r="Q1549" s="36"/>
    </row>
    <row r="1550" spans="3:17" x14ac:dyDescent="0.25">
      <c r="C1550" s="36"/>
      <c r="D1550" s="36"/>
      <c r="E1550" s="36"/>
      <c r="F1550" s="36"/>
      <c r="G1550" s="18"/>
      <c r="H1550" s="30"/>
      <c r="I1550" s="30"/>
      <c r="J1550" s="31"/>
      <c r="K1550" s="36"/>
      <c r="L1550" s="32"/>
      <c r="M1550" s="36"/>
      <c r="N1550" s="36"/>
      <c r="O1550" s="36"/>
      <c r="P1550" s="36"/>
      <c r="Q1550" s="36"/>
    </row>
    <row r="1551" spans="3:17" x14ac:dyDescent="0.25">
      <c r="C1551" s="36"/>
      <c r="D1551" s="36"/>
      <c r="E1551" s="36"/>
      <c r="F1551" s="36"/>
      <c r="G1551" s="18"/>
      <c r="H1551" s="30"/>
      <c r="I1551" s="30"/>
      <c r="J1551" s="31"/>
      <c r="K1551" s="36"/>
      <c r="L1551" s="32"/>
      <c r="M1551" s="36"/>
      <c r="N1551" s="36"/>
      <c r="O1551" s="36"/>
      <c r="P1551" s="36"/>
      <c r="Q1551" s="36"/>
    </row>
    <row r="1552" spans="3:17" x14ac:dyDescent="0.25">
      <c r="C1552" s="36"/>
      <c r="D1552" s="36"/>
      <c r="E1552" s="36"/>
      <c r="F1552" s="36"/>
      <c r="G1552" s="18"/>
      <c r="H1552" s="30"/>
      <c r="I1552" s="30"/>
      <c r="J1552" s="31"/>
      <c r="K1552" s="36"/>
      <c r="L1552" s="32"/>
      <c r="M1552" s="36"/>
      <c r="N1552" s="36"/>
      <c r="O1552" s="36"/>
      <c r="P1552" s="36"/>
      <c r="Q1552" s="36"/>
    </row>
    <row r="1553" spans="3:17" x14ac:dyDescent="0.25">
      <c r="C1553" s="36"/>
      <c r="D1553" s="36"/>
      <c r="E1553" s="36"/>
      <c r="F1553" s="36"/>
      <c r="G1553" s="18"/>
      <c r="H1553" s="30"/>
      <c r="I1553" s="30"/>
      <c r="J1553" s="31"/>
      <c r="K1553" s="36"/>
      <c r="L1553" s="32"/>
      <c r="M1553" s="36"/>
      <c r="N1553" s="36"/>
      <c r="O1553" s="36"/>
      <c r="P1553" s="36"/>
      <c r="Q1553" s="36"/>
    </row>
    <row r="1554" spans="3:17" x14ac:dyDescent="0.25">
      <c r="C1554" s="36"/>
      <c r="D1554" s="36"/>
      <c r="E1554" s="36"/>
      <c r="F1554" s="36"/>
      <c r="G1554" s="18"/>
      <c r="H1554" s="30"/>
      <c r="I1554" s="30"/>
      <c r="J1554" s="31"/>
      <c r="K1554" s="36"/>
      <c r="L1554" s="32"/>
      <c r="M1554" s="36"/>
      <c r="N1554" s="36"/>
      <c r="O1554" s="36"/>
      <c r="P1554" s="36"/>
      <c r="Q1554" s="36"/>
    </row>
    <row r="1555" spans="3:17" x14ac:dyDescent="0.25">
      <c r="C1555" s="36"/>
      <c r="D1555" s="36"/>
      <c r="E1555" s="36"/>
      <c r="F1555" s="36"/>
      <c r="G1555" s="18"/>
      <c r="H1555" s="30"/>
      <c r="I1555" s="30"/>
      <c r="J1555" s="31"/>
      <c r="K1555" s="36"/>
      <c r="L1555" s="32"/>
      <c r="M1555" s="36"/>
      <c r="N1555" s="36"/>
      <c r="O1555" s="36"/>
      <c r="P1555" s="36"/>
      <c r="Q1555" s="36"/>
    </row>
    <row r="1556" spans="3:17" x14ac:dyDescent="0.25">
      <c r="C1556" s="36"/>
      <c r="D1556" s="36"/>
      <c r="E1556" s="36"/>
      <c r="F1556" s="36"/>
      <c r="G1556" s="18"/>
      <c r="H1556" s="30"/>
      <c r="I1556" s="30"/>
      <c r="J1556" s="31"/>
      <c r="K1556" s="36"/>
      <c r="L1556" s="32"/>
      <c r="M1556" s="36"/>
      <c r="N1556" s="36"/>
      <c r="O1556" s="36"/>
      <c r="P1556" s="36"/>
      <c r="Q1556" s="36"/>
    </row>
    <row r="1557" spans="3:17" x14ac:dyDescent="0.25">
      <c r="C1557" s="36"/>
      <c r="D1557" s="36"/>
      <c r="E1557" s="36"/>
      <c r="F1557" s="36"/>
      <c r="G1557" s="18"/>
      <c r="H1557" s="30"/>
      <c r="I1557" s="30"/>
      <c r="J1557" s="31"/>
      <c r="K1557" s="36"/>
      <c r="L1557" s="36"/>
      <c r="M1557" s="36"/>
      <c r="N1557" s="36"/>
      <c r="O1557" s="36"/>
      <c r="P1557" s="36"/>
      <c r="Q1557" s="36"/>
    </row>
    <row r="1558" spans="3:17" x14ac:dyDescent="0.25">
      <c r="C1558" s="36"/>
      <c r="D1558" s="36"/>
      <c r="E1558" s="36"/>
      <c r="F1558" s="36"/>
      <c r="G1558" s="18"/>
      <c r="H1558" s="30"/>
      <c r="I1558" s="30"/>
      <c r="J1558" s="31"/>
      <c r="K1558" s="36"/>
      <c r="L1558" s="36"/>
      <c r="M1558" s="36"/>
      <c r="N1558" s="36"/>
      <c r="O1558" s="36"/>
      <c r="P1558" s="36"/>
      <c r="Q1558" s="36"/>
    </row>
    <row r="1559" spans="3:17" x14ac:dyDescent="0.25">
      <c r="C1559" s="36"/>
      <c r="D1559" s="36"/>
      <c r="E1559" s="36"/>
      <c r="F1559" s="36"/>
      <c r="G1559" s="18"/>
      <c r="H1559" s="30"/>
      <c r="I1559" s="30"/>
      <c r="J1559" s="31"/>
      <c r="K1559" s="36"/>
      <c r="L1559" s="36"/>
      <c r="M1559" s="36"/>
      <c r="N1559" s="36"/>
      <c r="O1559" s="36"/>
      <c r="P1559" s="36"/>
      <c r="Q1559" s="36"/>
    </row>
    <row r="1560" spans="3:17" x14ac:dyDescent="0.25">
      <c r="C1560" s="36"/>
      <c r="D1560" s="36"/>
      <c r="E1560" s="36"/>
      <c r="F1560" s="36"/>
      <c r="G1560" s="18"/>
      <c r="H1560" s="30"/>
      <c r="I1560" s="30"/>
      <c r="J1560" s="31"/>
      <c r="K1560" s="36"/>
      <c r="L1560" s="36"/>
      <c r="M1560" s="36"/>
      <c r="N1560" s="36"/>
      <c r="O1560" s="36"/>
      <c r="P1560" s="36"/>
      <c r="Q1560" s="36"/>
    </row>
    <row r="1561" spans="3:17" x14ac:dyDescent="0.25">
      <c r="C1561" s="36"/>
      <c r="D1561" s="36"/>
      <c r="E1561" s="36"/>
      <c r="F1561" s="36"/>
      <c r="G1561" s="18"/>
      <c r="H1561" s="30"/>
      <c r="I1561" s="30"/>
      <c r="J1561" s="31"/>
      <c r="K1561" s="36"/>
      <c r="L1561" s="36"/>
      <c r="M1561" s="36"/>
      <c r="N1561" s="36"/>
      <c r="O1561" s="36"/>
      <c r="P1561" s="36"/>
      <c r="Q1561" s="36"/>
    </row>
    <row r="1562" spans="3:17" x14ac:dyDescent="0.25">
      <c r="C1562" s="36"/>
      <c r="D1562" s="36"/>
      <c r="E1562" s="36"/>
      <c r="F1562" s="36"/>
      <c r="G1562" s="18"/>
      <c r="H1562" s="30"/>
      <c r="I1562" s="30"/>
      <c r="J1562" s="31"/>
      <c r="K1562" s="36"/>
      <c r="L1562" s="36"/>
      <c r="M1562" s="36"/>
      <c r="N1562" s="36"/>
      <c r="O1562" s="36"/>
      <c r="P1562" s="36"/>
      <c r="Q1562" s="36"/>
    </row>
    <row r="1563" spans="3:17" x14ac:dyDescent="0.25">
      <c r="C1563" s="36"/>
      <c r="D1563" s="36"/>
      <c r="E1563" s="36"/>
      <c r="F1563" s="36"/>
      <c r="G1563" s="18"/>
      <c r="H1563" s="30"/>
      <c r="I1563" s="30"/>
      <c r="J1563" s="31"/>
      <c r="K1563" s="36"/>
      <c r="L1563" s="36"/>
      <c r="M1563" s="36"/>
      <c r="N1563" s="36"/>
      <c r="O1563" s="36"/>
      <c r="P1563" s="36"/>
      <c r="Q1563" s="36"/>
    </row>
    <row r="1564" spans="3:17" x14ac:dyDescent="0.25">
      <c r="C1564" s="36"/>
      <c r="D1564" s="36"/>
      <c r="E1564" s="36"/>
      <c r="F1564" s="36"/>
      <c r="G1564" s="18"/>
      <c r="H1564" s="30"/>
      <c r="I1564" s="30"/>
      <c r="J1564" s="31"/>
      <c r="K1564" s="36"/>
      <c r="L1564" s="36"/>
      <c r="M1564" s="36"/>
      <c r="N1564" s="36"/>
      <c r="O1564" s="36"/>
      <c r="P1564" s="36"/>
      <c r="Q1564" s="36"/>
    </row>
    <row r="1565" spans="3:17" x14ac:dyDescent="0.25">
      <c r="C1565" s="36"/>
      <c r="D1565" s="36"/>
      <c r="E1565" s="36"/>
      <c r="F1565" s="36"/>
      <c r="G1565" s="18"/>
      <c r="H1565" s="30"/>
      <c r="I1565" s="30"/>
      <c r="J1565" s="31"/>
      <c r="K1565" s="36"/>
      <c r="L1565" s="36"/>
      <c r="M1565" s="36"/>
      <c r="N1565" s="36"/>
      <c r="O1565" s="36"/>
      <c r="P1565" s="36"/>
      <c r="Q1565" s="36"/>
    </row>
    <row r="1566" spans="3:17" x14ac:dyDescent="0.25">
      <c r="C1566" s="36"/>
      <c r="D1566" s="36"/>
      <c r="E1566" s="36"/>
      <c r="F1566" s="36"/>
      <c r="G1566" s="18"/>
      <c r="H1566" s="30"/>
      <c r="I1566" s="30"/>
      <c r="J1566" s="31"/>
      <c r="K1566" s="36"/>
      <c r="L1566" s="36"/>
      <c r="M1566" s="36"/>
      <c r="N1566" s="36"/>
      <c r="O1566" s="36"/>
      <c r="P1566" s="36"/>
      <c r="Q1566" s="36"/>
    </row>
    <row r="1567" spans="3:17" x14ac:dyDescent="0.25">
      <c r="C1567" s="36"/>
      <c r="D1567" s="36"/>
      <c r="E1567" s="36"/>
      <c r="F1567" s="36"/>
      <c r="G1567" s="18"/>
      <c r="H1567" s="30"/>
      <c r="I1567" s="30"/>
      <c r="J1567" s="31"/>
      <c r="K1567" s="36"/>
      <c r="L1567" s="36"/>
      <c r="M1567" s="36"/>
      <c r="N1567" s="36"/>
      <c r="O1567" s="36"/>
      <c r="P1567" s="36"/>
      <c r="Q1567" s="36"/>
    </row>
    <row r="1568" spans="3:17" x14ac:dyDescent="0.25">
      <c r="C1568" s="36"/>
      <c r="D1568" s="36"/>
      <c r="E1568" s="36"/>
      <c r="F1568" s="36"/>
      <c r="G1568" s="18"/>
      <c r="H1568" s="30"/>
      <c r="I1568" s="30"/>
      <c r="J1568" s="31"/>
      <c r="K1568" s="36"/>
      <c r="L1568" s="36"/>
      <c r="M1568" s="36"/>
      <c r="N1568" s="36"/>
      <c r="O1568" s="36"/>
      <c r="P1568" s="36"/>
      <c r="Q1568" s="36"/>
    </row>
    <row r="1569" spans="3:17" x14ac:dyDescent="0.25">
      <c r="C1569" s="36"/>
      <c r="D1569" s="36"/>
      <c r="E1569" s="36"/>
      <c r="F1569" s="36"/>
      <c r="G1569" s="18"/>
      <c r="H1569" s="30"/>
      <c r="I1569" s="30"/>
      <c r="J1569" s="31"/>
      <c r="K1569" s="36"/>
      <c r="L1569" s="36"/>
      <c r="M1569" s="36"/>
      <c r="N1569" s="36"/>
      <c r="O1569" s="36"/>
      <c r="P1569" s="36"/>
      <c r="Q1569" s="36"/>
    </row>
    <row r="1570" spans="3:17" x14ac:dyDescent="0.25">
      <c r="C1570" s="36"/>
      <c r="D1570" s="36"/>
      <c r="E1570" s="36"/>
      <c r="F1570" s="36"/>
      <c r="G1570" s="18"/>
      <c r="H1570" s="30"/>
      <c r="I1570" s="30"/>
      <c r="J1570" s="31"/>
      <c r="K1570" s="36"/>
      <c r="L1570" s="36"/>
      <c r="M1570" s="36"/>
      <c r="N1570" s="36"/>
      <c r="O1570" s="36"/>
      <c r="P1570" s="36"/>
      <c r="Q1570" s="36"/>
    </row>
    <row r="1571" spans="3:17" x14ac:dyDescent="0.25">
      <c r="C1571" s="36"/>
      <c r="D1571" s="36"/>
      <c r="E1571" s="36"/>
      <c r="F1571" s="36"/>
      <c r="G1571" s="18"/>
      <c r="H1571" s="30"/>
      <c r="I1571" s="30"/>
      <c r="J1571" s="31"/>
      <c r="K1571" s="36"/>
      <c r="L1571" s="36"/>
      <c r="M1571" s="36"/>
      <c r="N1571" s="36"/>
      <c r="O1571" s="36"/>
      <c r="P1571" s="36"/>
      <c r="Q1571" s="36"/>
    </row>
    <row r="1572" spans="3:17" x14ac:dyDescent="0.25">
      <c r="C1572" s="36"/>
      <c r="D1572" s="36"/>
      <c r="E1572" s="36"/>
      <c r="F1572" s="36"/>
      <c r="G1572" s="18"/>
      <c r="H1572" s="30"/>
      <c r="I1572" s="30"/>
      <c r="J1572" s="31"/>
      <c r="K1572" s="36"/>
      <c r="L1572" s="36"/>
      <c r="M1572" s="36"/>
      <c r="N1572" s="36"/>
      <c r="O1572" s="36"/>
      <c r="P1572" s="36"/>
      <c r="Q1572" s="36"/>
    </row>
    <row r="1573" spans="3:17" x14ac:dyDescent="0.25">
      <c r="C1573" s="36"/>
      <c r="D1573" s="36"/>
      <c r="E1573" s="36"/>
      <c r="F1573" s="36"/>
      <c r="G1573" s="18"/>
      <c r="H1573" s="30"/>
      <c r="I1573" s="30"/>
      <c r="J1573" s="31"/>
      <c r="K1573" s="36"/>
      <c r="L1573" s="36"/>
      <c r="M1573" s="36"/>
      <c r="N1573" s="36"/>
      <c r="O1573" s="36"/>
      <c r="P1573" s="36"/>
      <c r="Q1573" s="36"/>
    </row>
    <row r="1574" spans="3:17" x14ac:dyDescent="0.25">
      <c r="C1574" s="36"/>
      <c r="D1574" s="36"/>
      <c r="E1574" s="36"/>
      <c r="F1574" s="36"/>
      <c r="G1574" s="18"/>
      <c r="H1574" s="30"/>
      <c r="I1574" s="30"/>
      <c r="J1574" s="31"/>
      <c r="K1574" s="36"/>
      <c r="L1574" s="36"/>
      <c r="M1574" s="36"/>
      <c r="N1574" s="36"/>
      <c r="O1574" s="36"/>
      <c r="P1574" s="36"/>
      <c r="Q1574" s="36"/>
    </row>
    <row r="1575" spans="3:17" x14ac:dyDescent="0.25">
      <c r="C1575" s="36"/>
      <c r="D1575" s="36"/>
      <c r="E1575" s="36"/>
      <c r="F1575" s="36"/>
      <c r="G1575" s="18"/>
      <c r="H1575" s="30"/>
      <c r="I1575" s="30"/>
      <c r="J1575" s="31"/>
      <c r="K1575" s="36"/>
      <c r="L1575" s="36"/>
      <c r="M1575" s="36"/>
      <c r="N1575" s="36"/>
      <c r="O1575" s="36"/>
      <c r="P1575" s="36"/>
      <c r="Q1575" s="36"/>
    </row>
    <row r="1576" spans="3:17" x14ac:dyDescent="0.25">
      <c r="C1576" s="36"/>
      <c r="D1576" s="36"/>
      <c r="E1576" s="36"/>
      <c r="F1576" s="36"/>
      <c r="G1576" s="18"/>
      <c r="H1576" s="30"/>
      <c r="I1576" s="30"/>
      <c r="J1576" s="31"/>
      <c r="K1576" s="36"/>
      <c r="L1576" s="36"/>
      <c r="M1576" s="36"/>
      <c r="N1576" s="36"/>
      <c r="O1576" s="36"/>
      <c r="P1576" s="36"/>
      <c r="Q1576" s="36"/>
    </row>
    <row r="1577" spans="3:17" x14ac:dyDescent="0.25">
      <c r="C1577" s="36"/>
      <c r="D1577" s="36"/>
      <c r="E1577" s="36"/>
      <c r="F1577" s="36"/>
      <c r="G1577" s="18"/>
      <c r="H1577" s="30"/>
      <c r="I1577" s="30"/>
      <c r="J1577" s="31"/>
      <c r="K1577" s="36"/>
      <c r="L1577" s="36"/>
      <c r="M1577" s="36"/>
      <c r="N1577" s="36"/>
      <c r="O1577" s="36"/>
      <c r="P1577" s="36"/>
      <c r="Q1577" s="36"/>
    </row>
    <row r="1578" spans="3:17" x14ac:dyDescent="0.25">
      <c r="C1578" s="36"/>
      <c r="D1578" s="36"/>
      <c r="E1578" s="36"/>
      <c r="F1578" s="36"/>
      <c r="G1578" s="18"/>
      <c r="H1578" s="30"/>
      <c r="I1578" s="30"/>
      <c r="J1578" s="31"/>
      <c r="K1578" s="36"/>
      <c r="L1578" s="36"/>
      <c r="M1578" s="36"/>
      <c r="N1578" s="36"/>
      <c r="O1578" s="36"/>
      <c r="P1578" s="36"/>
      <c r="Q1578" s="36"/>
    </row>
    <row r="1579" spans="3:17" x14ac:dyDescent="0.25">
      <c r="C1579" s="36"/>
      <c r="D1579" s="36"/>
      <c r="E1579" s="36"/>
      <c r="F1579" s="36"/>
      <c r="G1579" s="18"/>
      <c r="H1579" s="30"/>
      <c r="I1579" s="30"/>
      <c r="J1579" s="31"/>
      <c r="K1579" s="36"/>
      <c r="L1579" s="36"/>
      <c r="M1579" s="36"/>
      <c r="N1579" s="36"/>
      <c r="O1579" s="36"/>
      <c r="P1579" s="36"/>
      <c r="Q1579" s="36"/>
    </row>
    <row r="1580" spans="3:17" x14ac:dyDescent="0.25">
      <c r="C1580" s="36"/>
      <c r="D1580" s="36"/>
      <c r="E1580" s="36"/>
      <c r="F1580" s="36"/>
      <c r="G1580" s="18"/>
      <c r="H1580" s="30"/>
      <c r="I1580" s="30"/>
      <c r="J1580" s="31"/>
      <c r="K1580" s="36"/>
      <c r="L1580" s="36"/>
      <c r="M1580" s="36"/>
      <c r="N1580" s="36"/>
      <c r="O1580" s="36"/>
      <c r="P1580" s="36"/>
      <c r="Q1580" s="36"/>
    </row>
    <row r="1581" spans="3:17" x14ac:dyDescent="0.25">
      <c r="C1581" s="36"/>
      <c r="D1581" s="36"/>
      <c r="E1581" s="36"/>
      <c r="F1581" s="36"/>
      <c r="G1581" s="18"/>
      <c r="H1581" s="30"/>
      <c r="I1581" s="30"/>
      <c r="J1581" s="31"/>
      <c r="K1581" s="36"/>
      <c r="L1581" s="36"/>
      <c r="M1581" s="36"/>
      <c r="N1581" s="36"/>
      <c r="O1581" s="36"/>
      <c r="P1581" s="36"/>
      <c r="Q1581" s="36"/>
    </row>
    <row r="1582" spans="3:17" x14ac:dyDescent="0.25">
      <c r="C1582" s="36"/>
      <c r="D1582" s="36"/>
      <c r="E1582" s="36"/>
      <c r="F1582" s="36"/>
      <c r="G1582" s="18"/>
      <c r="H1582" s="30"/>
      <c r="I1582" s="30"/>
      <c r="J1582" s="31"/>
      <c r="K1582" s="36"/>
      <c r="L1582" s="36"/>
      <c r="M1582" s="36"/>
      <c r="N1582" s="36"/>
      <c r="O1582" s="36"/>
      <c r="P1582" s="36"/>
      <c r="Q1582" s="36"/>
    </row>
    <row r="1583" spans="3:17" x14ac:dyDescent="0.25">
      <c r="C1583" s="36"/>
      <c r="D1583" s="36"/>
      <c r="E1583" s="36"/>
      <c r="F1583" s="36"/>
      <c r="G1583" s="18"/>
      <c r="H1583" s="30"/>
      <c r="I1583" s="30"/>
      <c r="J1583" s="31"/>
      <c r="K1583" s="36"/>
      <c r="L1583" s="36"/>
      <c r="M1583" s="36"/>
      <c r="N1583" s="36"/>
      <c r="O1583" s="36"/>
      <c r="P1583" s="36"/>
      <c r="Q1583" s="36"/>
    </row>
    <row r="1584" spans="3:17" x14ac:dyDescent="0.25">
      <c r="C1584" s="36"/>
      <c r="D1584" s="36"/>
      <c r="E1584" s="36"/>
      <c r="F1584" s="36"/>
      <c r="G1584" s="18"/>
      <c r="H1584" s="30"/>
      <c r="I1584" s="30"/>
      <c r="J1584" s="31"/>
      <c r="K1584" s="36"/>
      <c r="L1584" s="36"/>
      <c r="M1584" s="36"/>
      <c r="N1584" s="36"/>
      <c r="O1584" s="36"/>
      <c r="P1584" s="36"/>
      <c r="Q1584" s="36"/>
    </row>
    <row r="1585" spans="3:17" x14ac:dyDescent="0.25">
      <c r="C1585" s="36"/>
      <c r="D1585" s="36"/>
      <c r="E1585" s="36"/>
      <c r="F1585" s="36"/>
      <c r="G1585" s="18"/>
      <c r="H1585" s="30"/>
      <c r="I1585" s="30"/>
      <c r="J1585" s="31"/>
      <c r="K1585" s="36"/>
      <c r="L1585" s="36"/>
      <c r="M1585" s="36"/>
      <c r="N1585" s="36"/>
      <c r="O1585" s="36"/>
      <c r="P1585" s="36"/>
      <c r="Q1585" s="36"/>
    </row>
    <row r="1586" spans="3:17" x14ac:dyDescent="0.25">
      <c r="C1586" s="36"/>
      <c r="D1586" s="36"/>
      <c r="E1586" s="36"/>
      <c r="F1586" s="36"/>
      <c r="G1586" s="18"/>
      <c r="H1586" s="30"/>
      <c r="I1586" s="30"/>
      <c r="J1586" s="31"/>
      <c r="K1586" s="36"/>
      <c r="L1586" s="36"/>
      <c r="M1586" s="36"/>
      <c r="N1586" s="36"/>
      <c r="O1586" s="36"/>
      <c r="P1586" s="36"/>
      <c r="Q1586" s="36"/>
    </row>
    <row r="1587" spans="3:17" x14ac:dyDescent="0.25">
      <c r="C1587" s="36"/>
      <c r="D1587" s="36"/>
      <c r="E1587" s="36"/>
      <c r="F1587" s="36"/>
      <c r="G1587" s="18"/>
      <c r="H1587" s="30"/>
      <c r="I1587" s="30"/>
      <c r="J1587" s="31"/>
      <c r="K1587" s="36"/>
      <c r="L1587" s="36"/>
      <c r="M1587" s="36"/>
      <c r="N1587" s="36"/>
      <c r="O1587" s="36"/>
      <c r="P1587" s="36"/>
      <c r="Q1587" s="36"/>
    </row>
    <row r="1588" spans="3:17" x14ac:dyDescent="0.25">
      <c r="C1588" s="36"/>
      <c r="D1588" s="36"/>
      <c r="E1588" s="36"/>
      <c r="F1588" s="36"/>
      <c r="G1588" s="18"/>
      <c r="H1588" s="30"/>
      <c r="I1588" s="30"/>
      <c r="J1588" s="31"/>
      <c r="K1588" s="36"/>
      <c r="L1588" s="36"/>
      <c r="M1588" s="36"/>
      <c r="N1588" s="36"/>
      <c r="O1588" s="36"/>
      <c r="P1588" s="36"/>
      <c r="Q1588" s="36"/>
    </row>
    <row r="1589" spans="3:17" x14ac:dyDescent="0.25">
      <c r="C1589" s="36"/>
      <c r="D1589" s="36"/>
      <c r="E1589" s="36"/>
      <c r="F1589" s="36"/>
      <c r="G1589" s="18"/>
      <c r="H1589" s="30"/>
      <c r="I1589" s="30"/>
      <c r="J1589" s="31"/>
      <c r="K1589" s="36"/>
      <c r="L1589" s="36"/>
      <c r="M1589" s="36"/>
      <c r="N1589" s="36"/>
      <c r="O1589" s="36"/>
      <c r="P1589" s="36"/>
      <c r="Q1589" s="36"/>
    </row>
    <row r="1590" spans="3:17" x14ac:dyDescent="0.25">
      <c r="C1590" s="36"/>
      <c r="D1590" s="36"/>
      <c r="E1590" s="36"/>
      <c r="F1590" s="36"/>
      <c r="G1590" s="18"/>
      <c r="H1590" s="30"/>
      <c r="I1590" s="30"/>
      <c r="J1590" s="31"/>
      <c r="K1590" s="36"/>
      <c r="L1590" s="36"/>
      <c r="M1590" s="36"/>
      <c r="N1590" s="36"/>
      <c r="O1590" s="36"/>
      <c r="P1590" s="36"/>
      <c r="Q1590" s="36"/>
    </row>
    <row r="1591" spans="3:17" x14ac:dyDescent="0.25">
      <c r="C1591" s="36"/>
      <c r="D1591" s="36"/>
      <c r="E1591" s="36"/>
      <c r="F1591" s="36"/>
      <c r="G1591" s="18"/>
      <c r="H1591" s="30"/>
      <c r="I1591" s="30"/>
      <c r="J1591" s="31"/>
      <c r="K1591" s="36"/>
      <c r="L1591" s="36"/>
      <c r="M1591" s="36"/>
      <c r="N1591" s="36"/>
      <c r="O1591" s="36"/>
      <c r="P1591" s="36"/>
      <c r="Q1591" s="36"/>
    </row>
    <row r="1592" spans="3:17" x14ac:dyDescent="0.25">
      <c r="C1592" s="36"/>
      <c r="D1592" s="36"/>
      <c r="E1592" s="36"/>
      <c r="F1592" s="36"/>
      <c r="G1592" s="18"/>
      <c r="H1592" s="30"/>
      <c r="I1592" s="30"/>
      <c r="J1592" s="31"/>
      <c r="K1592" s="36"/>
      <c r="L1592" s="36"/>
      <c r="M1592" s="36"/>
      <c r="N1592" s="36"/>
      <c r="O1592" s="36"/>
      <c r="P1592" s="36"/>
      <c r="Q1592" s="36"/>
    </row>
    <row r="1593" spans="3:17" x14ac:dyDescent="0.25">
      <c r="C1593" s="36"/>
      <c r="D1593" s="36"/>
      <c r="E1593" s="36"/>
      <c r="F1593" s="36"/>
      <c r="G1593" s="18"/>
      <c r="H1593" s="30"/>
      <c r="I1593" s="30"/>
      <c r="J1593" s="31"/>
      <c r="K1593" s="36"/>
      <c r="L1593" s="36"/>
      <c r="M1593" s="36"/>
      <c r="N1593" s="36"/>
      <c r="O1593" s="36"/>
      <c r="P1593" s="36"/>
      <c r="Q1593" s="36"/>
    </row>
    <row r="1594" spans="3:17" x14ac:dyDescent="0.25">
      <c r="C1594" s="36"/>
      <c r="D1594" s="36"/>
      <c r="E1594" s="36"/>
      <c r="F1594" s="36"/>
      <c r="G1594" s="18"/>
      <c r="H1594" s="30"/>
      <c r="I1594" s="30"/>
      <c r="J1594" s="31"/>
      <c r="K1594" s="36"/>
      <c r="L1594" s="36"/>
      <c r="M1594" s="36"/>
      <c r="N1594" s="36"/>
      <c r="O1594" s="36"/>
      <c r="P1594" s="36"/>
      <c r="Q1594" s="36"/>
    </row>
    <row r="1595" spans="3:17" x14ac:dyDescent="0.25">
      <c r="C1595" s="36"/>
      <c r="D1595" s="36"/>
      <c r="E1595" s="36"/>
      <c r="F1595" s="36"/>
      <c r="G1595" s="18"/>
      <c r="H1595" s="30"/>
      <c r="I1595" s="30"/>
      <c r="J1595" s="31"/>
      <c r="K1595" s="36"/>
      <c r="L1595" s="36"/>
      <c r="M1595" s="36"/>
      <c r="N1595" s="36"/>
      <c r="O1595" s="36"/>
      <c r="P1595" s="36"/>
      <c r="Q1595" s="36"/>
    </row>
    <row r="1596" spans="3:17" x14ac:dyDescent="0.25">
      <c r="C1596" s="36"/>
      <c r="D1596" s="36"/>
      <c r="E1596" s="36"/>
      <c r="F1596" s="36"/>
      <c r="G1596" s="18"/>
      <c r="H1596" s="30"/>
      <c r="I1596" s="30"/>
      <c r="J1596" s="31"/>
      <c r="K1596" s="36"/>
      <c r="L1596" s="36"/>
      <c r="M1596" s="36"/>
      <c r="N1596" s="36"/>
      <c r="O1596" s="36"/>
      <c r="P1596" s="36"/>
      <c r="Q1596" s="36"/>
    </row>
    <row r="1597" spans="3:17" x14ac:dyDescent="0.25">
      <c r="C1597" s="36"/>
      <c r="D1597" s="36"/>
      <c r="E1597" s="36"/>
      <c r="F1597" s="36"/>
      <c r="G1597" s="18"/>
      <c r="H1597" s="30"/>
      <c r="I1597" s="30"/>
      <c r="J1597" s="31"/>
      <c r="K1597" s="36"/>
      <c r="L1597" s="36"/>
      <c r="M1597" s="36"/>
      <c r="N1597" s="36"/>
      <c r="O1597" s="36"/>
      <c r="P1597" s="36"/>
      <c r="Q1597" s="36"/>
    </row>
    <row r="1598" spans="3:17" x14ac:dyDescent="0.25">
      <c r="C1598" s="36"/>
      <c r="D1598" s="36"/>
      <c r="E1598" s="36"/>
      <c r="F1598" s="36"/>
      <c r="G1598" s="18"/>
      <c r="H1598" s="30"/>
      <c r="I1598" s="30"/>
      <c r="J1598" s="31"/>
      <c r="K1598" s="36"/>
      <c r="L1598" s="36"/>
      <c r="M1598" s="36"/>
      <c r="N1598" s="36"/>
      <c r="O1598" s="36"/>
      <c r="P1598" s="36"/>
      <c r="Q1598" s="36"/>
    </row>
    <row r="1599" spans="3:17" x14ac:dyDescent="0.25">
      <c r="C1599" s="36"/>
      <c r="D1599" s="36"/>
      <c r="E1599" s="36"/>
      <c r="F1599" s="36"/>
      <c r="G1599" s="18"/>
      <c r="H1599" s="30"/>
      <c r="I1599" s="30"/>
      <c r="J1599" s="31"/>
      <c r="K1599" s="36"/>
      <c r="L1599" s="36"/>
      <c r="M1599" s="36"/>
      <c r="N1599" s="36"/>
      <c r="O1599" s="36"/>
      <c r="P1599" s="36"/>
      <c r="Q1599" s="36"/>
    </row>
    <row r="1600" spans="3:17" x14ac:dyDescent="0.25">
      <c r="C1600" s="36"/>
      <c r="D1600" s="36"/>
      <c r="E1600" s="36"/>
      <c r="F1600" s="36"/>
      <c r="G1600" s="18"/>
      <c r="H1600" s="30"/>
      <c r="I1600" s="30"/>
      <c r="J1600" s="31"/>
      <c r="K1600" s="36"/>
      <c r="L1600" s="36"/>
      <c r="M1600" s="36"/>
      <c r="N1600" s="36"/>
      <c r="O1600" s="36"/>
      <c r="P1600" s="36"/>
      <c r="Q1600" s="36"/>
    </row>
    <row r="1601" spans="3:17" x14ac:dyDescent="0.25">
      <c r="C1601" s="36"/>
      <c r="D1601" s="36"/>
      <c r="E1601" s="36"/>
      <c r="F1601" s="36"/>
      <c r="G1601" s="18"/>
      <c r="H1601" s="30"/>
      <c r="I1601" s="30"/>
      <c r="J1601" s="31"/>
      <c r="K1601" s="36"/>
      <c r="L1601" s="36"/>
      <c r="M1601" s="36"/>
      <c r="N1601" s="36"/>
      <c r="O1601" s="36"/>
      <c r="P1601" s="36"/>
      <c r="Q1601" s="36"/>
    </row>
    <row r="1602" spans="3:17" x14ac:dyDescent="0.25">
      <c r="C1602" s="36"/>
      <c r="D1602" s="36"/>
      <c r="E1602" s="36"/>
      <c r="F1602" s="36"/>
      <c r="G1602" s="18"/>
      <c r="H1602" s="30"/>
      <c r="I1602" s="30"/>
      <c r="J1602" s="31"/>
      <c r="K1602" s="36"/>
      <c r="L1602" s="36"/>
      <c r="M1602" s="36"/>
      <c r="N1602" s="36"/>
      <c r="O1602" s="36"/>
      <c r="P1602" s="36"/>
      <c r="Q1602" s="36"/>
    </row>
    <row r="1603" spans="3:17" x14ac:dyDescent="0.25">
      <c r="C1603" s="36"/>
      <c r="D1603" s="36"/>
      <c r="E1603" s="36"/>
      <c r="F1603" s="36"/>
      <c r="G1603" s="18"/>
      <c r="H1603" s="30"/>
      <c r="I1603" s="30"/>
      <c r="J1603" s="31"/>
      <c r="K1603" s="36"/>
      <c r="L1603" s="36"/>
      <c r="M1603" s="36"/>
      <c r="N1603" s="36"/>
      <c r="O1603" s="36"/>
      <c r="P1603" s="36"/>
      <c r="Q1603" s="36"/>
    </row>
    <row r="1604" spans="3:17" x14ac:dyDescent="0.25">
      <c r="C1604" s="36"/>
      <c r="D1604" s="36"/>
      <c r="E1604" s="36"/>
      <c r="F1604" s="36"/>
      <c r="G1604" s="18"/>
      <c r="H1604" s="30"/>
      <c r="I1604" s="30"/>
      <c r="J1604" s="31"/>
      <c r="K1604" s="36"/>
      <c r="L1604" s="36"/>
      <c r="M1604" s="36"/>
      <c r="N1604" s="36"/>
      <c r="O1604" s="36"/>
      <c r="P1604" s="36"/>
      <c r="Q1604" s="36"/>
    </row>
    <row r="1605" spans="3:17" x14ac:dyDescent="0.25">
      <c r="C1605" s="36"/>
      <c r="D1605" s="36"/>
      <c r="E1605" s="36"/>
      <c r="F1605" s="36"/>
      <c r="G1605" s="18"/>
      <c r="H1605" s="30"/>
      <c r="I1605" s="30"/>
      <c r="J1605" s="31"/>
      <c r="K1605" s="36"/>
      <c r="L1605" s="36"/>
      <c r="M1605" s="36"/>
      <c r="N1605" s="36"/>
      <c r="O1605" s="36"/>
      <c r="P1605" s="36"/>
      <c r="Q1605" s="36"/>
    </row>
    <row r="1606" spans="3:17" x14ac:dyDescent="0.25">
      <c r="C1606" s="36"/>
      <c r="D1606" s="36"/>
      <c r="E1606" s="36"/>
      <c r="F1606" s="36"/>
      <c r="G1606" s="18"/>
      <c r="H1606" s="30"/>
      <c r="I1606" s="30"/>
      <c r="J1606" s="31"/>
      <c r="K1606" s="36"/>
      <c r="L1606" s="36"/>
      <c r="M1606" s="36"/>
      <c r="N1606" s="36"/>
      <c r="O1606" s="36"/>
      <c r="P1606" s="36"/>
      <c r="Q1606" s="36"/>
    </row>
    <row r="1607" spans="3:17" x14ac:dyDescent="0.25">
      <c r="C1607" s="36"/>
      <c r="D1607" s="36"/>
      <c r="E1607" s="36"/>
      <c r="F1607" s="36"/>
      <c r="G1607" s="18"/>
      <c r="H1607" s="30"/>
      <c r="I1607" s="30"/>
      <c r="J1607" s="31"/>
      <c r="K1607" s="36"/>
      <c r="L1607" s="36"/>
      <c r="M1607" s="36"/>
      <c r="N1607" s="36"/>
      <c r="O1607" s="36"/>
      <c r="P1607" s="36"/>
      <c r="Q1607" s="36"/>
    </row>
    <row r="1608" spans="3:17" x14ac:dyDescent="0.25">
      <c r="C1608" s="36"/>
      <c r="D1608" s="36"/>
      <c r="E1608" s="36"/>
      <c r="F1608" s="36"/>
      <c r="G1608" s="18"/>
      <c r="H1608" s="30"/>
      <c r="I1608" s="30"/>
      <c r="J1608" s="31"/>
      <c r="K1608" s="36"/>
      <c r="L1608" s="36"/>
      <c r="M1608" s="36"/>
      <c r="N1608" s="36"/>
      <c r="O1608" s="36"/>
      <c r="P1608" s="36"/>
      <c r="Q1608" s="36"/>
    </row>
    <row r="1609" spans="3:17" x14ac:dyDescent="0.25">
      <c r="C1609" s="36"/>
      <c r="D1609" s="36"/>
      <c r="E1609" s="36"/>
      <c r="F1609" s="36"/>
      <c r="G1609" s="18"/>
      <c r="H1609" s="30"/>
      <c r="I1609" s="30"/>
      <c r="J1609" s="31"/>
      <c r="K1609" s="36"/>
      <c r="L1609" s="36"/>
      <c r="M1609" s="36"/>
      <c r="N1609" s="36"/>
      <c r="O1609" s="36"/>
      <c r="P1609" s="36"/>
      <c r="Q1609" s="36"/>
    </row>
    <row r="1610" spans="3:17" x14ac:dyDescent="0.25">
      <c r="C1610" s="36"/>
      <c r="D1610" s="36"/>
      <c r="E1610" s="36"/>
      <c r="F1610" s="36"/>
      <c r="G1610" s="18"/>
      <c r="H1610" s="30"/>
      <c r="I1610" s="30"/>
      <c r="J1610" s="31"/>
      <c r="K1610" s="36"/>
      <c r="L1610" s="36"/>
      <c r="M1610" s="36"/>
      <c r="N1610" s="36"/>
      <c r="O1610" s="36"/>
      <c r="P1610" s="36"/>
      <c r="Q1610" s="36"/>
    </row>
    <row r="1611" spans="3:17" x14ac:dyDescent="0.25">
      <c r="C1611" s="36"/>
      <c r="D1611" s="36"/>
      <c r="E1611" s="36"/>
      <c r="F1611" s="36"/>
      <c r="G1611" s="18"/>
      <c r="H1611" s="30"/>
      <c r="I1611" s="30"/>
      <c r="J1611" s="31"/>
      <c r="K1611" s="36"/>
      <c r="L1611" s="36"/>
      <c r="M1611" s="36"/>
      <c r="N1611" s="36"/>
      <c r="O1611" s="36"/>
      <c r="P1611" s="36"/>
      <c r="Q1611" s="36"/>
    </row>
    <row r="1612" spans="3:17" x14ac:dyDescent="0.25">
      <c r="C1612" s="36"/>
      <c r="D1612" s="36"/>
      <c r="E1612" s="36"/>
      <c r="F1612" s="36"/>
      <c r="G1612" s="18"/>
      <c r="H1612" s="30"/>
      <c r="I1612" s="30"/>
      <c r="J1612" s="31"/>
      <c r="K1612" s="36"/>
      <c r="L1612" s="36"/>
      <c r="M1612" s="36"/>
      <c r="N1612" s="36"/>
      <c r="O1612" s="36"/>
      <c r="P1612" s="36"/>
      <c r="Q1612" s="36"/>
    </row>
    <row r="1613" spans="3:17" x14ac:dyDescent="0.25">
      <c r="C1613" s="36"/>
      <c r="D1613" s="36"/>
      <c r="E1613" s="36"/>
      <c r="F1613" s="36"/>
      <c r="G1613" s="18"/>
      <c r="H1613" s="30"/>
      <c r="I1613" s="30"/>
      <c r="J1613" s="31"/>
      <c r="K1613" s="36"/>
      <c r="L1613" s="36"/>
      <c r="M1613" s="36"/>
      <c r="N1613" s="36"/>
      <c r="O1613" s="36"/>
      <c r="P1613" s="36"/>
      <c r="Q1613" s="36"/>
    </row>
    <row r="1614" spans="3:17" x14ac:dyDescent="0.25">
      <c r="C1614" s="36"/>
      <c r="D1614" s="36"/>
      <c r="E1614" s="36"/>
      <c r="F1614" s="36"/>
      <c r="G1614" s="18"/>
      <c r="H1614" s="30"/>
      <c r="I1614" s="30"/>
      <c r="J1614" s="31"/>
      <c r="K1614" s="36"/>
      <c r="L1614" s="36"/>
      <c r="M1614" s="36"/>
      <c r="N1614" s="36"/>
      <c r="O1614" s="36"/>
      <c r="P1614" s="36"/>
      <c r="Q1614" s="36"/>
    </row>
    <row r="1615" spans="3:17" x14ac:dyDescent="0.25">
      <c r="C1615" s="36"/>
      <c r="D1615" s="36"/>
      <c r="E1615" s="36"/>
      <c r="F1615" s="36"/>
      <c r="G1615" s="18"/>
      <c r="H1615" s="30"/>
      <c r="I1615" s="30"/>
      <c r="J1615" s="31"/>
      <c r="K1615" s="36"/>
      <c r="L1615" s="36"/>
      <c r="M1615" s="36"/>
      <c r="N1615" s="36"/>
      <c r="O1615" s="36"/>
      <c r="P1615" s="36"/>
      <c r="Q1615" s="36"/>
    </row>
    <row r="1616" spans="3:17" x14ac:dyDescent="0.25">
      <c r="C1616" s="36"/>
      <c r="D1616" s="36"/>
      <c r="E1616" s="36"/>
      <c r="F1616" s="36"/>
      <c r="G1616" s="18"/>
      <c r="H1616" s="30"/>
      <c r="I1616" s="30"/>
      <c r="J1616" s="31"/>
      <c r="K1616" s="36"/>
      <c r="L1616" s="36"/>
      <c r="M1616" s="36"/>
      <c r="N1616" s="36"/>
      <c r="O1616" s="36"/>
      <c r="P1616" s="36"/>
      <c r="Q1616" s="36"/>
    </row>
    <row r="1617" spans="3:17" x14ac:dyDescent="0.25">
      <c r="C1617" s="36"/>
      <c r="D1617" s="36"/>
      <c r="E1617" s="36"/>
      <c r="F1617" s="36"/>
      <c r="G1617" s="18"/>
      <c r="H1617" s="30"/>
      <c r="I1617" s="30"/>
      <c r="J1617" s="31"/>
      <c r="K1617" s="36"/>
      <c r="L1617" s="36"/>
      <c r="M1617" s="36"/>
      <c r="N1617" s="36"/>
      <c r="O1617" s="36"/>
      <c r="P1617" s="36"/>
      <c r="Q1617" s="36"/>
    </row>
    <row r="1618" spans="3:17" x14ac:dyDescent="0.25">
      <c r="C1618" s="36"/>
      <c r="D1618" s="36"/>
      <c r="E1618" s="36"/>
      <c r="F1618" s="36"/>
      <c r="G1618" s="18"/>
      <c r="H1618" s="30"/>
      <c r="I1618" s="30"/>
      <c r="J1618" s="31"/>
      <c r="K1618" s="36"/>
      <c r="L1618" s="36"/>
      <c r="M1618" s="36"/>
      <c r="N1618" s="36"/>
      <c r="O1618" s="36"/>
      <c r="P1618" s="36"/>
      <c r="Q1618" s="36"/>
    </row>
    <row r="1619" spans="3:17" x14ac:dyDescent="0.25">
      <c r="C1619" s="36"/>
      <c r="D1619" s="36"/>
      <c r="E1619" s="36"/>
      <c r="F1619" s="36"/>
      <c r="G1619" s="18"/>
      <c r="H1619" s="30"/>
      <c r="I1619" s="30"/>
      <c r="J1619" s="31"/>
      <c r="K1619" s="36"/>
      <c r="L1619" s="36"/>
      <c r="M1619" s="36"/>
      <c r="N1619" s="36"/>
      <c r="O1619" s="36"/>
      <c r="P1619" s="36"/>
      <c r="Q1619" s="36"/>
    </row>
    <row r="1620" spans="3:17" x14ac:dyDescent="0.25">
      <c r="C1620" s="36"/>
      <c r="D1620" s="36"/>
      <c r="E1620" s="36"/>
      <c r="F1620" s="36"/>
      <c r="G1620" s="18"/>
      <c r="H1620" s="30"/>
      <c r="I1620" s="30"/>
      <c r="J1620" s="31"/>
      <c r="K1620" s="36"/>
      <c r="L1620" s="36"/>
      <c r="M1620" s="36"/>
      <c r="N1620" s="36"/>
      <c r="O1620" s="36"/>
      <c r="P1620" s="36"/>
      <c r="Q1620" s="36"/>
    </row>
    <row r="1621" spans="3:17" x14ac:dyDescent="0.25">
      <c r="C1621" s="36"/>
      <c r="D1621" s="36"/>
      <c r="E1621" s="36"/>
      <c r="F1621" s="36"/>
      <c r="G1621" s="18"/>
      <c r="H1621" s="30"/>
      <c r="I1621" s="30"/>
      <c r="J1621" s="31"/>
      <c r="K1621" s="36"/>
      <c r="L1621" s="36"/>
      <c r="M1621" s="36"/>
      <c r="N1621" s="36"/>
      <c r="O1621" s="36"/>
      <c r="P1621" s="36"/>
      <c r="Q1621" s="36"/>
    </row>
    <row r="1622" spans="3:17" x14ac:dyDescent="0.25">
      <c r="C1622" s="36"/>
      <c r="D1622" s="36"/>
      <c r="E1622" s="36"/>
      <c r="F1622" s="36"/>
      <c r="G1622" s="18"/>
      <c r="H1622" s="30"/>
      <c r="I1622" s="30"/>
      <c r="J1622" s="31"/>
      <c r="K1622" s="36"/>
      <c r="L1622" s="36"/>
      <c r="M1622" s="36"/>
      <c r="N1622" s="36"/>
      <c r="O1622" s="36"/>
      <c r="P1622" s="36"/>
      <c r="Q1622" s="36"/>
    </row>
    <row r="1623" spans="3:17" x14ac:dyDescent="0.25">
      <c r="C1623" s="36"/>
      <c r="D1623" s="36"/>
      <c r="E1623" s="36"/>
      <c r="F1623" s="36"/>
      <c r="G1623" s="18"/>
      <c r="H1623" s="30"/>
      <c r="I1623" s="30"/>
      <c r="J1623" s="31"/>
      <c r="K1623" s="36"/>
      <c r="L1623" s="36"/>
      <c r="M1623" s="36"/>
      <c r="N1623" s="36"/>
      <c r="O1623" s="36"/>
      <c r="P1623" s="36"/>
      <c r="Q1623" s="36"/>
    </row>
    <row r="1624" spans="3:17" x14ac:dyDescent="0.25">
      <c r="C1624" s="36"/>
      <c r="D1624" s="36"/>
      <c r="E1624" s="36"/>
      <c r="F1624" s="36"/>
      <c r="G1624" s="18"/>
      <c r="H1624" s="30"/>
      <c r="I1624" s="30"/>
      <c r="J1624" s="31"/>
      <c r="K1624" s="36"/>
      <c r="L1624" s="36"/>
      <c r="M1624" s="36"/>
      <c r="N1624" s="36"/>
      <c r="O1624" s="36"/>
      <c r="P1624" s="36"/>
      <c r="Q1624" s="36"/>
    </row>
    <row r="1625" spans="3:17" x14ac:dyDescent="0.25">
      <c r="C1625" s="36"/>
      <c r="D1625" s="36"/>
      <c r="E1625" s="36"/>
      <c r="F1625" s="36"/>
      <c r="G1625" s="18"/>
      <c r="H1625" s="30"/>
      <c r="I1625" s="30"/>
      <c r="J1625" s="31"/>
      <c r="K1625" s="36"/>
      <c r="L1625" s="36"/>
      <c r="M1625" s="36"/>
      <c r="N1625" s="36"/>
      <c r="O1625" s="36"/>
      <c r="P1625" s="36"/>
      <c r="Q1625" s="36"/>
    </row>
    <row r="1626" spans="3:17" x14ac:dyDescent="0.25">
      <c r="C1626" s="36"/>
      <c r="D1626" s="36"/>
      <c r="E1626" s="36"/>
      <c r="F1626" s="36"/>
      <c r="G1626" s="18"/>
      <c r="H1626" s="30"/>
      <c r="I1626" s="30"/>
      <c r="J1626" s="31"/>
      <c r="K1626" s="36"/>
      <c r="L1626" s="36"/>
      <c r="M1626" s="36"/>
      <c r="N1626" s="36"/>
      <c r="O1626" s="36"/>
      <c r="P1626" s="36"/>
      <c r="Q1626" s="36"/>
    </row>
    <row r="1627" spans="3:17" x14ac:dyDescent="0.25">
      <c r="C1627" s="36"/>
      <c r="D1627" s="36"/>
      <c r="E1627" s="36"/>
      <c r="F1627" s="36"/>
      <c r="G1627" s="18"/>
      <c r="H1627" s="30"/>
      <c r="I1627" s="30"/>
      <c r="J1627" s="31"/>
      <c r="K1627" s="36"/>
      <c r="L1627" s="36"/>
      <c r="M1627" s="36"/>
      <c r="N1627" s="36"/>
      <c r="O1627" s="36"/>
      <c r="P1627" s="36"/>
      <c r="Q1627" s="36"/>
    </row>
    <row r="1628" spans="3:17" x14ac:dyDescent="0.25">
      <c r="C1628" s="36"/>
      <c r="D1628" s="36"/>
      <c r="E1628" s="36"/>
      <c r="F1628" s="36"/>
      <c r="G1628" s="18"/>
      <c r="H1628" s="30"/>
      <c r="I1628" s="30"/>
      <c r="J1628" s="31"/>
      <c r="K1628" s="36"/>
      <c r="L1628" s="36"/>
      <c r="M1628" s="36"/>
      <c r="N1628" s="36"/>
      <c r="O1628" s="36"/>
      <c r="P1628" s="36"/>
      <c r="Q1628" s="36"/>
    </row>
    <row r="1629" spans="3:17" x14ac:dyDescent="0.25">
      <c r="C1629" s="36"/>
      <c r="D1629" s="36"/>
      <c r="E1629" s="36"/>
      <c r="F1629" s="36"/>
      <c r="G1629" s="18"/>
      <c r="H1629" s="30"/>
      <c r="I1629" s="30"/>
      <c r="J1629" s="31"/>
      <c r="K1629" s="36"/>
      <c r="L1629" s="36"/>
      <c r="M1629" s="36"/>
      <c r="N1629" s="36"/>
      <c r="O1629" s="36"/>
      <c r="P1629" s="36"/>
      <c r="Q1629" s="36"/>
    </row>
    <row r="1630" spans="3:17" x14ac:dyDescent="0.25">
      <c r="C1630" s="36"/>
      <c r="D1630" s="36"/>
      <c r="E1630" s="36"/>
      <c r="F1630" s="36"/>
      <c r="G1630" s="18"/>
      <c r="H1630" s="30"/>
      <c r="I1630" s="30"/>
      <c r="J1630" s="31"/>
      <c r="K1630" s="36"/>
      <c r="L1630" s="36"/>
      <c r="M1630" s="36"/>
      <c r="N1630" s="36"/>
      <c r="O1630" s="36"/>
      <c r="P1630" s="36"/>
      <c r="Q1630" s="36"/>
    </row>
    <row r="1631" spans="3:17" x14ac:dyDescent="0.25">
      <c r="C1631" s="36"/>
      <c r="D1631" s="36"/>
      <c r="E1631" s="36"/>
      <c r="F1631" s="36"/>
      <c r="G1631" s="18"/>
      <c r="H1631" s="30"/>
      <c r="I1631" s="30"/>
      <c r="J1631" s="31"/>
      <c r="K1631" s="36"/>
      <c r="L1631" s="36"/>
      <c r="M1631" s="36"/>
      <c r="N1631" s="36"/>
      <c r="O1631" s="36"/>
      <c r="P1631" s="36"/>
      <c r="Q1631" s="36"/>
    </row>
    <row r="1632" spans="3:17" x14ac:dyDescent="0.25">
      <c r="C1632" s="36"/>
      <c r="D1632" s="36"/>
      <c r="E1632" s="36"/>
      <c r="F1632" s="36"/>
      <c r="G1632" s="18"/>
      <c r="H1632" s="30"/>
      <c r="I1632" s="30"/>
      <c r="J1632" s="31"/>
      <c r="K1632" s="36"/>
      <c r="L1632" s="36"/>
      <c r="M1632" s="36"/>
      <c r="N1632" s="36"/>
      <c r="O1632" s="36"/>
      <c r="P1632" s="36"/>
      <c r="Q1632" s="36"/>
    </row>
    <row r="1633" spans="3:17" x14ac:dyDescent="0.25">
      <c r="C1633" s="36"/>
      <c r="D1633" s="36"/>
      <c r="E1633" s="36"/>
      <c r="F1633" s="36"/>
      <c r="G1633" s="18"/>
      <c r="H1633" s="30"/>
      <c r="I1633" s="30"/>
      <c r="J1633" s="31"/>
      <c r="K1633" s="36"/>
      <c r="L1633" s="36"/>
      <c r="M1633" s="36"/>
      <c r="N1633" s="36"/>
      <c r="O1633" s="36"/>
      <c r="P1633" s="36"/>
      <c r="Q1633" s="36"/>
    </row>
    <row r="1634" spans="3:17" x14ac:dyDescent="0.25">
      <c r="C1634" s="36"/>
      <c r="D1634" s="36"/>
      <c r="E1634" s="36"/>
      <c r="F1634" s="36"/>
      <c r="G1634" s="18"/>
      <c r="H1634" s="30"/>
      <c r="I1634" s="30"/>
      <c r="J1634" s="31"/>
      <c r="K1634" s="36"/>
      <c r="L1634" s="36"/>
      <c r="M1634" s="36"/>
      <c r="N1634" s="36"/>
      <c r="O1634" s="36"/>
      <c r="P1634" s="36"/>
      <c r="Q1634" s="36"/>
    </row>
    <row r="1635" spans="3:17" x14ac:dyDescent="0.25">
      <c r="C1635" s="36"/>
      <c r="D1635" s="36"/>
      <c r="E1635" s="36"/>
      <c r="F1635" s="36"/>
      <c r="G1635" s="18"/>
      <c r="H1635" s="30"/>
      <c r="I1635" s="30"/>
      <c r="J1635" s="31"/>
      <c r="K1635" s="36"/>
      <c r="L1635" s="36"/>
      <c r="M1635" s="36"/>
      <c r="N1635" s="36"/>
      <c r="O1635" s="36"/>
      <c r="P1635" s="36"/>
      <c r="Q1635" s="36"/>
    </row>
    <row r="1636" spans="3:17" x14ac:dyDescent="0.25">
      <c r="C1636" s="36"/>
      <c r="D1636" s="36"/>
      <c r="E1636" s="36"/>
      <c r="F1636" s="36"/>
      <c r="G1636" s="18"/>
      <c r="H1636" s="30"/>
      <c r="I1636" s="30"/>
      <c r="J1636" s="31"/>
      <c r="K1636" s="36"/>
      <c r="L1636" s="36"/>
      <c r="M1636" s="36"/>
      <c r="N1636" s="36"/>
      <c r="O1636" s="36"/>
      <c r="P1636" s="36"/>
      <c r="Q1636" s="36"/>
    </row>
    <row r="1637" spans="3:17" x14ac:dyDescent="0.25">
      <c r="C1637" s="36"/>
      <c r="D1637" s="36"/>
      <c r="E1637" s="36"/>
      <c r="F1637" s="36"/>
      <c r="G1637" s="18"/>
      <c r="H1637" s="30"/>
      <c r="I1637" s="30"/>
      <c r="J1637" s="31"/>
      <c r="K1637" s="36"/>
      <c r="L1637" s="36"/>
      <c r="M1637" s="36"/>
      <c r="N1637" s="36"/>
      <c r="O1637" s="36"/>
      <c r="P1637" s="36"/>
      <c r="Q1637" s="36"/>
    </row>
    <row r="1638" spans="3:17" x14ac:dyDescent="0.25">
      <c r="C1638" s="36"/>
      <c r="D1638" s="36"/>
      <c r="E1638" s="36"/>
      <c r="F1638" s="36"/>
      <c r="G1638" s="18"/>
      <c r="H1638" s="30"/>
      <c r="I1638" s="30"/>
      <c r="J1638" s="31"/>
      <c r="K1638" s="36"/>
      <c r="L1638" s="36"/>
      <c r="M1638" s="36"/>
      <c r="N1638" s="36"/>
      <c r="O1638" s="36"/>
      <c r="P1638" s="36"/>
      <c r="Q1638" s="36"/>
    </row>
    <row r="1639" spans="3:17" x14ac:dyDescent="0.25">
      <c r="C1639" s="36"/>
      <c r="D1639" s="36"/>
      <c r="E1639" s="36"/>
      <c r="F1639" s="36"/>
      <c r="G1639" s="18"/>
      <c r="H1639" s="30"/>
      <c r="I1639" s="30"/>
      <c r="J1639" s="31"/>
      <c r="K1639" s="36"/>
      <c r="L1639" s="36"/>
      <c r="M1639" s="36"/>
      <c r="N1639" s="36"/>
      <c r="O1639" s="36"/>
      <c r="P1639" s="36"/>
      <c r="Q1639" s="36"/>
    </row>
    <row r="1640" spans="3:17" x14ac:dyDescent="0.25">
      <c r="C1640" s="36"/>
      <c r="D1640" s="36"/>
      <c r="E1640" s="36"/>
      <c r="F1640" s="36"/>
      <c r="G1640" s="18"/>
      <c r="H1640" s="30"/>
      <c r="I1640" s="30"/>
      <c r="J1640" s="31"/>
      <c r="K1640" s="36"/>
      <c r="L1640" s="36"/>
      <c r="M1640" s="36"/>
      <c r="N1640" s="36"/>
      <c r="O1640" s="36"/>
      <c r="P1640" s="36"/>
      <c r="Q1640" s="36"/>
    </row>
    <row r="1641" spans="3:17" x14ac:dyDescent="0.25">
      <c r="C1641" s="36"/>
      <c r="D1641" s="36"/>
      <c r="E1641" s="36"/>
      <c r="F1641" s="36"/>
      <c r="G1641" s="18"/>
      <c r="H1641" s="30"/>
      <c r="I1641" s="30"/>
      <c r="J1641" s="31"/>
      <c r="K1641" s="36"/>
      <c r="L1641" s="36"/>
      <c r="M1641" s="36"/>
      <c r="N1641" s="36"/>
      <c r="O1641" s="36"/>
      <c r="P1641" s="36"/>
      <c r="Q1641" s="36"/>
    </row>
    <row r="1642" spans="3:17" x14ac:dyDescent="0.25">
      <c r="C1642" s="36"/>
      <c r="D1642" s="36"/>
      <c r="E1642" s="36"/>
      <c r="F1642" s="36"/>
      <c r="G1642" s="18"/>
      <c r="H1642" s="30"/>
      <c r="I1642" s="30"/>
      <c r="J1642" s="31"/>
      <c r="K1642" s="36"/>
      <c r="L1642" s="36"/>
      <c r="M1642" s="36"/>
      <c r="N1642" s="36"/>
      <c r="O1642" s="36"/>
      <c r="P1642" s="36"/>
      <c r="Q1642" s="36"/>
    </row>
    <row r="1643" spans="3:17" x14ac:dyDescent="0.25">
      <c r="C1643" s="36"/>
      <c r="D1643" s="36"/>
      <c r="E1643" s="36"/>
      <c r="F1643" s="36"/>
      <c r="G1643" s="36"/>
      <c r="H1643" s="30"/>
      <c r="I1643" s="30"/>
      <c r="J1643" s="36"/>
      <c r="K1643" s="36"/>
      <c r="L1643" s="36"/>
      <c r="M1643" s="36"/>
      <c r="N1643" s="36"/>
      <c r="O1643" s="36"/>
      <c r="P1643" s="36"/>
      <c r="Q1643" s="36"/>
    </row>
    <row r="1644" spans="3:17" x14ac:dyDescent="0.25">
      <c r="C1644" s="36"/>
      <c r="D1644" s="36"/>
      <c r="E1644" s="36"/>
      <c r="F1644" s="36"/>
      <c r="G1644" s="36"/>
      <c r="H1644" s="30"/>
      <c r="I1644" s="30"/>
      <c r="J1644" s="36"/>
      <c r="K1644" s="36"/>
      <c r="L1644" s="36"/>
      <c r="M1644" s="36"/>
      <c r="N1644" s="36"/>
      <c r="O1644" s="36"/>
      <c r="P1644" s="36"/>
      <c r="Q1644" s="36"/>
    </row>
    <row r="1645" spans="3:17" x14ac:dyDescent="0.25">
      <c r="C1645" s="36"/>
      <c r="D1645" s="36"/>
      <c r="E1645" s="36"/>
      <c r="F1645" s="36"/>
      <c r="G1645" s="36"/>
      <c r="H1645" s="30"/>
      <c r="I1645" s="30"/>
      <c r="J1645" s="36"/>
      <c r="K1645" s="36"/>
      <c r="L1645" s="36"/>
      <c r="M1645" s="36"/>
      <c r="N1645" s="36"/>
      <c r="O1645" s="36"/>
      <c r="P1645" s="36"/>
      <c r="Q1645" s="36"/>
    </row>
    <row r="1646" spans="3:17" x14ac:dyDescent="0.25">
      <c r="C1646" s="36"/>
      <c r="D1646" s="36"/>
      <c r="E1646" s="36"/>
      <c r="F1646" s="36"/>
      <c r="G1646" s="36"/>
      <c r="H1646" s="30"/>
      <c r="I1646" s="30"/>
      <c r="J1646" s="36"/>
      <c r="K1646" s="36"/>
      <c r="L1646" s="36"/>
      <c r="M1646" s="36"/>
      <c r="N1646" s="36"/>
      <c r="O1646" s="36"/>
      <c r="P1646" s="36"/>
      <c r="Q1646" s="36"/>
    </row>
    <row r="1647" spans="3:17" x14ac:dyDescent="0.25">
      <c r="C1647" s="36"/>
      <c r="D1647" s="36"/>
      <c r="E1647" s="36"/>
      <c r="F1647" s="36"/>
      <c r="G1647" s="36"/>
      <c r="H1647" s="30"/>
      <c r="I1647" s="30"/>
      <c r="J1647" s="36"/>
      <c r="K1647" s="36"/>
      <c r="L1647" s="36"/>
      <c r="M1647" s="36"/>
      <c r="N1647" s="36"/>
      <c r="O1647" s="36"/>
      <c r="P1647" s="36"/>
      <c r="Q1647" s="36"/>
    </row>
    <row r="1648" spans="3:17" x14ac:dyDescent="0.25">
      <c r="C1648" s="36"/>
      <c r="D1648" s="36"/>
      <c r="E1648" s="36"/>
      <c r="F1648" s="36"/>
      <c r="G1648" s="36"/>
      <c r="H1648" s="30"/>
      <c r="I1648" s="30"/>
      <c r="J1648" s="36"/>
      <c r="K1648" s="36"/>
      <c r="L1648" s="36"/>
      <c r="M1648" s="36"/>
      <c r="N1648" s="36"/>
      <c r="O1648" s="36"/>
      <c r="P1648" s="36"/>
      <c r="Q1648" s="36"/>
    </row>
    <row r="1649" spans="3:17" x14ac:dyDescent="0.25">
      <c r="C1649" s="36"/>
      <c r="D1649" s="36"/>
      <c r="E1649" s="36"/>
      <c r="F1649" s="36"/>
      <c r="G1649" s="36"/>
      <c r="H1649" s="30"/>
      <c r="I1649" s="30"/>
      <c r="J1649" s="36"/>
      <c r="K1649" s="36"/>
      <c r="L1649" s="36"/>
      <c r="M1649" s="36"/>
      <c r="N1649" s="36"/>
      <c r="O1649" s="36"/>
      <c r="P1649" s="36"/>
      <c r="Q1649" s="36"/>
    </row>
    <row r="1650" spans="3:17" x14ac:dyDescent="0.25">
      <c r="C1650" s="36"/>
      <c r="D1650" s="36"/>
      <c r="E1650" s="36"/>
      <c r="F1650" s="36"/>
      <c r="G1650" s="36"/>
      <c r="H1650" s="30"/>
      <c r="I1650" s="30"/>
      <c r="J1650" s="36"/>
      <c r="K1650" s="36"/>
      <c r="L1650" s="36"/>
      <c r="M1650" s="36"/>
      <c r="N1650" s="36"/>
      <c r="O1650" s="36"/>
      <c r="P1650" s="36"/>
      <c r="Q1650" s="36"/>
    </row>
    <row r="1651" spans="3:17" x14ac:dyDescent="0.25">
      <c r="C1651" s="36"/>
      <c r="D1651" s="36"/>
      <c r="E1651" s="36"/>
      <c r="F1651" s="36"/>
      <c r="G1651" s="36"/>
      <c r="H1651" s="30"/>
      <c r="I1651" s="30"/>
      <c r="J1651" s="36"/>
      <c r="K1651" s="36"/>
      <c r="L1651" s="36"/>
      <c r="M1651" s="36"/>
      <c r="N1651" s="36"/>
      <c r="O1651" s="36"/>
      <c r="P1651" s="36"/>
      <c r="Q1651" s="36"/>
    </row>
    <row r="1652" spans="3:17" x14ac:dyDescent="0.25">
      <c r="C1652" s="36"/>
      <c r="D1652" s="36"/>
      <c r="E1652" s="36"/>
      <c r="F1652" s="36"/>
      <c r="G1652" s="36"/>
      <c r="H1652" s="30"/>
      <c r="I1652" s="30"/>
      <c r="J1652" s="36"/>
      <c r="K1652" s="36"/>
      <c r="L1652" s="36"/>
      <c r="M1652" s="36"/>
      <c r="N1652" s="36"/>
      <c r="O1652" s="36"/>
      <c r="P1652" s="36"/>
      <c r="Q1652" s="36"/>
    </row>
    <row r="1653" spans="3:17" x14ac:dyDescent="0.25">
      <c r="C1653" s="36"/>
      <c r="D1653" s="36"/>
      <c r="E1653" s="36"/>
      <c r="F1653" s="36"/>
      <c r="G1653" s="36"/>
      <c r="H1653" s="30"/>
      <c r="I1653" s="30"/>
      <c r="J1653" s="36"/>
      <c r="K1653" s="36"/>
      <c r="L1653" s="36"/>
      <c r="M1653" s="36"/>
      <c r="N1653" s="36"/>
      <c r="O1653" s="36"/>
      <c r="P1653" s="36"/>
      <c r="Q1653" s="36"/>
    </row>
    <row r="1654" spans="3:17" x14ac:dyDescent="0.25">
      <c r="C1654" s="36"/>
      <c r="D1654" s="36"/>
      <c r="E1654" s="36"/>
      <c r="F1654" s="36"/>
      <c r="G1654" s="36"/>
      <c r="H1654" s="30"/>
      <c r="I1654" s="30"/>
      <c r="J1654" s="36"/>
      <c r="K1654" s="36"/>
      <c r="L1654" s="36"/>
      <c r="M1654" s="36"/>
      <c r="N1654" s="36"/>
      <c r="O1654" s="36"/>
      <c r="P1654" s="36"/>
      <c r="Q1654" s="36"/>
    </row>
    <row r="1655" spans="3:17" x14ac:dyDescent="0.25">
      <c r="C1655" s="36"/>
      <c r="D1655" s="36"/>
      <c r="E1655" s="36"/>
      <c r="F1655" s="36"/>
      <c r="G1655" s="36"/>
      <c r="H1655" s="30"/>
      <c r="I1655" s="30"/>
      <c r="J1655" s="36"/>
      <c r="K1655" s="36"/>
      <c r="L1655" s="36"/>
      <c r="M1655" s="36"/>
      <c r="N1655" s="36"/>
      <c r="O1655" s="36"/>
      <c r="P1655" s="36"/>
      <c r="Q1655" s="36"/>
    </row>
    <row r="1656" spans="3:17" x14ac:dyDescent="0.25">
      <c r="C1656" s="36"/>
      <c r="D1656" s="36"/>
      <c r="E1656" s="36"/>
      <c r="F1656" s="36"/>
      <c r="G1656" s="36"/>
      <c r="H1656" s="30"/>
      <c r="I1656" s="30"/>
      <c r="J1656" s="36"/>
      <c r="K1656" s="36"/>
      <c r="L1656" s="36"/>
      <c r="M1656" s="36"/>
      <c r="N1656" s="36"/>
      <c r="O1656" s="36"/>
      <c r="P1656" s="36"/>
      <c r="Q1656" s="36"/>
    </row>
    <row r="1657" spans="3:17" x14ac:dyDescent="0.25">
      <c r="C1657" s="36"/>
      <c r="D1657" s="36"/>
      <c r="E1657" s="36"/>
      <c r="F1657" s="36"/>
      <c r="G1657" s="36"/>
      <c r="H1657" s="30"/>
      <c r="I1657" s="30"/>
      <c r="J1657" s="36"/>
      <c r="K1657" s="36"/>
      <c r="L1657" s="36"/>
      <c r="M1657" s="36"/>
      <c r="N1657" s="36"/>
      <c r="O1657" s="36"/>
      <c r="P1657" s="36"/>
      <c r="Q1657" s="36"/>
    </row>
    <row r="1658" spans="3:17" x14ac:dyDescent="0.25">
      <c r="C1658" s="36"/>
      <c r="D1658" s="36"/>
      <c r="E1658" s="36"/>
      <c r="F1658" s="36"/>
      <c r="G1658" s="36"/>
      <c r="H1658" s="30"/>
      <c r="I1658" s="30"/>
      <c r="J1658" s="36"/>
      <c r="K1658" s="36"/>
      <c r="L1658" s="36"/>
      <c r="M1658" s="36"/>
      <c r="N1658" s="36"/>
      <c r="O1658" s="36"/>
      <c r="P1658" s="36"/>
      <c r="Q1658" s="36"/>
    </row>
    <row r="1659" spans="3:17" x14ac:dyDescent="0.25">
      <c r="C1659" s="36"/>
      <c r="D1659" s="36"/>
      <c r="E1659" s="36"/>
      <c r="F1659" s="36"/>
      <c r="G1659" s="36"/>
      <c r="H1659" s="30"/>
      <c r="I1659" s="30"/>
      <c r="J1659" s="36"/>
      <c r="K1659" s="36"/>
      <c r="L1659" s="36"/>
      <c r="M1659" s="36"/>
      <c r="N1659" s="36"/>
      <c r="O1659" s="36"/>
      <c r="P1659" s="36"/>
      <c r="Q1659" s="36"/>
    </row>
    <row r="1660" spans="3:17" x14ac:dyDescent="0.25">
      <c r="C1660" s="36"/>
      <c r="D1660" s="36"/>
      <c r="E1660" s="36"/>
      <c r="F1660" s="36"/>
      <c r="G1660" s="36"/>
      <c r="H1660" s="30"/>
      <c r="I1660" s="30"/>
      <c r="J1660" s="36"/>
      <c r="K1660" s="36"/>
      <c r="L1660" s="36"/>
      <c r="M1660" s="36"/>
      <c r="N1660" s="36"/>
      <c r="O1660" s="36"/>
      <c r="P1660" s="36"/>
      <c r="Q1660" s="36"/>
    </row>
    <row r="1661" spans="3:17" x14ac:dyDescent="0.25">
      <c r="C1661" s="36"/>
      <c r="D1661" s="36"/>
      <c r="E1661" s="36"/>
      <c r="F1661" s="36"/>
      <c r="G1661" s="36"/>
      <c r="H1661" s="30"/>
      <c r="I1661" s="30"/>
      <c r="J1661" s="36"/>
      <c r="K1661" s="36"/>
      <c r="L1661" s="36"/>
      <c r="M1661" s="36"/>
      <c r="N1661" s="36"/>
      <c r="O1661" s="36"/>
      <c r="P1661" s="36"/>
      <c r="Q1661" s="36"/>
    </row>
    <row r="1662" spans="3:17" x14ac:dyDescent="0.25">
      <c r="C1662" s="36"/>
      <c r="D1662" s="36"/>
      <c r="E1662" s="36"/>
      <c r="F1662" s="36"/>
      <c r="G1662" s="36"/>
      <c r="H1662" s="30"/>
      <c r="I1662" s="30"/>
      <c r="J1662" s="36"/>
      <c r="K1662" s="36"/>
      <c r="L1662" s="36"/>
      <c r="M1662" s="36"/>
      <c r="N1662" s="36"/>
      <c r="O1662" s="36"/>
      <c r="P1662" s="36"/>
      <c r="Q1662" s="36"/>
    </row>
    <row r="1663" spans="3:17" x14ac:dyDescent="0.25">
      <c r="C1663" s="36"/>
      <c r="D1663" s="36"/>
      <c r="E1663" s="36"/>
      <c r="F1663" s="36"/>
      <c r="G1663" s="36"/>
      <c r="H1663" s="30"/>
      <c r="I1663" s="30"/>
      <c r="J1663" s="36"/>
      <c r="K1663" s="36"/>
      <c r="L1663" s="36"/>
      <c r="M1663" s="36"/>
      <c r="N1663" s="36"/>
      <c r="O1663" s="36"/>
      <c r="P1663" s="36"/>
      <c r="Q1663" s="36"/>
    </row>
    <row r="1664" spans="3:17" x14ac:dyDescent="0.25">
      <c r="C1664" s="36"/>
      <c r="D1664" s="36"/>
      <c r="E1664" s="36"/>
      <c r="F1664" s="36"/>
      <c r="G1664" s="36"/>
      <c r="H1664" s="30"/>
      <c r="I1664" s="30"/>
      <c r="J1664" s="36"/>
      <c r="K1664" s="36"/>
      <c r="L1664" s="36"/>
      <c r="M1664" s="36"/>
      <c r="N1664" s="36"/>
      <c r="O1664" s="36"/>
      <c r="P1664" s="36"/>
      <c r="Q1664" s="36"/>
    </row>
    <row r="1665" spans="3:17" x14ac:dyDescent="0.25">
      <c r="C1665" s="36"/>
      <c r="D1665" s="36"/>
      <c r="E1665" s="36"/>
      <c r="F1665" s="36"/>
      <c r="G1665" s="36"/>
      <c r="H1665" s="30"/>
      <c r="I1665" s="30"/>
      <c r="J1665" s="36"/>
      <c r="K1665" s="36"/>
      <c r="L1665" s="36"/>
      <c r="M1665" s="36"/>
      <c r="N1665" s="36"/>
      <c r="O1665" s="36"/>
      <c r="P1665" s="36"/>
      <c r="Q1665" s="36"/>
    </row>
    <row r="1666" spans="3:17" x14ac:dyDescent="0.25">
      <c r="C1666" s="36"/>
      <c r="D1666" s="36"/>
      <c r="E1666" s="36"/>
      <c r="F1666" s="36"/>
      <c r="G1666" s="36"/>
      <c r="H1666" s="30"/>
      <c r="I1666" s="30"/>
      <c r="J1666" s="36"/>
      <c r="K1666" s="36"/>
      <c r="L1666" s="36"/>
      <c r="M1666" s="36"/>
      <c r="N1666" s="36"/>
      <c r="O1666" s="36"/>
      <c r="P1666" s="36"/>
      <c r="Q1666" s="36"/>
    </row>
    <row r="1667" spans="3:17" x14ac:dyDescent="0.25">
      <c r="C1667" s="36"/>
      <c r="D1667" s="36"/>
      <c r="E1667" s="36"/>
      <c r="F1667" s="36"/>
      <c r="G1667" s="36"/>
      <c r="H1667" s="30"/>
      <c r="I1667" s="30"/>
      <c r="J1667" s="36"/>
      <c r="K1667" s="36"/>
      <c r="L1667" s="36"/>
      <c r="M1667" s="36"/>
      <c r="N1667" s="36"/>
      <c r="O1667" s="36"/>
      <c r="P1667" s="36"/>
      <c r="Q1667" s="36"/>
    </row>
    <row r="1668" spans="3:17" x14ac:dyDescent="0.25">
      <c r="C1668" s="36"/>
      <c r="D1668" s="36"/>
      <c r="E1668" s="36"/>
      <c r="F1668" s="36"/>
      <c r="G1668" s="36"/>
      <c r="H1668" s="30"/>
      <c r="I1668" s="30"/>
      <c r="J1668" s="36"/>
      <c r="K1668" s="36"/>
      <c r="L1668" s="36"/>
      <c r="M1668" s="36"/>
      <c r="N1668" s="36"/>
      <c r="O1668" s="36"/>
      <c r="P1668" s="36"/>
      <c r="Q1668" s="36"/>
    </row>
    <row r="1669" spans="3:17" x14ac:dyDescent="0.25">
      <c r="C1669" s="36"/>
      <c r="D1669" s="36"/>
      <c r="E1669" s="36"/>
      <c r="F1669" s="36"/>
      <c r="G1669" s="36"/>
      <c r="H1669" s="30"/>
      <c r="I1669" s="30"/>
      <c r="J1669" s="36"/>
      <c r="K1669" s="36"/>
      <c r="L1669" s="36"/>
      <c r="M1669" s="36"/>
      <c r="N1669" s="36"/>
      <c r="O1669" s="36"/>
      <c r="P1669" s="36"/>
      <c r="Q1669" s="36"/>
    </row>
    <row r="1670" spans="3:17" x14ac:dyDescent="0.25">
      <c r="C1670" s="36"/>
      <c r="D1670" s="36"/>
      <c r="E1670" s="36"/>
      <c r="F1670" s="36"/>
      <c r="G1670" s="36"/>
      <c r="H1670" s="30"/>
      <c r="I1670" s="30"/>
      <c r="J1670" s="36"/>
      <c r="K1670" s="36"/>
      <c r="L1670" s="36"/>
      <c r="M1670" s="36"/>
      <c r="N1670" s="36"/>
      <c r="O1670" s="36"/>
      <c r="P1670" s="36"/>
      <c r="Q1670" s="36"/>
    </row>
    <row r="1671" spans="3:17" x14ac:dyDescent="0.25">
      <c r="C1671" s="36"/>
      <c r="D1671" s="36"/>
      <c r="E1671" s="36"/>
      <c r="F1671" s="36"/>
      <c r="G1671" s="36"/>
      <c r="H1671" s="30"/>
      <c r="I1671" s="30"/>
      <c r="J1671" s="36"/>
      <c r="K1671" s="36"/>
      <c r="L1671" s="36"/>
      <c r="M1671" s="36"/>
      <c r="N1671" s="36"/>
      <c r="O1671" s="36"/>
      <c r="P1671" s="36"/>
      <c r="Q1671" s="36"/>
    </row>
    <row r="1672" spans="3:17" x14ac:dyDescent="0.25">
      <c r="C1672" s="36"/>
      <c r="D1672" s="36"/>
      <c r="E1672" s="36"/>
      <c r="F1672" s="36"/>
      <c r="G1672" s="36"/>
      <c r="H1672" s="30"/>
      <c r="I1672" s="30"/>
      <c r="J1672" s="36"/>
      <c r="K1672" s="36"/>
      <c r="L1672" s="36"/>
      <c r="M1672" s="36"/>
      <c r="N1672" s="36"/>
      <c r="O1672" s="36"/>
      <c r="P1672" s="36"/>
      <c r="Q1672" s="36"/>
    </row>
    <row r="1673" spans="3:17" x14ac:dyDescent="0.25">
      <c r="C1673" s="36"/>
      <c r="D1673" s="36"/>
      <c r="E1673" s="36"/>
      <c r="F1673" s="36"/>
      <c r="G1673" s="36"/>
      <c r="H1673" s="30"/>
      <c r="I1673" s="30"/>
      <c r="J1673" s="36"/>
      <c r="K1673" s="36"/>
      <c r="L1673" s="36"/>
      <c r="M1673" s="36"/>
      <c r="N1673" s="36"/>
      <c r="O1673" s="36"/>
      <c r="P1673" s="36"/>
      <c r="Q1673" s="36"/>
    </row>
    <row r="1674" spans="3:17" x14ac:dyDescent="0.25">
      <c r="C1674" s="36"/>
      <c r="D1674" s="36"/>
      <c r="E1674" s="36"/>
      <c r="F1674" s="36"/>
      <c r="G1674" s="36"/>
      <c r="H1674" s="30"/>
      <c r="I1674" s="30"/>
      <c r="J1674" s="36"/>
      <c r="K1674" s="36"/>
      <c r="L1674" s="36"/>
      <c r="M1674" s="36"/>
      <c r="N1674" s="36"/>
      <c r="O1674" s="36"/>
      <c r="P1674" s="36"/>
      <c r="Q1674" s="36"/>
    </row>
    <row r="1675" spans="3:17" x14ac:dyDescent="0.25">
      <c r="C1675" s="36"/>
      <c r="D1675" s="36"/>
      <c r="E1675" s="36"/>
      <c r="F1675" s="36"/>
      <c r="G1675" s="36"/>
      <c r="H1675" s="30"/>
      <c r="I1675" s="30"/>
      <c r="J1675" s="36"/>
      <c r="K1675" s="36"/>
      <c r="L1675" s="36"/>
      <c r="M1675" s="36"/>
      <c r="N1675" s="36"/>
      <c r="O1675" s="36"/>
      <c r="P1675" s="36"/>
      <c r="Q1675" s="36"/>
    </row>
    <row r="1676" spans="3:17" x14ac:dyDescent="0.25">
      <c r="C1676" s="36"/>
      <c r="D1676" s="36"/>
      <c r="E1676" s="36"/>
      <c r="F1676" s="36"/>
      <c r="G1676" s="36"/>
      <c r="H1676" s="30"/>
      <c r="I1676" s="30"/>
      <c r="J1676" s="36"/>
      <c r="K1676" s="36"/>
      <c r="L1676" s="36"/>
      <c r="M1676" s="36"/>
      <c r="N1676" s="36"/>
      <c r="O1676" s="36"/>
      <c r="P1676" s="36"/>
      <c r="Q1676" s="36"/>
    </row>
    <row r="1677" spans="3:17" x14ac:dyDescent="0.25">
      <c r="C1677" s="36"/>
      <c r="D1677" s="36"/>
      <c r="E1677" s="36"/>
      <c r="F1677" s="36"/>
      <c r="G1677" s="36"/>
      <c r="H1677" s="30"/>
      <c r="I1677" s="30"/>
      <c r="J1677" s="36"/>
      <c r="K1677" s="36"/>
      <c r="L1677" s="36"/>
      <c r="M1677" s="36"/>
      <c r="N1677" s="36"/>
      <c r="O1677" s="36"/>
      <c r="P1677" s="36"/>
      <c r="Q1677" s="36"/>
    </row>
    <row r="1678" spans="3:17" x14ac:dyDescent="0.25">
      <c r="C1678" s="36"/>
      <c r="D1678" s="36"/>
      <c r="E1678" s="36"/>
      <c r="F1678" s="36"/>
      <c r="G1678" s="36"/>
      <c r="H1678" s="30"/>
      <c r="I1678" s="30"/>
      <c r="J1678" s="36"/>
      <c r="K1678" s="36"/>
      <c r="L1678" s="36"/>
      <c r="M1678" s="36"/>
      <c r="N1678" s="36"/>
      <c r="O1678" s="36"/>
      <c r="P1678" s="36"/>
      <c r="Q1678" s="36"/>
    </row>
    <row r="1679" spans="3:17" x14ac:dyDescent="0.25">
      <c r="C1679" s="36"/>
      <c r="D1679" s="36"/>
      <c r="E1679" s="36"/>
      <c r="F1679" s="36"/>
      <c r="G1679" s="36"/>
      <c r="H1679" s="30"/>
      <c r="I1679" s="30"/>
      <c r="J1679" s="36"/>
      <c r="K1679" s="36"/>
      <c r="L1679" s="36"/>
      <c r="M1679" s="36"/>
      <c r="N1679" s="36"/>
      <c r="O1679" s="36"/>
      <c r="P1679" s="36"/>
      <c r="Q1679" s="36"/>
    </row>
    <row r="1680" spans="3:17" x14ac:dyDescent="0.25">
      <c r="C1680" s="36"/>
      <c r="D1680" s="36"/>
      <c r="E1680" s="36"/>
      <c r="F1680" s="36"/>
      <c r="G1680" s="36"/>
      <c r="H1680" s="30"/>
      <c r="I1680" s="30"/>
      <c r="J1680" s="36"/>
      <c r="K1680" s="36"/>
      <c r="L1680" s="36"/>
      <c r="M1680" s="36"/>
      <c r="N1680" s="36"/>
      <c r="O1680" s="36"/>
      <c r="P1680" s="36"/>
      <c r="Q1680" s="36"/>
    </row>
    <row r="1681" spans="3:17" x14ac:dyDescent="0.25">
      <c r="C1681" s="36"/>
      <c r="D1681" s="36"/>
      <c r="E1681" s="36"/>
      <c r="F1681" s="36"/>
      <c r="G1681" s="36"/>
      <c r="H1681" s="30"/>
      <c r="I1681" s="30"/>
      <c r="J1681" s="36"/>
      <c r="K1681" s="36"/>
      <c r="L1681" s="36"/>
      <c r="M1681" s="36"/>
      <c r="N1681" s="36"/>
      <c r="O1681" s="36"/>
      <c r="P1681" s="36"/>
      <c r="Q1681" s="36"/>
    </row>
    <row r="1682" spans="3:17" x14ac:dyDescent="0.25">
      <c r="C1682" s="36"/>
      <c r="D1682" s="36"/>
      <c r="E1682" s="36"/>
      <c r="F1682" s="36"/>
      <c r="G1682" s="36"/>
      <c r="H1682" s="30"/>
      <c r="I1682" s="30"/>
      <c r="J1682" s="36"/>
      <c r="K1682" s="36"/>
      <c r="L1682" s="36"/>
      <c r="M1682" s="36"/>
      <c r="N1682" s="36"/>
      <c r="O1682" s="36"/>
      <c r="P1682" s="36"/>
      <c r="Q1682" s="36"/>
    </row>
    <row r="1683" spans="3:17" x14ac:dyDescent="0.25">
      <c r="C1683" s="36"/>
      <c r="D1683" s="36"/>
      <c r="E1683" s="36"/>
      <c r="F1683" s="36"/>
      <c r="G1683" s="36"/>
      <c r="H1683" s="30"/>
      <c r="I1683" s="30"/>
      <c r="J1683" s="36"/>
      <c r="K1683" s="36"/>
      <c r="L1683" s="36"/>
      <c r="M1683" s="36"/>
      <c r="N1683" s="36"/>
      <c r="O1683" s="36"/>
      <c r="P1683" s="36"/>
      <c r="Q1683" s="36"/>
    </row>
    <row r="1684" spans="3:17" x14ac:dyDescent="0.25">
      <c r="C1684" s="36"/>
      <c r="D1684" s="36"/>
      <c r="E1684" s="36"/>
      <c r="F1684" s="36"/>
      <c r="G1684" s="36"/>
      <c r="H1684" s="30"/>
      <c r="I1684" s="30"/>
      <c r="J1684" s="36"/>
      <c r="K1684" s="36"/>
      <c r="L1684" s="36"/>
      <c r="M1684" s="36"/>
      <c r="N1684" s="36"/>
      <c r="O1684" s="36"/>
      <c r="P1684" s="36"/>
      <c r="Q1684" s="36"/>
    </row>
    <row r="1685" spans="3:17" x14ac:dyDescent="0.25">
      <c r="C1685" s="36"/>
      <c r="D1685" s="36"/>
      <c r="E1685" s="36"/>
      <c r="F1685" s="36"/>
      <c r="G1685" s="36"/>
      <c r="H1685" s="30"/>
      <c r="I1685" s="30"/>
      <c r="J1685" s="36"/>
      <c r="K1685" s="36"/>
      <c r="L1685" s="36"/>
      <c r="M1685" s="36"/>
      <c r="N1685" s="36"/>
      <c r="O1685" s="36"/>
      <c r="P1685" s="36"/>
      <c r="Q1685" s="36"/>
    </row>
    <row r="1686" spans="3:17" x14ac:dyDescent="0.25">
      <c r="C1686" s="36"/>
      <c r="D1686" s="36"/>
      <c r="E1686" s="36"/>
      <c r="F1686" s="36"/>
      <c r="G1686" s="36"/>
      <c r="H1686" s="30"/>
      <c r="I1686" s="30"/>
      <c r="J1686" s="36"/>
      <c r="K1686" s="36"/>
      <c r="L1686" s="36"/>
      <c r="M1686" s="36"/>
      <c r="N1686" s="36"/>
      <c r="O1686" s="36"/>
      <c r="P1686" s="36"/>
      <c r="Q1686" s="36"/>
    </row>
    <row r="1687" spans="3:17" x14ac:dyDescent="0.25">
      <c r="C1687" s="36"/>
      <c r="D1687" s="36"/>
      <c r="E1687" s="36"/>
      <c r="F1687" s="36"/>
      <c r="G1687" s="36"/>
      <c r="H1687" s="30"/>
      <c r="I1687" s="30"/>
      <c r="J1687" s="36"/>
      <c r="K1687" s="36"/>
      <c r="L1687" s="36"/>
      <c r="M1687" s="36"/>
      <c r="N1687" s="36"/>
      <c r="O1687" s="36"/>
      <c r="P1687" s="36"/>
      <c r="Q1687" s="36"/>
    </row>
    <row r="1688" spans="3:17" x14ac:dyDescent="0.25">
      <c r="C1688" s="36"/>
      <c r="D1688" s="36"/>
      <c r="E1688" s="36"/>
      <c r="F1688" s="36"/>
      <c r="G1688" s="36"/>
      <c r="H1688" s="30"/>
      <c r="I1688" s="30"/>
      <c r="J1688" s="36"/>
      <c r="K1688" s="36"/>
      <c r="L1688" s="36"/>
      <c r="M1688" s="36"/>
      <c r="N1688" s="36"/>
      <c r="O1688" s="36"/>
      <c r="P1688" s="36"/>
      <c r="Q1688" s="36"/>
    </row>
    <row r="1689" spans="3:17" x14ac:dyDescent="0.25">
      <c r="C1689" s="36"/>
      <c r="D1689" s="36"/>
      <c r="E1689" s="36"/>
      <c r="F1689" s="36"/>
      <c r="G1689" s="36"/>
      <c r="H1689" s="30"/>
      <c r="I1689" s="30"/>
      <c r="J1689" s="36"/>
      <c r="K1689" s="36"/>
      <c r="L1689" s="36"/>
      <c r="M1689" s="36"/>
      <c r="N1689" s="36"/>
      <c r="O1689" s="36"/>
      <c r="P1689" s="36"/>
      <c r="Q1689" s="36"/>
    </row>
    <row r="1690" spans="3:17" x14ac:dyDescent="0.25">
      <c r="C1690" s="36"/>
      <c r="D1690" s="36"/>
      <c r="E1690" s="36"/>
      <c r="F1690" s="36"/>
      <c r="G1690" s="36"/>
      <c r="H1690" s="30"/>
      <c r="I1690" s="30"/>
      <c r="J1690" s="36"/>
      <c r="K1690" s="36"/>
      <c r="L1690" s="36"/>
      <c r="M1690" s="36"/>
      <c r="N1690" s="36"/>
      <c r="O1690" s="36"/>
      <c r="P1690" s="36"/>
      <c r="Q1690" s="36"/>
    </row>
    <row r="1691" spans="3:17" x14ac:dyDescent="0.25">
      <c r="C1691" s="36"/>
      <c r="D1691" s="36"/>
      <c r="E1691" s="36"/>
      <c r="F1691" s="36"/>
      <c r="G1691" s="36"/>
      <c r="H1691" s="30"/>
      <c r="I1691" s="30"/>
      <c r="J1691" s="36"/>
      <c r="K1691" s="36"/>
      <c r="L1691" s="36"/>
      <c r="M1691" s="36"/>
      <c r="N1691" s="36"/>
      <c r="O1691" s="36"/>
      <c r="P1691" s="36"/>
      <c r="Q1691" s="36"/>
    </row>
    <row r="1692" spans="3:17" x14ac:dyDescent="0.25">
      <c r="C1692" s="36"/>
      <c r="D1692" s="36"/>
      <c r="E1692" s="36"/>
      <c r="F1692" s="36"/>
      <c r="G1692" s="36"/>
      <c r="H1692" s="30"/>
      <c r="I1692" s="30"/>
      <c r="J1692" s="36"/>
      <c r="K1692" s="36"/>
      <c r="L1692" s="36"/>
      <c r="M1692" s="36"/>
      <c r="N1692" s="36"/>
      <c r="O1692" s="36"/>
      <c r="P1692" s="36"/>
      <c r="Q1692" s="36"/>
    </row>
    <row r="1693" spans="3:17" x14ac:dyDescent="0.25">
      <c r="C1693" s="36"/>
      <c r="D1693" s="36"/>
      <c r="E1693" s="36"/>
      <c r="F1693" s="36"/>
      <c r="G1693" s="36"/>
      <c r="H1693" s="30"/>
      <c r="I1693" s="30"/>
      <c r="J1693" s="36"/>
      <c r="K1693" s="36"/>
      <c r="L1693" s="36"/>
      <c r="M1693" s="36"/>
      <c r="N1693" s="36"/>
      <c r="O1693" s="36"/>
      <c r="P1693" s="36"/>
      <c r="Q1693" s="36"/>
    </row>
    <row r="1694" spans="3:17" x14ac:dyDescent="0.25">
      <c r="C1694" s="36"/>
      <c r="D1694" s="36"/>
      <c r="E1694" s="36"/>
      <c r="F1694" s="36"/>
      <c r="G1694" s="36"/>
      <c r="H1694" s="30"/>
      <c r="I1694" s="30"/>
      <c r="J1694" s="36"/>
      <c r="K1694" s="36"/>
      <c r="L1694" s="36"/>
      <c r="M1694" s="36"/>
      <c r="N1694" s="36"/>
      <c r="O1694" s="36"/>
      <c r="P1694" s="36"/>
      <c r="Q1694" s="36"/>
    </row>
    <row r="1695" spans="3:17" x14ac:dyDescent="0.25">
      <c r="C1695" s="36"/>
      <c r="D1695" s="36"/>
      <c r="E1695" s="36"/>
      <c r="F1695" s="36"/>
      <c r="G1695" s="36"/>
      <c r="H1695" s="30"/>
      <c r="I1695" s="30"/>
      <c r="J1695" s="36"/>
      <c r="K1695" s="36"/>
      <c r="L1695" s="36"/>
      <c r="M1695" s="36"/>
      <c r="N1695" s="36"/>
      <c r="O1695" s="36"/>
      <c r="P1695" s="36"/>
      <c r="Q1695" s="36"/>
    </row>
    <row r="1696" spans="3:17" x14ac:dyDescent="0.25">
      <c r="C1696" s="36"/>
      <c r="D1696" s="36"/>
      <c r="E1696" s="36"/>
      <c r="F1696" s="36"/>
      <c r="G1696" s="36"/>
      <c r="H1696" s="30"/>
      <c r="I1696" s="30"/>
      <c r="J1696" s="36"/>
      <c r="K1696" s="36"/>
      <c r="L1696" s="36"/>
      <c r="M1696" s="36"/>
      <c r="N1696" s="36"/>
      <c r="O1696" s="36"/>
      <c r="P1696" s="36"/>
      <c r="Q1696" s="36"/>
    </row>
    <row r="1697" spans="3:17" x14ac:dyDescent="0.25">
      <c r="C1697" s="36"/>
      <c r="D1697" s="36"/>
      <c r="E1697" s="36"/>
      <c r="F1697" s="36"/>
      <c r="G1697" s="36"/>
      <c r="H1697" s="30"/>
      <c r="I1697" s="30"/>
      <c r="J1697" s="36"/>
      <c r="K1697" s="36"/>
      <c r="L1697" s="36"/>
      <c r="M1697" s="36"/>
      <c r="N1697" s="36"/>
      <c r="O1697" s="36"/>
      <c r="P1697" s="36"/>
      <c r="Q1697" s="36"/>
    </row>
    <row r="1698" spans="3:17" x14ac:dyDescent="0.25">
      <c r="C1698" s="36"/>
      <c r="D1698" s="36"/>
      <c r="E1698" s="36"/>
      <c r="F1698" s="36"/>
      <c r="G1698" s="36"/>
      <c r="H1698" s="30"/>
      <c r="I1698" s="30"/>
      <c r="J1698" s="36"/>
      <c r="K1698" s="36"/>
      <c r="L1698" s="36"/>
      <c r="M1698" s="36"/>
      <c r="N1698" s="36"/>
      <c r="O1698" s="36"/>
      <c r="P1698" s="36"/>
      <c r="Q1698" s="36"/>
    </row>
    <row r="1699" spans="3:17" x14ac:dyDescent="0.25">
      <c r="C1699" s="36"/>
      <c r="D1699" s="36"/>
      <c r="E1699" s="36"/>
      <c r="F1699" s="36"/>
      <c r="G1699" s="36"/>
      <c r="H1699" s="30"/>
      <c r="I1699" s="30"/>
      <c r="J1699" s="36"/>
      <c r="K1699" s="36"/>
      <c r="L1699" s="36"/>
      <c r="M1699" s="36"/>
      <c r="N1699" s="36"/>
      <c r="O1699" s="36"/>
      <c r="P1699" s="36"/>
      <c r="Q1699" s="36"/>
    </row>
    <row r="1700" spans="3:17" x14ac:dyDescent="0.25">
      <c r="C1700" s="36"/>
      <c r="D1700" s="36"/>
      <c r="E1700" s="36"/>
      <c r="F1700" s="36"/>
      <c r="G1700" s="36"/>
      <c r="H1700" s="30"/>
      <c r="I1700" s="30"/>
      <c r="J1700" s="36"/>
      <c r="K1700" s="36"/>
      <c r="L1700" s="36"/>
      <c r="M1700" s="36"/>
      <c r="N1700" s="36"/>
      <c r="O1700" s="36"/>
      <c r="P1700" s="36"/>
      <c r="Q1700" s="36"/>
    </row>
    <row r="1701" spans="3:17" x14ac:dyDescent="0.25">
      <c r="C1701" s="36"/>
      <c r="D1701" s="36"/>
      <c r="E1701" s="36"/>
      <c r="F1701" s="36"/>
      <c r="G1701" s="36"/>
      <c r="H1701" s="30"/>
      <c r="I1701" s="30"/>
      <c r="J1701" s="36"/>
      <c r="K1701" s="36"/>
      <c r="L1701" s="36"/>
      <c r="M1701" s="36"/>
      <c r="N1701" s="36"/>
      <c r="O1701" s="36"/>
      <c r="P1701" s="36"/>
      <c r="Q1701" s="36"/>
    </row>
    <row r="1702" spans="3:17" x14ac:dyDescent="0.25">
      <c r="C1702" s="36"/>
      <c r="D1702" s="36"/>
      <c r="E1702" s="36"/>
      <c r="F1702" s="36"/>
      <c r="G1702" s="36"/>
      <c r="H1702" s="30"/>
      <c r="I1702" s="30"/>
      <c r="J1702" s="36"/>
      <c r="K1702" s="36"/>
      <c r="L1702" s="36"/>
      <c r="M1702" s="36"/>
      <c r="N1702" s="36"/>
      <c r="O1702" s="36"/>
      <c r="P1702" s="36"/>
      <c r="Q1702" s="36"/>
    </row>
    <row r="1703" spans="3:17" x14ac:dyDescent="0.25">
      <c r="C1703" s="36"/>
      <c r="D1703" s="36"/>
      <c r="E1703" s="36"/>
      <c r="F1703" s="36"/>
      <c r="G1703" s="36"/>
      <c r="H1703" s="30"/>
      <c r="I1703" s="30"/>
      <c r="J1703" s="36"/>
      <c r="K1703" s="36"/>
      <c r="L1703" s="36"/>
      <c r="M1703" s="36"/>
      <c r="N1703" s="36"/>
      <c r="O1703" s="36"/>
      <c r="P1703" s="36"/>
      <c r="Q1703" s="36"/>
    </row>
    <row r="1704" spans="3:17" x14ac:dyDescent="0.25">
      <c r="C1704" s="36"/>
      <c r="D1704" s="36"/>
      <c r="E1704" s="36"/>
      <c r="F1704" s="36"/>
      <c r="G1704" s="36"/>
      <c r="H1704" s="30"/>
      <c r="I1704" s="30"/>
      <c r="J1704" s="36"/>
      <c r="K1704" s="36"/>
      <c r="L1704" s="36"/>
      <c r="M1704" s="36"/>
      <c r="N1704" s="36"/>
      <c r="O1704" s="36"/>
      <c r="P1704" s="36"/>
      <c r="Q1704" s="36"/>
    </row>
    <row r="1705" spans="3:17" x14ac:dyDescent="0.25">
      <c r="C1705" s="36"/>
      <c r="D1705" s="36"/>
      <c r="E1705" s="36"/>
      <c r="F1705" s="36"/>
      <c r="G1705" s="36"/>
      <c r="H1705" s="30"/>
      <c r="I1705" s="30"/>
      <c r="J1705" s="36"/>
      <c r="K1705" s="36"/>
      <c r="L1705" s="36"/>
      <c r="M1705" s="36"/>
      <c r="N1705" s="36"/>
      <c r="O1705" s="36"/>
      <c r="P1705" s="36"/>
      <c r="Q1705" s="36"/>
    </row>
    <row r="1706" spans="3:17" x14ac:dyDescent="0.25">
      <c r="C1706" s="36"/>
      <c r="D1706" s="36"/>
      <c r="E1706" s="36"/>
      <c r="F1706" s="36"/>
      <c r="G1706" s="36"/>
      <c r="H1706" s="30"/>
      <c r="I1706" s="30"/>
      <c r="J1706" s="36"/>
      <c r="K1706" s="36"/>
      <c r="L1706" s="36"/>
      <c r="M1706" s="36"/>
      <c r="N1706" s="36"/>
      <c r="O1706" s="36"/>
      <c r="P1706" s="36"/>
      <c r="Q1706" s="36"/>
    </row>
    <row r="1707" spans="3:17" x14ac:dyDescent="0.25">
      <c r="C1707" s="36"/>
      <c r="D1707" s="36"/>
      <c r="E1707" s="36"/>
      <c r="F1707" s="36"/>
      <c r="G1707" s="36"/>
      <c r="H1707" s="30"/>
      <c r="I1707" s="30"/>
      <c r="J1707" s="36"/>
      <c r="K1707" s="36"/>
      <c r="L1707" s="36"/>
      <c r="M1707" s="36"/>
      <c r="N1707" s="36"/>
      <c r="O1707" s="36"/>
      <c r="P1707" s="36"/>
      <c r="Q1707" s="36"/>
    </row>
    <row r="1708" spans="3:17" x14ac:dyDescent="0.25">
      <c r="C1708" s="36"/>
      <c r="D1708" s="36"/>
      <c r="E1708" s="36"/>
      <c r="F1708" s="36"/>
      <c r="G1708" s="36"/>
      <c r="H1708" s="30"/>
      <c r="I1708" s="30"/>
      <c r="J1708" s="36"/>
      <c r="K1708" s="36"/>
      <c r="L1708" s="36"/>
      <c r="M1708" s="36"/>
      <c r="N1708" s="36"/>
      <c r="O1708" s="36"/>
      <c r="P1708" s="36"/>
      <c r="Q1708" s="36"/>
    </row>
    <row r="1709" spans="3:17" x14ac:dyDescent="0.25">
      <c r="C1709" s="36"/>
      <c r="D1709" s="36"/>
      <c r="E1709" s="36"/>
      <c r="F1709" s="36"/>
      <c r="G1709" s="36"/>
      <c r="H1709" s="30"/>
      <c r="I1709" s="30"/>
      <c r="J1709" s="36"/>
      <c r="K1709" s="36"/>
      <c r="L1709" s="36"/>
      <c r="M1709" s="36"/>
      <c r="N1709" s="36"/>
      <c r="O1709" s="36"/>
      <c r="P1709" s="36"/>
      <c r="Q1709" s="36"/>
    </row>
    <row r="1710" spans="3:17" x14ac:dyDescent="0.25">
      <c r="C1710" s="36"/>
      <c r="D1710" s="36"/>
      <c r="E1710" s="36"/>
      <c r="F1710" s="36"/>
      <c r="G1710" s="36"/>
      <c r="H1710" s="30"/>
      <c r="I1710" s="30"/>
      <c r="J1710" s="36"/>
      <c r="K1710" s="36"/>
      <c r="L1710" s="36"/>
      <c r="M1710" s="36"/>
      <c r="N1710" s="36"/>
      <c r="O1710" s="36"/>
      <c r="P1710" s="36"/>
      <c r="Q1710" s="36"/>
    </row>
    <row r="1711" spans="3:17" x14ac:dyDescent="0.25">
      <c r="C1711" s="36"/>
      <c r="D1711" s="36"/>
      <c r="E1711" s="36"/>
      <c r="F1711" s="36"/>
      <c r="G1711" s="36"/>
      <c r="H1711" s="30"/>
      <c r="I1711" s="30"/>
      <c r="J1711" s="36"/>
      <c r="K1711" s="36"/>
      <c r="L1711" s="36"/>
      <c r="M1711" s="36"/>
      <c r="N1711" s="36"/>
      <c r="O1711" s="36"/>
      <c r="P1711" s="36"/>
      <c r="Q1711" s="36"/>
    </row>
    <row r="1712" spans="3:17" x14ac:dyDescent="0.25">
      <c r="C1712" s="36"/>
      <c r="D1712" s="36"/>
      <c r="E1712" s="36"/>
      <c r="F1712" s="36"/>
      <c r="G1712" s="36"/>
      <c r="H1712" s="30"/>
      <c r="I1712" s="30"/>
      <c r="J1712" s="36"/>
      <c r="K1712" s="36"/>
      <c r="L1712" s="36"/>
      <c r="M1712" s="36"/>
      <c r="N1712" s="36"/>
      <c r="O1712" s="36"/>
      <c r="P1712" s="36"/>
      <c r="Q1712" s="36"/>
    </row>
    <row r="1713" spans="3:17" x14ac:dyDescent="0.25">
      <c r="C1713" s="36"/>
      <c r="D1713" s="36"/>
      <c r="E1713" s="36"/>
      <c r="F1713" s="36"/>
      <c r="G1713" s="36"/>
      <c r="H1713" s="30"/>
      <c r="I1713" s="30"/>
      <c r="J1713" s="36"/>
      <c r="K1713" s="36"/>
      <c r="L1713" s="36"/>
      <c r="M1713" s="36"/>
      <c r="N1713" s="36"/>
      <c r="O1713" s="36"/>
      <c r="P1713" s="36"/>
      <c r="Q1713" s="36"/>
    </row>
    <row r="1714" spans="3:17" x14ac:dyDescent="0.25">
      <c r="C1714" s="36"/>
      <c r="D1714" s="36"/>
      <c r="E1714" s="36"/>
      <c r="F1714" s="36"/>
      <c r="G1714" s="36"/>
      <c r="H1714" s="30"/>
      <c r="I1714" s="30"/>
      <c r="J1714" s="36"/>
      <c r="K1714" s="36"/>
      <c r="L1714" s="36"/>
      <c r="M1714" s="36"/>
      <c r="N1714" s="36"/>
      <c r="O1714" s="36"/>
      <c r="P1714" s="36"/>
      <c r="Q1714" s="36"/>
    </row>
    <row r="1715" spans="3:17" x14ac:dyDescent="0.25">
      <c r="C1715" s="36"/>
      <c r="D1715" s="36"/>
      <c r="E1715" s="36"/>
      <c r="F1715" s="36"/>
      <c r="G1715" s="36"/>
      <c r="H1715" s="30"/>
      <c r="I1715" s="30"/>
      <c r="J1715" s="36"/>
      <c r="K1715" s="36"/>
      <c r="L1715" s="36"/>
      <c r="M1715" s="36"/>
      <c r="N1715" s="36"/>
      <c r="O1715" s="36"/>
      <c r="P1715" s="36"/>
      <c r="Q1715" s="36"/>
    </row>
    <row r="1716" spans="3:17" x14ac:dyDescent="0.25">
      <c r="C1716" s="36"/>
      <c r="D1716" s="36"/>
      <c r="E1716" s="36"/>
      <c r="F1716" s="36"/>
      <c r="G1716" s="36"/>
      <c r="H1716" s="30"/>
      <c r="I1716" s="30"/>
      <c r="J1716" s="36"/>
      <c r="K1716" s="36"/>
      <c r="L1716" s="36"/>
      <c r="M1716" s="36"/>
      <c r="N1716" s="36"/>
      <c r="O1716" s="36"/>
      <c r="P1716" s="36"/>
      <c r="Q1716" s="36"/>
    </row>
    <row r="1717" spans="3:17" x14ac:dyDescent="0.25">
      <c r="C1717" s="36"/>
      <c r="D1717" s="36"/>
      <c r="E1717" s="36"/>
      <c r="F1717" s="36"/>
      <c r="G1717" s="36"/>
      <c r="H1717" s="30"/>
      <c r="I1717" s="30"/>
      <c r="J1717" s="36"/>
      <c r="K1717" s="36"/>
      <c r="L1717" s="36"/>
      <c r="M1717" s="36"/>
      <c r="N1717" s="36"/>
      <c r="O1717" s="36"/>
      <c r="P1717" s="36"/>
      <c r="Q1717" s="36"/>
    </row>
    <row r="1718" spans="3:17" x14ac:dyDescent="0.25">
      <c r="C1718" s="36"/>
      <c r="D1718" s="36"/>
      <c r="E1718" s="36"/>
      <c r="F1718" s="36"/>
      <c r="G1718" s="36"/>
      <c r="H1718" s="30"/>
      <c r="I1718" s="30"/>
      <c r="J1718" s="36"/>
      <c r="K1718" s="36"/>
      <c r="L1718" s="36"/>
      <c r="M1718" s="36"/>
      <c r="N1718" s="36"/>
      <c r="O1718" s="36"/>
      <c r="P1718" s="36"/>
      <c r="Q1718" s="36"/>
    </row>
    <row r="1719" spans="3:17" x14ac:dyDescent="0.25">
      <c r="C1719" s="36"/>
      <c r="D1719" s="36"/>
      <c r="E1719" s="36"/>
      <c r="F1719" s="36"/>
      <c r="G1719" s="36"/>
      <c r="H1719" s="30"/>
      <c r="I1719" s="30"/>
      <c r="J1719" s="36"/>
      <c r="K1719" s="36"/>
      <c r="L1719" s="36"/>
      <c r="M1719" s="36"/>
      <c r="N1719" s="36"/>
      <c r="O1719" s="36"/>
      <c r="P1719" s="36"/>
      <c r="Q1719" s="36"/>
    </row>
    <row r="1720" spans="3:17" x14ac:dyDescent="0.25">
      <c r="C1720" s="36"/>
      <c r="D1720" s="36"/>
      <c r="E1720" s="36"/>
      <c r="F1720" s="36"/>
      <c r="G1720" s="36"/>
      <c r="H1720" s="30"/>
      <c r="I1720" s="30"/>
      <c r="J1720" s="36"/>
      <c r="K1720" s="36"/>
      <c r="L1720" s="36"/>
      <c r="M1720" s="36"/>
      <c r="N1720" s="36"/>
      <c r="O1720" s="36"/>
      <c r="P1720" s="36"/>
      <c r="Q1720" s="36"/>
    </row>
    <row r="1721" spans="3:17" x14ac:dyDescent="0.25">
      <c r="C1721" s="36"/>
      <c r="D1721" s="36"/>
      <c r="E1721" s="36"/>
      <c r="F1721" s="36"/>
      <c r="G1721" s="36"/>
      <c r="H1721" s="30"/>
      <c r="I1721" s="30"/>
      <c r="J1721" s="36"/>
      <c r="K1721" s="36"/>
      <c r="L1721" s="36"/>
      <c r="M1721" s="36"/>
      <c r="N1721" s="36"/>
      <c r="O1721" s="36"/>
      <c r="P1721" s="36"/>
      <c r="Q1721" s="36"/>
    </row>
    <row r="1722" spans="3:17" x14ac:dyDescent="0.25">
      <c r="C1722" s="36"/>
      <c r="D1722" s="36"/>
      <c r="E1722" s="36"/>
      <c r="F1722" s="36"/>
      <c r="G1722" s="36"/>
      <c r="H1722" s="30"/>
      <c r="I1722" s="30"/>
      <c r="J1722" s="36"/>
      <c r="K1722" s="36"/>
      <c r="L1722" s="36"/>
      <c r="M1722" s="36"/>
      <c r="N1722" s="36"/>
      <c r="O1722" s="36"/>
      <c r="P1722" s="36"/>
      <c r="Q1722" s="36"/>
    </row>
    <row r="1723" spans="3:17" x14ac:dyDescent="0.25">
      <c r="C1723" s="36"/>
      <c r="D1723" s="36"/>
      <c r="E1723" s="36"/>
      <c r="F1723" s="36"/>
      <c r="G1723" s="36"/>
      <c r="H1723" s="30"/>
      <c r="I1723" s="30"/>
      <c r="J1723" s="36"/>
      <c r="K1723" s="36"/>
      <c r="L1723" s="36"/>
      <c r="M1723" s="36"/>
      <c r="N1723" s="36"/>
      <c r="O1723" s="36"/>
      <c r="P1723" s="36"/>
      <c r="Q1723" s="36"/>
    </row>
    <row r="1724" spans="3:17" x14ac:dyDescent="0.25">
      <c r="C1724" s="36"/>
      <c r="D1724" s="36"/>
      <c r="E1724" s="36"/>
      <c r="F1724" s="36"/>
      <c r="G1724" s="36"/>
      <c r="H1724" s="30"/>
      <c r="I1724" s="30"/>
      <c r="J1724" s="36"/>
      <c r="K1724" s="36"/>
      <c r="L1724" s="36"/>
      <c r="M1724" s="36"/>
      <c r="N1724" s="36"/>
      <c r="O1724" s="36"/>
      <c r="P1724" s="36"/>
      <c r="Q1724" s="36"/>
    </row>
    <row r="1725" spans="3:17" x14ac:dyDescent="0.25">
      <c r="C1725" s="36"/>
      <c r="D1725" s="36"/>
      <c r="E1725" s="36"/>
      <c r="F1725" s="36"/>
      <c r="G1725" s="36"/>
      <c r="H1725" s="30"/>
      <c r="I1725" s="30"/>
      <c r="J1725" s="36"/>
      <c r="K1725" s="36"/>
      <c r="L1725" s="36"/>
      <c r="M1725" s="36"/>
      <c r="N1725" s="36"/>
      <c r="O1725" s="36"/>
      <c r="P1725" s="36"/>
      <c r="Q1725" s="36"/>
    </row>
    <row r="1726" spans="3:17" x14ac:dyDescent="0.25">
      <c r="C1726" s="36"/>
      <c r="D1726" s="36"/>
      <c r="E1726" s="36"/>
      <c r="F1726" s="36"/>
      <c r="G1726" s="36"/>
      <c r="H1726" s="30"/>
      <c r="I1726" s="30"/>
      <c r="J1726" s="36"/>
      <c r="K1726" s="36"/>
      <c r="L1726" s="36"/>
      <c r="M1726" s="36"/>
      <c r="N1726" s="36"/>
      <c r="O1726" s="36"/>
      <c r="P1726" s="36"/>
      <c r="Q1726" s="36"/>
    </row>
    <row r="1727" spans="3:17" x14ac:dyDescent="0.25">
      <c r="C1727" s="36"/>
      <c r="D1727" s="36"/>
      <c r="E1727" s="36"/>
      <c r="F1727" s="36"/>
      <c r="G1727" s="36"/>
      <c r="H1727" s="30"/>
      <c r="I1727" s="30"/>
      <c r="J1727" s="36"/>
      <c r="K1727" s="36"/>
      <c r="L1727" s="36"/>
      <c r="M1727" s="36"/>
      <c r="N1727" s="36"/>
      <c r="O1727" s="36"/>
      <c r="P1727" s="36"/>
      <c r="Q1727" s="36"/>
    </row>
    <row r="1728" spans="3:17" x14ac:dyDescent="0.25">
      <c r="C1728" s="36"/>
      <c r="D1728" s="36"/>
      <c r="E1728" s="36"/>
      <c r="F1728" s="36"/>
      <c r="G1728" s="36"/>
      <c r="H1728" s="30"/>
      <c r="I1728" s="30"/>
      <c r="J1728" s="36"/>
      <c r="K1728" s="36"/>
      <c r="L1728" s="36"/>
      <c r="M1728" s="36"/>
      <c r="N1728" s="36"/>
      <c r="O1728" s="36"/>
      <c r="P1728" s="36"/>
      <c r="Q1728" s="36"/>
    </row>
    <row r="1729" spans="3:17" x14ac:dyDescent="0.25">
      <c r="C1729" s="36"/>
      <c r="D1729" s="36"/>
      <c r="E1729" s="36"/>
      <c r="F1729" s="36"/>
      <c r="G1729" s="36"/>
      <c r="H1729" s="30"/>
      <c r="I1729" s="30"/>
      <c r="J1729" s="36"/>
      <c r="K1729" s="36"/>
      <c r="L1729" s="36"/>
      <c r="M1729" s="36"/>
      <c r="N1729" s="36"/>
      <c r="O1729" s="36"/>
      <c r="P1729" s="36"/>
      <c r="Q1729" s="36"/>
    </row>
    <row r="1730" spans="3:17" x14ac:dyDescent="0.25">
      <c r="C1730" s="36"/>
      <c r="D1730" s="36"/>
      <c r="E1730" s="36"/>
      <c r="F1730" s="36"/>
      <c r="G1730" s="36"/>
      <c r="H1730" s="30"/>
      <c r="I1730" s="30"/>
      <c r="J1730" s="36"/>
      <c r="K1730" s="36"/>
      <c r="L1730" s="36"/>
      <c r="M1730" s="36"/>
      <c r="N1730" s="36"/>
      <c r="O1730" s="36"/>
      <c r="P1730" s="36"/>
      <c r="Q1730" s="36"/>
    </row>
    <row r="1731" spans="3:17" x14ac:dyDescent="0.25">
      <c r="C1731" s="36"/>
      <c r="D1731" s="36"/>
      <c r="E1731" s="36"/>
      <c r="F1731" s="36"/>
      <c r="G1731" s="36"/>
      <c r="H1731" s="30"/>
      <c r="I1731" s="30"/>
      <c r="J1731" s="36"/>
      <c r="K1731" s="36"/>
      <c r="L1731" s="36"/>
      <c r="M1731" s="36"/>
      <c r="N1731" s="36"/>
      <c r="O1731" s="36"/>
      <c r="P1731" s="36"/>
      <c r="Q1731" s="36"/>
    </row>
    <row r="1732" spans="3:17" x14ac:dyDescent="0.25">
      <c r="C1732" s="36"/>
      <c r="D1732" s="36"/>
      <c r="E1732" s="36"/>
      <c r="F1732" s="36"/>
      <c r="G1732" s="36"/>
      <c r="H1732" s="30"/>
      <c r="I1732" s="30"/>
      <c r="J1732" s="36"/>
      <c r="K1732" s="36"/>
      <c r="L1732" s="36"/>
      <c r="M1732" s="36"/>
      <c r="N1732" s="36"/>
      <c r="O1732" s="36"/>
      <c r="P1732" s="36"/>
      <c r="Q1732" s="36"/>
    </row>
    <row r="1733" spans="3:17" x14ac:dyDescent="0.25">
      <c r="C1733" s="36"/>
      <c r="D1733" s="36"/>
      <c r="E1733" s="36"/>
      <c r="F1733" s="36"/>
      <c r="G1733" s="36"/>
      <c r="H1733" s="30"/>
      <c r="I1733" s="30"/>
      <c r="J1733" s="36"/>
      <c r="K1733" s="36"/>
      <c r="L1733" s="36"/>
      <c r="M1733" s="36"/>
      <c r="N1733" s="36"/>
      <c r="O1733" s="36"/>
      <c r="P1733" s="36"/>
      <c r="Q1733" s="36"/>
    </row>
    <row r="1734" spans="3:17" x14ac:dyDescent="0.25">
      <c r="C1734" s="36"/>
      <c r="D1734" s="36"/>
      <c r="E1734" s="36"/>
      <c r="F1734" s="36"/>
      <c r="G1734" s="36"/>
      <c r="H1734" s="30"/>
      <c r="I1734" s="30"/>
      <c r="J1734" s="36"/>
      <c r="K1734" s="36"/>
      <c r="L1734" s="36"/>
      <c r="M1734" s="36"/>
      <c r="N1734" s="36"/>
      <c r="O1734" s="36"/>
      <c r="P1734" s="36"/>
      <c r="Q1734" s="36"/>
    </row>
    <row r="1735" spans="3:17" x14ac:dyDescent="0.25">
      <c r="C1735" s="36"/>
      <c r="D1735" s="36"/>
      <c r="E1735" s="36"/>
      <c r="F1735" s="36"/>
      <c r="G1735" s="36"/>
      <c r="H1735" s="30"/>
      <c r="I1735" s="30"/>
      <c r="J1735" s="36"/>
      <c r="K1735" s="36"/>
      <c r="L1735" s="36"/>
      <c r="M1735" s="36"/>
      <c r="N1735" s="36"/>
      <c r="O1735" s="36"/>
      <c r="P1735" s="36"/>
      <c r="Q1735" s="36"/>
    </row>
    <row r="1736" spans="3:17" x14ac:dyDescent="0.25">
      <c r="C1736" s="36"/>
      <c r="D1736" s="36"/>
      <c r="E1736" s="36"/>
      <c r="F1736" s="36"/>
      <c r="G1736" s="36"/>
      <c r="H1736" s="30"/>
      <c r="I1736" s="30"/>
      <c r="J1736" s="36"/>
      <c r="K1736" s="36"/>
      <c r="L1736" s="36"/>
      <c r="M1736" s="36"/>
      <c r="N1736" s="36"/>
      <c r="O1736" s="36"/>
      <c r="P1736" s="36"/>
      <c r="Q1736" s="36"/>
    </row>
    <row r="1737" spans="3:17" x14ac:dyDescent="0.25">
      <c r="C1737" s="36"/>
      <c r="D1737" s="36"/>
      <c r="E1737" s="36"/>
      <c r="F1737" s="36"/>
      <c r="G1737" s="36"/>
      <c r="H1737" s="30"/>
      <c r="I1737" s="30"/>
      <c r="J1737" s="36"/>
      <c r="K1737" s="36"/>
      <c r="L1737" s="36"/>
      <c r="M1737" s="36"/>
      <c r="N1737" s="36"/>
      <c r="O1737" s="36"/>
      <c r="P1737" s="36"/>
      <c r="Q1737" s="36"/>
    </row>
    <row r="1738" spans="3:17" x14ac:dyDescent="0.25">
      <c r="C1738" s="36"/>
      <c r="D1738" s="36"/>
      <c r="E1738" s="36"/>
      <c r="F1738" s="36"/>
      <c r="G1738" s="36"/>
      <c r="H1738" s="30"/>
      <c r="I1738" s="30"/>
      <c r="J1738" s="36"/>
      <c r="K1738" s="36"/>
      <c r="L1738" s="36"/>
      <c r="M1738" s="36"/>
      <c r="N1738" s="36"/>
      <c r="O1738" s="36"/>
      <c r="P1738" s="36"/>
      <c r="Q1738" s="36"/>
    </row>
    <row r="1739" spans="3:17" x14ac:dyDescent="0.25">
      <c r="C1739" s="36"/>
      <c r="D1739" s="36"/>
      <c r="E1739" s="36"/>
      <c r="F1739" s="36"/>
      <c r="G1739" s="36"/>
      <c r="H1739" s="30"/>
      <c r="I1739" s="30"/>
      <c r="J1739" s="36"/>
      <c r="K1739" s="36"/>
      <c r="L1739" s="36"/>
      <c r="M1739" s="36"/>
      <c r="N1739" s="36"/>
      <c r="O1739" s="36"/>
      <c r="P1739" s="36"/>
      <c r="Q1739" s="36"/>
    </row>
    <row r="1740" spans="3:17" x14ac:dyDescent="0.25">
      <c r="C1740" s="36"/>
      <c r="D1740" s="36"/>
      <c r="E1740" s="36"/>
      <c r="F1740" s="36"/>
      <c r="G1740" s="36"/>
      <c r="H1740" s="30"/>
      <c r="I1740" s="30"/>
      <c r="J1740" s="36"/>
      <c r="K1740" s="36"/>
      <c r="L1740" s="36"/>
      <c r="M1740" s="36"/>
      <c r="N1740" s="36"/>
      <c r="O1740" s="36"/>
      <c r="P1740" s="36"/>
      <c r="Q1740" s="36"/>
    </row>
    <row r="1741" spans="3:17" x14ac:dyDescent="0.25">
      <c r="C1741" s="36"/>
      <c r="D1741" s="36"/>
      <c r="E1741" s="36"/>
      <c r="F1741" s="36"/>
      <c r="G1741" s="36"/>
      <c r="H1741" s="30"/>
      <c r="I1741" s="30"/>
      <c r="J1741" s="36"/>
      <c r="K1741" s="36"/>
      <c r="L1741" s="36"/>
      <c r="M1741" s="36"/>
      <c r="N1741" s="36"/>
      <c r="O1741" s="36"/>
      <c r="P1741" s="36"/>
      <c r="Q1741" s="36"/>
    </row>
    <row r="1742" spans="3:17" x14ac:dyDescent="0.25">
      <c r="C1742" s="36"/>
      <c r="D1742" s="36"/>
      <c r="E1742" s="36"/>
      <c r="F1742" s="36"/>
      <c r="G1742" s="36"/>
      <c r="H1742" s="30"/>
      <c r="I1742" s="30"/>
      <c r="J1742" s="36"/>
      <c r="K1742" s="36"/>
      <c r="L1742" s="36"/>
      <c r="M1742" s="36"/>
      <c r="N1742" s="36"/>
      <c r="O1742" s="36"/>
      <c r="P1742" s="36"/>
      <c r="Q1742" s="36"/>
    </row>
    <row r="1743" spans="3:17" x14ac:dyDescent="0.25">
      <c r="C1743" s="36"/>
      <c r="D1743" s="36"/>
      <c r="E1743" s="36"/>
      <c r="F1743" s="36"/>
      <c r="G1743" s="36"/>
      <c r="H1743" s="36"/>
      <c r="I1743" s="36"/>
      <c r="J1743" s="36"/>
      <c r="K1743" s="36"/>
      <c r="L1743" s="36"/>
      <c r="M1743" s="36"/>
      <c r="N1743" s="36"/>
      <c r="O1743" s="36"/>
      <c r="P1743" s="36"/>
      <c r="Q1743" s="36"/>
    </row>
    <row r="1744" spans="3:17" x14ac:dyDescent="0.25">
      <c r="C1744" s="36"/>
      <c r="D1744" s="36"/>
      <c r="E1744" s="36"/>
      <c r="F1744" s="36"/>
      <c r="G1744" s="36"/>
      <c r="H1744" s="36"/>
      <c r="I1744" s="36"/>
      <c r="J1744" s="36"/>
      <c r="K1744" s="36"/>
      <c r="L1744" s="36"/>
      <c r="M1744" s="36"/>
      <c r="N1744" s="36"/>
      <c r="O1744" s="36"/>
      <c r="P1744" s="36"/>
      <c r="Q1744" s="36"/>
    </row>
    <row r="1745" spans="3:17" x14ac:dyDescent="0.25">
      <c r="C1745" s="36"/>
      <c r="D1745" s="36"/>
      <c r="E1745" s="36"/>
      <c r="F1745" s="36"/>
      <c r="G1745" s="36"/>
      <c r="H1745" s="36"/>
      <c r="I1745" s="36"/>
      <c r="J1745" s="36"/>
      <c r="K1745" s="36"/>
      <c r="L1745" s="36"/>
      <c r="M1745" s="36"/>
      <c r="N1745" s="36"/>
      <c r="O1745" s="36"/>
      <c r="P1745" s="36"/>
      <c r="Q1745" s="36"/>
    </row>
    <row r="1746" spans="3:17" x14ac:dyDescent="0.25">
      <c r="C1746" s="36"/>
      <c r="D1746" s="36"/>
      <c r="E1746" s="36"/>
      <c r="F1746" s="36"/>
      <c r="G1746" s="36"/>
      <c r="H1746" s="36"/>
      <c r="I1746" s="36"/>
      <c r="J1746" s="36"/>
      <c r="K1746" s="36"/>
      <c r="L1746" s="36"/>
      <c r="M1746" s="36"/>
      <c r="N1746" s="36"/>
      <c r="O1746" s="36"/>
      <c r="P1746" s="36"/>
      <c r="Q1746" s="36"/>
    </row>
    <row r="1747" spans="3:17" x14ac:dyDescent="0.25">
      <c r="C1747" s="36"/>
      <c r="D1747" s="36"/>
      <c r="E1747" s="36"/>
      <c r="F1747" s="36"/>
      <c r="G1747" s="36"/>
      <c r="H1747" s="36"/>
      <c r="I1747" s="36"/>
      <c r="J1747" s="36"/>
      <c r="K1747" s="36"/>
      <c r="L1747" s="36"/>
      <c r="M1747" s="36"/>
      <c r="N1747" s="36"/>
      <c r="O1747" s="36"/>
      <c r="P1747" s="36"/>
      <c r="Q1747" s="36"/>
    </row>
    <row r="1748" spans="3:17" x14ac:dyDescent="0.25">
      <c r="C1748" s="36"/>
      <c r="D1748" s="36"/>
      <c r="E1748" s="36"/>
      <c r="F1748" s="36"/>
      <c r="G1748" s="36"/>
      <c r="H1748" s="36"/>
      <c r="I1748" s="36"/>
      <c r="J1748" s="36"/>
      <c r="K1748" s="36"/>
      <c r="L1748" s="36"/>
      <c r="M1748" s="36"/>
      <c r="N1748" s="36"/>
      <c r="O1748" s="36"/>
      <c r="P1748" s="36"/>
      <c r="Q1748" s="36"/>
    </row>
    <row r="1749" spans="3:17" x14ac:dyDescent="0.25">
      <c r="C1749" s="36"/>
      <c r="D1749" s="36"/>
      <c r="E1749" s="36"/>
      <c r="F1749" s="36"/>
      <c r="G1749" s="36"/>
      <c r="H1749" s="36"/>
      <c r="I1749" s="36"/>
      <c r="J1749" s="36"/>
      <c r="K1749" s="36"/>
      <c r="L1749" s="36"/>
      <c r="M1749" s="36"/>
      <c r="N1749" s="36"/>
      <c r="O1749" s="36"/>
      <c r="P1749" s="36"/>
      <c r="Q1749" s="36"/>
    </row>
    <row r="1750" spans="3:17" x14ac:dyDescent="0.25">
      <c r="C1750" s="36"/>
      <c r="D1750" s="36"/>
      <c r="E1750" s="36"/>
      <c r="F1750" s="36"/>
      <c r="G1750" s="36"/>
      <c r="H1750" s="36"/>
      <c r="I1750" s="36"/>
      <c r="J1750" s="36"/>
      <c r="K1750" s="36"/>
      <c r="L1750" s="36"/>
      <c r="M1750" s="36"/>
      <c r="N1750" s="36"/>
      <c r="O1750" s="36"/>
      <c r="P1750" s="36"/>
      <c r="Q1750" s="36"/>
    </row>
    <row r="1751" spans="3:17" x14ac:dyDescent="0.25">
      <c r="C1751" s="36"/>
      <c r="D1751" s="36"/>
      <c r="E1751" s="36"/>
      <c r="F1751" s="36"/>
      <c r="G1751" s="36"/>
      <c r="H1751" s="36"/>
      <c r="I1751" s="36"/>
      <c r="J1751" s="36"/>
      <c r="K1751" s="36"/>
      <c r="L1751" s="36"/>
      <c r="M1751" s="36"/>
      <c r="N1751" s="36"/>
      <c r="O1751" s="36"/>
      <c r="P1751" s="36"/>
      <c r="Q1751" s="36"/>
    </row>
    <row r="1752" spans="3:17" x14ac:dyDescent="0.25">
      <c r="C1752" s="36"/>
      <c r="D1752" s="36"/>
      <c r="E1752" s="36"/>
      <c r="F1752" s="36"/>
      <c r="G1752" s="36"/>
      <c r="H1752" s="36"/>
      <c r="I1752" s="36"/>
      <c r="J1752" s="36"/>
      <c r="K1752" s="36"/>
      <c r="L1752" s="36"/>
      <c r="M1752" s="36"/>
      <c r="N1752" s="36"/>
      <c r="O1752" s="36"/>
      <c r="P1752" s="36"/>
      <c r="Q1752" s="36"/>
    </row>
    <row r="1753" spans="3:17" x14ac:dyDescent="0.25">
      <c r="C1753" s="36"/>
      <c r="D1753" s="36"/>
      <c r="E1753" s="36"/>
      <c r="F1753" s="36"/>
      <c r="G1753" s="36"/>
      <c r="H1753" s="36"/>
      <c r="I1753" s="36"/>
      <c r="J1753" s="36"/>
      <c r="K1753" s="36"/>
      <c r="L1753" s="36"/>
      <c r="M1753" s="36"/>
      <c r="N1753" s="36"/>
      <c r="O1753" s="36"/>
      <c r="P1753" s="36"/>
      <c r="Q1753" s="36"/>
    </row>
    <row r="1754" spans="3:17" x14ac:dyDescent="0.25">
      <c r="C1754" s="36"/>
      <c r="D1754" s="36"/>
      <c r="E1754" s="36"/>
      <c r="F1754" s="36"/>
      <c r="G1754" s="36"/>
      <c r="H1754" s="36"/>
      <c r="I1754" s="36"/>
      <c r="J1754" s="36"/>
      <c r="K1754" s="36"/>
      <c r="L1754" s="36"/>
      <c r="M1754" s="36"/>
      <c r="N1754" s="36"/>
      <c r="O1754" s="36"/>
      <c r="P1754" s="36"/>
      <c r="Q1754" s="36"/>
    </row>
    <row r="1755" spans="3:17" x14ac:dyDescent="0.25">
      <c r="C1755" s="36"/>
      <c r="D1755" s="36"/>
      <c r="E1755" s="36"/>
      <c r="F1755" s="36"/>
      <c r="G1755" s="36"/>
      <c r="H1755" s="36"/>
      <c r="I1755" s="36"/>
      <c r="J1755" s="36"/>
      <c r="K1755" s="36"/>
      <c r="L1755" s="36"/>
      <c r="M1755" s="36"/>
      <c r="N1755" s="36"/>
      <c r="O1755" s="36"/>
      <c r="P1755" s="36"/>
      <c r="Q1755" s="36"/>
    </row>
    <row r="1756" spans="3:17" x14ac:dyDescent="0.25">
      <c r="C1756" s="36"/>
      <c r="D1756" s="36"/>
      <c r="E1756" s="36"/>
      <c r="F1756" s="36"/>
      <c r="G1756" s="36"/>
      <c r="H1756" s="36"/>
      <c r="I1756" s="36"/>
      <c r="J1756" s="36"/>
      <c r="K1756" s="36"/>
      <c r="L1756" s="36"/>
      <c r="M1756" s="36"/>
      <c r="N1756" s="36"/>
      <c r="O1756" s="36"/>
      <c r="P1756" s="36"/>
      <c r="Q1756" s="36"/>
    </row>
    <row r="1757" spans="3:17" x14ac:dyDescent="0.25">
      <c r="C1757" s="36"/>
      <c r="D1757" s="36"/>
      <c r="E1757" s="36"/>
      <c r="F1757" s="36"/>
      <c r="G1757" s="36"/>
      <c r="H1757" s="36"/>
      <c r="I1757" s="36"/>
      <c r="J1757" s="36"/>
      <c r="K1757" s="36"/>
      <c r="L1757" s="36"/>
      <c r="M1757" s="36"/>
      <c r="N1757" s="36"/>
      <c r="O1757" s="36"/>
      <c r="P1757" s="36"/>
      <c r="Q1757" s="36"/>
    </row>
    <row r="1758" spans="3:17" x14ac:dyDescent="0.25">
      <c r="C1758" s="36"/>
      <c r="D1758" s="36"/>
      <c r="E1758" s="36"/>
      <c r="F1758" s="36"/>
      <c r="G1758" s="36"/>
      <c r="H1758" s="36"/>
      <c r="I1758" s="36"/>
      <c r="J1758" s="36"/>
      <c r="K1758" s="36"/>
      <c r="L1758" s="36"/>
      <c r="M1758" s="36"/>
      <c r="N1758" s="36"/>
      <c r="O1758" s="36"/>
      <c r="P1758" s="36"/>
      <c r="Q1758" s="36"/>
    </row>
    <row r="1759" spans="3:17" x14ac:dyDescent="0.25">
      <c r="C1759" s="36"/>
      <c r="D1759" s="36"/>
      <c r="E1759" s="36"/>
      <c r="F1759" s="36"/>
      <c r="G1759" s="36"/>
      <c r="H1759" s="36"/>
      <c r="I1759" s="36"/>
      <c r="J1759" s="36"/>
      <c r="K1759" s="36"/>
      <c r="L1759" s="36"/>
      <c r="M1759" s="36"/>
      <c r="N1759" s="36"/>
      <c r="O1759" s="36"/>
      <c r="P1759" s="36"/>
      <c r="Q1759" s="36"/>
    </row>
    <row r="1760" spans="3:17" x14ac:dyDescent="0.25">
      <c r="C1760" s="36"/>
      <c r="D1760" s="36"/>
      <c r="E1760" s="36"/>
      <c r="F1760" s="36"/>
      <c r="G1760" s="36"/>
      <c r="H1760" s="36"/>
      <c r="I1760" s="36"/>
      <c r="J1760" s="36"/>
      <c r="K1760" s="36"/>
      <c r="L1760" s="36"/>
      <c r="M1760" s="36"/>
      <c r="N1760" s="36"/>
      <c r="O1760" s="36"/>
      <c r="P1760" s="36"/>
      <c r="Q1760" s="36"/>
    </row>
    <row r="1761" spans="3:17" x14ac:dyDescent="0.25">
      <c r="C1761" s="36"/>
      <c r="D1761" s="36"/>
      <c r="E1761" s="36"/>
      <c r="F1761" s="36"/>
      <c r="G1761" s="36"/>
      <c r="H1761" s="36"/>
      <c r="I1761" s="36"/>
      <c r="J1761" s="36"/>
      <c r="K1761" s="36"/>
      <c r="L1761" s="36"/>
      <c r="M1761" s="36"/>
      <c r="N1761" s="36"/>
      <c r="O1761" s="36"/>
      <c r="P1761" s="36"/>
      <c r="Q1761" s="36"/>
    </row>
    <row r="1762" spans="3:17" x14ac:dyDescent="0.25">
      <c r="C1762" s="36"/>
      <c r="D1762" s="36"/>
      <c r="E1762" s="36"/>
      <c r="F1762" s="36"/>
      <c r="G1762" s="36"/>
      <c r="H1762" s="36"/>
      <c r="I1762" s="36"/>
      <c r="J1762" s="36"/>
      <c r="K1762" s="36"/>
      <c r="L1762" s="36"/>
      <c r="M1762" s="36"/>
      <c r="N1762" s="36"/>
      <c r="O1762" s="36"/>
      <c r="P1762" s="36"/>
      <c r="Q1762" s="36"/>
    </row>
    <row r="1763" spans="3:17" x14ac:dyDescent="0.25">
      <c r="C1763" s="36"/>
      <c r="D1763" s="36"/>
      <c r="E1763" s="36"/>
      <c r="F1763" s="36"/>
      <c r="G1763" s="36"/>
      <c r="H1763" s="36"/>
      <c r="I1763" s="36"/>
      <c r="J1763" s="36"/>
      <c r="K1763" s="36"/>
      <c r="L1763" s="36"/>
      <c r="M1763" s="36"/>
      <c r="N1763" s="36"/>
      <c r="O1763" s="36"/>
      <c r="P1763" s="36"/>
      <c r="Q1763" s="36"/>
    </row>
    <row r="1764" spans="3:17" x14ac:dyDescent="0.25">
      <c r="C1764" s="36"/>
      <c r="D1764" s="36"/>
      <c r="E1764" s="36"/>
      <c r="F1764" s="36"/>
      <c r="G1764" s="36"/>
      <c r="H1764" s="36"/>
      <c r="I1764" s="36"/>
      <c r="J1764" s="36"/>
      <c r="K1764" s="36"/>
      <c r="L1764" s="36"/>
      <c r="M1764" s="36"/>
      <c r="N1764" s="36"/>
      <c r="O1764" s="36"/>
      <c r="P1764" s="36"/>
      <c r="Q1764" s="36"/>
    </row>
    <row r="1765" spans="3:17" x14ac:dyDescent="0.25">
      <c r="C1765" s="36"/>
      <c r="D1765" s="36"/>
      <c r="E1765" s="36"/>
      <c r="F1765" s="36"/>
      <c r="G1765" s="36"/>
      <c r="H1765" s="36"/>
      <c r="I1765" s="36"/>
      <c r="J1765" s="36"/>
      <c r="K1765" s="36"/>
      <c r="L1765" s="36"/>
      <c r="M1765" s="36"/>
      <c r="N1765" s="36"/>
      <c r="O1765" s="36"/>
      <c r="P1765" s="36"/>
      <c r="Q1765" s="36"/>
    </row>
    <row r="1766" spans="3:17" x14ac:dyDescent="0.25">
      <c r="C1766" s="36"/>
      <c r="D1766" s="36"/>
      <c r="E1766" s="36"/>
      <c r="F1766" s="36"/>
      <c r="G1766" s="36"/>
      <c r="H1766" s="36"/>
      <c r="I1766" s="36"/>
      <c r="J1766" s="36"/>
      <c r="K1766" s="36"/>
      <c r="L1766" s="36"/>
      <c r="M1766" s="36"/>
      <c r="N1766" s="36"/>
      <c r="O1766" s="36"/>
      <c r="P1766" s="36"/>
      <c r="Q1766" s="36"/>
    </row>
    <row r="1767" spans="3:17" x14ac:dyDescent="0.25">
      <c r="C1767" s="36"/>
      <c r="D1767" s="36"/>
      <c r="E1767" s="36"/>
      <c r="F1767" s="36"/>
      <c r="G1767" s="36"/>
      <c r="H1767" s="36"/>
      <c r="I1767" s="36"/>
      <c r="J1767" s="36"/>
      <c r="K1767" s="36"/>
      <c r="L1767" s="36"/>
      <c r="M1767" s="36"/>
      <c r="N1767" s="36"/>
      <c r="O1767" s="36"/>
      <c r="P1767" s="36"/>
      <c r="Q1767" s="36"/>
    </row>
    <row r="1768" spans="3:17" x14ac:dyDescent="0.25">
      <c r="C1768" s="36"/>
      <c r="D1768" s="36"/>
      <c r="E1768" s="36"/>
      <c r="F1768" s="36"/>
      <c r="G1768" s="36"/>
      <c r="H1768" s="36"/>
      <c r="I1768" s="36"/>
      <c r="J1768" s="36"/>
      <c r="K1768" s="36"/>
      <c r="L1768" s="36"/>
      <c r="M1768" s="36"/>
      <c r="N1768" s="36"/>
      <c r="O1768" s="36"/>
      <c r="P1768" s="36"/>
      <c r="Q1768" s="36"/>
    </row>
    <row r="1769" spans="3:17" x14ac:dyDescent="0.25">
      <c r="C1769" s="36"/>
      <c r="D1769" s="36"/>
      <c r="E1769" s="36"/>
      <c r="F1769" s="36"/>
      <c r="G1769" s="36"/>
      <c r="H1769" s="36"/>
      <c r="I1769" s="36"/>
      <c r="J1769" s="36"/>
      <c r="K1769" s="36"/>
      <c r="L1769" s="36"/>
      <c r="M1769" s="36"/>
      <c r="N1769" s="36"/>
      <c r="O1769" s="36"/>
      <c r="P1769" s="36"/>
      <c r="Q1769" s="36"/>
    </row>
    <row r="1770" spans="3:17" x14ac:dyDescent="0.25">
      <c r="C1770" s="36"/>
      <c r="D1770" s="36"/>
      <c r="E1770" s="36"/>
      <c r="F1770" s="36"/>
      <c r="G1770" s="36"/>
      <c r="H1770" s="36"/>
      <c r="I1770" s="36"/>
      <c r="J1770" s="36"/>
      <c r="K1770" s="36"/>
      <c r="L1770" s="36"/>
      <c r="M1770" s="36"/>
      <c r="N1770" s="36"/>
      <c r="O1770" s="36"/>
      <c r="P1770" s="36"/>
      <c r="Q1770" s="36"/>
    </row>
    <row r="1771" spans="3:17" x14ac:dyDescent="0.25">
      <c r="C1771" s="36"/>
      <c r="D1771" s="36"/>
      <c r="E1771" s="36"/>
      <c r="F1771" s="36"/>
      <c r="G1771" s="36"/>
      <c r="H1771" s="36"/>
      <c r="I1771" s="36"/>
      <c r="J1771" s="36"/>
      <c r="K1771" s="36"/>
      <c r="L1771" s="36"/>
      <c r="M1771" s="36"/>
      <c r="N1771" s="36"/>
      <c r="O1771" s="36"/>
      <c r="P1771" s="36"/>
      <c r="Q1771" s="36"/>
    </row>
    <row r="1772" spans="3:17" x14ac:dyDescent="0.25">
      <c r="C1772" s="36"/>
      <c r="D1772" s="36"/>
      <c r="E1772" s="36"/>
      <c r="F1772" s="36"/>
      <c r="G1772" s="36"/>
      <c r="H1772" s="36"/>
      <c r="I1772" s="36"/>
      <c r="J1772" s="36"/>
      <c r="K1772" s="36"/>
      <c r="L1772" s="36"/>
      <c r="M1772" s="36"/>
      <c r="N1772" s="36"/>
      <c r="O1772" s="36"/>
      <c r="P1772" s="36"/>
      <c r="Q1772" s="36"/>
    </row>
    <row r="1773" spans="3:17" x14ac:dyDescent="0.25">
      <c r="C1773" s="36"/>
      <c r="D1773" s="36"/>
      <c r="E1773" s="36"/>
      <c r="F1773" s="36"/>
      <c r="G1773" s="36"/>
      <c r="H1773" s="36"/>
      <c r="I1773" s="36"/>
      <c r="J1773" s="36"/>
      <c r="K1773" s="36"/>
      <c r="L1773" s="36"/>
      <c r="M1773" s="36"/>
      <c r="N1773" s="36"/>
      <c r="O1773" s="36"/>
      <c r="P1773" s="36"/>
      <c r="Q1773" s="36"/>
    </row>
    <row r="1774" spans="3:17" x14ac:dyDescent="0.25">
      <c r="C1774" s="36"/>
      <c r="D1774" s="36"/>
      <c r="E1774" s="36"/>
      <c r="G1774" s="36"/>
      <c r="H1774" s="36"/>
      <c r="I1774" s="36"/>
      <c r="J1774" s="36"/>
      <c r="K1774" s="36"/>
      <c r="L1774" s="36"/>
      <c r="M1774" s="36"/>
      <c r="N1774" s="36"/>
      <c r="O1774" s="36"/>
      <c r="P1774" s="36"/>
      <c r="Q1774" s="36"/>
    </row>
    <row r="1775" spans="3:17" x14ac:dyDescent="0.25">
      <c r="C1775" s="36"/>
      <c r="D1775" s="36"/>
      <c r="G1775" s="36"/>
      <c r="H1775" s="36"/>
      <c r="I1775" s="36"/>
      <c r="J1775" s="36"/>
      <c r="K1775" s="36"/>
      <c r="L1775" s="36"/>
      <c r="M1775" s="36"/>
      <c r="N1775" s="36"/>
      <c r="O1775" s="36"/>
      <c r="P1775" s="36"/>
      <c r="Q1775" s="36"/>
    </row>
  </sheetData>
  <autoFilter ref="C8:Q1642"/>
  <mergeCells count="2">
    <mergeCell ref="A7:E7"/>
    <mergeCell ref="F7:L7"/>
  </mergeCells>
  <conditionalFormatting sqref="N1270:P1292 C8:F8 M51:M148 N1257:N1267 O1293:O1300 O1257:P1269 P1293:P1299 H8:Q8 L50:L1556 I62:I454 H62:H214 L9:M49 H9:I61 J9:J1642 N9:P1256">
    <cfRule type="expression" dxfId="11" priority="17">
      <formula>DAYS360(NOW(), $N8) &lt;= 0</formula>
    </cfRule>
    <cfRule type="expression" dxfId="10" priority="18">
      <formula>DAYS360(NOW(), $N8) &lt;= 30</formula>
    </cfRule>
  </conditionalFormatting>
  <conditionalFormatting sqref="J1116">
    <cfRule type="expression" dxfId="9" priority="15">
      <formula>DAYS360(NOW(), $N1116) &lt;= 0</formula>
    </cfRule>
    <cfRule type="expression" dxfId="8" priority="16">
      <formula>DAYS360(NOW(), $N1116) &lt;= 30</formula>
    </cfRule>
  </conditionalFormatting>
  <conditionalFormatting sqref="J1114">
    <cfRule type="expression" dxfId="7" priority="13">
      <formula>DAYS360(NOW(), $N1114) &lt;= 0</formula>
    </cfRule>
    <cfRule type="expression" dxfId="6" priority="14">
      <formula>DAYS360(NOW(), $N1114) &lt;= 30</formula>
    </cfRule>
  </conditionalFormatting>
  <conditionalFormatting sqref="J712:J737">
    <cfRule type="expression" dxfId="5" priority="11">
      <formula>DAYS360(NOW(), $N811) &lt;= 0</formula>
    </cfRule>
    <cfRule type="expression" dxfId="4" priority="12">
      <formula>DAYS360(NOW(), $N811) &lt;= 30</formula>
    </cfRule>
  </conditionalFormatting>
  <conditionalFormatting sqref="J701:J711">
    <cfRule type="expression" dxfId="3" priority="9">
      <formula>DAYS360(NOW(), $N800) &lt;= 0</formula>
    </cfRule>
    <cfRule type="expression" dxfId="2" priority="10">
      <formula>DAYS360(NOW(), $N800) &lt;= 30</formula>
    </cfRule>
  </conditionalFormatting>
  <conditionalFormatting sqref="G8">
    <cfRule type="expression" dxfId="1" priority="5">
      <formula>DAYS360(NOW(), $N8) &lt;= 0</formula>
    </cfRule>
    <cfRule type="expression" dxfId="0" priority="6">
      <formula>DAYS360(NOW(), $N8) &lt;= 30</formula>
    </cfRule>
  </conditionalFormatting>
  <pageMargins left="0.24" right="0.16" top="0.2" bottom="0.21" header="0.38" footer="0.31496062992125984"/>
  <pageSetup paperSize="9" scale="90" orientation="landscape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SWIMMING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2026-04-21T06:20:38Z</dcterms:modified>
</cp:coreProperties>
</file>